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EXCEL\walmart\"/>
    </mc:Choice>
  </mc:AlternateContent>
  <xr:revisionPtr revIDLastSave="0" documentId="13_ncr:1_{44EF1EF8-BBB3-4E37-B393-AEE72CC6249E}" xr6:coauthVersionLast="47" xr6:coauthVersionMax="47" xr10:uidLastSave="{00000000-0000-0000-0000-000000000000}"/>
  <bookViews>
    <workbookView xWindow="-120" yWindow="-120" windowWidth="20730" windowHeight="11040" activeTab="2" xr2:uid="{4181CE2D-5150-4D1B-9134-9334C933B3BC}"/>
  </bookViews>
  <sheets>
    <sheet name="Dashboard" sheetId="4" r:id="rId1"/>
    <sheet name="Dataset" sheetId="1" r:id="rId2"/>
    <sheet name="pivot" sheetId="2" r:id="rId3"/>
    <sheet name="Category Distribution" sheetId="7" r:id="rId4"/>
    <sheet name="Repeat Customer Analysis" sheetId="5" r:id="rId5"/>
    <sheet name="Customer Distribution by City" sheetId="6" r:id="rId6"/>
    <sheet name="Monthly Distribution" sheetId="9" r:id="rId7"/>
    <sheet name="Top Selling Products" sheetId="8" r:id="rId8"/>
    <sheet name="Payment Method Analysis" sheetId="10" r:id="rId9"/>
  </sheets>
  <definedNames>
    <definedName name="Slicer_Day">#N/A</definedName>
    <definedName name="Slicer_Gender">#N/A</definedName>
    <definedName name="Slicer_Year">#N/A</definedName>
  </definedNames>
  <calcPr calcId="191029"/>
  <pivotCaches>
    <pivotCache cacheId="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N3" i="1" s="1"/>
  <c r="L4" i="1"/>
  <c r="N4" i="1" s="1"/>
  <c r="L5" i="1"/>
  <c r="N5" i="1" s="1"/>
  <c r="L6" i="1"/>
  <c r="N6" i="1" s="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37" i="1"/>
  <c r="N37" i="1" s="1"/>
  <c r="L38" i="1"/>
  <c r="N38" i="1" s="1"/>
  <c r="L39" i="1"/>
  <c r="N39" i="1" s="1"/>
  <c r="L40" i="1"/>
  <c r="N40" i="1" s="1"/>
  <c r="L41" i="1"/>
  <c r="N41" i="1" s="1"/>
  <c r="L42" i="1"/>
  <c r="N42" i="1" s="1"/>
  <c r="L43" i="1"/>
  <c r="N43" i="1" s="1"/>
  <c r="L44" i="1"/>
  <c r="N44" i="1" s="1"/>
  <c r="L45" i="1"/>
  <c r="N45" i="1" s="1"/>
  <c r="L46" i="1"/>
  <c r="N46" i="1" s="1"/>
  <c r="L47" i="1"/>
  <c r="N47" i="1" s="1"/>
  <c r="L48" i="1"/>
  <c r="N48" i="1" s="1"/>
  <c r="L49" i="1"/>
  <c r="N49" i="1" s="1"/>
  <c r="L50" i="1"/>
  <c r="N50" i="1" s="1"/>
  <c r="L51" i="1"/>
  <c r="N51" i="1" s="1"/>
  <c r="L52" i="1"/>
  <c r="N52" i="1" s="1"/>
  <c r="L53" i="1"/>
  <c r="N53" i="1" s="1"/>
  <c r="L54" i="1"/>
  <c r="N54" i="1" s="1"/>
  <c r="L55" i="1"/>
  <c r="N55" i="1" s="1"/>
  <c r="L56" i="1"/>
  <c r="N56" i="1" s="1"/>
  <c r="L57" i="1"/>
  <c r="N57" i="1" s="1"/>
  <c r="L58" i="1"/>
  <c r="N58" i="1" s="1"/>
  <c r="L59" i="1"/>
  <c r="N59" i="1" s="1"/>
  <c r="L60" i="1"/>
  <c r="N60" i="1" s="1"/>
  <c r="L61" i="1"/>
  <c r="N61" i="1" s="1"/>
  <c r="L62" i="1"/>
  <c r="N62" i="1" s="1"/>
  <c r="L63" i="1"/>
  <c r="N63" i="1" s="1"/>
  <c r="L64" i="1"/>
  <c r="N64" i="1" s="1"/>
  <c r="L65" i="1"/>
  <c r="N65" i="1" s="1"/>
  <c r="L66" i="1"/>
  <c r="N66" i="1" s="1"/>
  <c r="L67" i="1"/>
  <c r="N67" i="1" s="1"/>
  <c r="L68" i="1"/>
  <c r="N68" i="1" s="1"/>
  <c r="L69" i="1"/>
  <c r="N69" i="1" s="1"/>
  <c r="L70" i="1"/>
  <c r="N70" i="1" s="1"/>
  <c r="L71" i="1"/>
  <c r="N71" i="1" s="1"/>
  <c r="L72" i="1"/>
  <c r="N72" i="1" s="1"/>
  <c r="L73" i="1"/>
  <c r="N73" i="1" s="1"/>
  <c r="L74" i="1"/>
  <c r="N74" i="1" s="1"/>
  <c r="L75" i="1"/>
  <c r="N75" i="1" s="1"/>
  <c r="L76" i="1"/>
  <c r="N76" i="1" s="1"/>
  <c r="L77" i="1"/>
  <c r="N77" i="1" s="1"/>
  <c r="L78" i="1"/>
  <c r="N78" i="1" s="1"/>
  <c r="L79" i="1"/>
  <c r="N79" i="1" s="1"/>
  <c r="L80" i="1"/>
  <c r="N80" i="1" s="1"/>
  <c r="L81" i="1"/>
  <c r="N81" i="1" s="1"/>
  <c r="L82" i="1"/>
  <c r="N82" i="1" s="1"/>
  <c r="L83" i="1"/>
  <c r="N83" i="1" s="1"/>
  <c r="L84" i="1"/>
  <c r="N84" i="1" s="1"/>
  <c r="L85" i="1"/>
  <c r="N85" i="1" s="1"/>
  <c r="L86" i="1"/>
  <c r="N86" i="1" s="1"/>
  <c r="L87" i="1"/>
  <c r="N87" i="1" s="1"/>
  <c r="L88" i="1"/>
  <c r="N88" i="1" s="1"/>
  <c r="L89" i="1"/>
  <c r="N89" i="1" s="1"/>
  <c r="L90" i="1"/>
  <c r="N90" i="1" s="1"/>
  <c r="L91" i="1"/>
  <c r="N91" i="1" s="1"/>
  <c r="L92" i="1"/>
  <c r="N92" i="1" s="1"/>
  <c r="L93" i="1"/>
  <c r="N93" i="1" s="1"/>
  <c r="L94" i="1"/>
  <c r="N94" i="1" s="1"/>
  <c r="L95" i="1"/>
  <c r="N95" i="1" s="1"/>
  <c r="L96" i="1"/>
  <c r="N96" i="1" s="1"/>
  <c r="L97" i="1"/>
  <c r="N97" i="1" s="1"/>
  <c r="L98" i="1"/>
  <c r="N98" i="1" s="1"/>
  <c r="L99" i="1"/>
  <c r="N99" i="1" s="1"/>
  <c r="L100" i="1"/>
  <c r="N100" i="1" s="1"/>
  <c r="L101" i="1"/>
  <c r="N101" i="1" s="1"/>
  <c r="L102" i="1"/>
  <c r="N102" i="1" s="1"/>
  <c r="L103" i="1"/>
  <c r="N103" i="1" s="1"/>
  <c r="L104" i="1"/>
  <c r="N104" i="1" s="1"/>
  <c r="L105" i="1"/>
  <c r="N105" i="1" s="1"/>
  <c r="L106" i="1"/>
  <c r="N106" i="1" s="1"/>
  <c r="L107" i="1"/>
  <c r="N107" i="1" s="1"/>
  <c r="L108" i="1"/>
  <c r="N108" i="1" s="1"/>
  <c r="L109" i="1"/>
  <c r="N109" i="1" s="1"/>
  <c r="L110" i="1"/>
  <c r="N110" i="1" s="1"/>
  <c r="L111" i="1"/>
  <c r="N111" i="1" s="1"/>
  <c r="L112" i="1"/>
  <c r="N112" i="1" s="1"/>
  <c r="L113" i="1"/>
  <c r="N113" i="1" s="1"/>
  <c r="L114" i="1"/>
  <c r="N114" i="1" s="1"/>
  <c r="L115" i="1"/>
  <c r="N115" i="1" s="1"/>
  <c r="L116" i="1"/>
  <c r="N116" i="1" s="1"/>
  <c r="L117" i="1"/>
  <c r="N117" i="1" s="1"/>
  <c r="L118" i="1"/>
  <c r="N118" i="1" s="1"/>
  <c r="L119" i="1"/>
  <c r="N119" i="1" s="1"/>
  <c r="L120" i="1"/>
  <c r="N120" i="1" s="1"/>
  <c r="L121" i="1"/>
  <c r="N121" i="1" s="1"/>
  <c r="L122" i="1"/>
  <c r="N122" i="1" s="1"/>
  <c r="L123" i="1"/>
  <c r="N123" i="1" s="1"/>
  <c r="L124" i="1"/>
  <c r="N124" i="1" s="1"/>
  <c r="L125" i="1"/>
  <c r="N125" i="1" s="1"/>
  <c r="L126" i="1"/>
  <c r="N126" i="1" s="1"/>
  <c r="L127" i="1"/>
  <c r="N127" i="1" s="1"/>
  <c r="L128" i="1"/>
  <c r="N128" i="1" s="1"/>
  <c r="L129" i="1"/>
  <c r="N129" i="1" s="1"/>
  <c r="L130" i="1"/>
  <c r="N130" i="1" s="1"/>
  <c r="L131" i="1"/>
  <c r="N131" i="1" s="1"/>
  <c r="L132" i="1"/>
  <c r="N132" i="1" s="1"/>
  <c r="L133" i="1"/>
  <c r="N133" i="1" s="1"/>
  <c r="L134" i="1"/>
  <c r="N134" i="1" s="1"/>
  <c r="L135" i="1"/>
  <c r="N135" i="1" s="1"/>
  <c r="L136" i="1"/>
  <c r="N136" i="1" s="1"/>
  <c r="L137" i="1"/>
  <c r="N137" i="1" s="1"/>
  <c r="L138" i="1"/>
  <c r="N138" i="1" s="1"/>
  <c r="L139" i="1"/>
  <c r="N139" i="1" s="1"/>
  <c r="L140" i="1"/>
  <c r="N140" i="1" s="1"/>
  <c r="L141" i="1"/>
  <c r="N141" i="1" s="1"/>
  <c r="L142" i="1"/>
  <c r="N142" i="1" s="1"/>
  <c r="L143" i="1"/>
  <c r="N143" i="1" s="1"/>
  <c r="L144" i="1"/>
  <c r="N144" i="1" s="1"/>
  <c r="L145" i="1"/>
  <c r="N145" i="1" s="1"/>
  <c r="L146" i="1"/>
  <c r="N146" i="1" s="1"/>
  <c r="L147" i="1"/>
  <c r="N147" i="1" s="1"/>
  <c r="L148" i="1"/>
  <c r="N148" i="1" s="1"/>
  <c r="L149" i="1"/>
  <c r="N149" i="1" s="1"/>
  <c r="L150" i="1"/>
  <c r="N150" i="1" s="1"/>
  <c r="L151" i="1"/>
  <c r="N151" i="1" s="1"/>
  <c r="L152" i="1"/>
  <c r="N152" i="1" s="1"/>
  <c r="L153" i="1"/>
  <c r="N153" i="1" s="1"/>
  <c r="L154" i="1"/>
  <c r="N154" i="1" s="1"/>
  <c r="L155" i="1"/>
  <c r="N155" i="1" s="1"/>
  <c r="L156" i="1"/>
  <c r="N156" i="1" s="1"/>
  <c r="L157" i="1"/>
  <c r="N157" i="1" s="1"/>
  <c r="L158" i="1"/>
  <c r="N158" i="1" s="1"/>
  <c r="L159" i="1"/>
  <c r="N159" i="1" s="1"/>
  <c r="L160" i="1"/>
  <c r="N160" i="1" s="1"/>
  <c r="L161" i="1"/>
  <c r="N161" i="1" s="1"/>
  <c r="L162" i="1"/>
  <c r="N162" i="1" s="1"/>
  <c r="L163" i="1"/>
  <c r="N163" i="1" s="1"/>
  <c r="L164" i="1"/>
  <c r="N164" i="1" s="1"/>
  <c r="L165" i="1"/>
  <c r="N165" i="1" s="1"/>
  <c r="L166" i="1"/>
  <c r="N166" i="1" s="1"/>
  <c r="L167" i="1"/>
  <c r="N167" i="1" s="1"/>
  <c r="L168" i="1"/>
  <c r="N168" i="1" s="1"/>
  <c r="L169" i="1"/>
  <c r="N169" i="1" s="1"/>
  <c r="L170" i="1"/>
  <c r="N170" i="1" s="1"/>
  <c r="L171" i="1"/>
  <c r="N171" i="1" s="1"/>
  <c r="L172" i="1"/>
  <c r="N172" i="1" s="1"/>
  <c r="L173" i="1"/>
  <c r="N173" i="1" s="1"/>
  <c r="L174" i="1"/>
  <c r="N174" i="1" s="1"/>
  <c r="L175" i="1"/>
  <c r="N175" i="1" s="1"/>
  <c r="L176" i="1"/>
  <c r="N176" i="1" s="1"/>
  <c r="L177" i="1"/>
  <c r="N177" i="1" s="1"/>
  <c r="L178" i="1"/>
  <c r="N178" i="1" s="1"/>
  <c r="L179" i="1"/>
  <c r="N179" i="1" s="1"/>
  <c r="L180" i="1"/>
  <c r="N180" i="1" s="1"/>
  <c r="L181" i="1"/>
  <c r="N181" i="1" s="1"/>
  <c r="L182" i="1"/>
  <c r="N182" i="1" s="1"/>
  <c r="L183" i="1"/>
  <c r="N183" i="1" s="1"/>
  <c r="L184" i="1"/>
  <c r="N184" i="1" s="1"/>
  <c r="L185" i="1"/>
  <c r="N185" i="1" s="1"/>
  <c r="L186" i="1"/>
  <c r="N186" i="1" s="1"/>
  <c r="L187" i="1"/>
  <c r="N187" i="1" s="1"/>
  <c r="L188" i="1"/>
  <c r="N188" i="1" s="1"/>
  <c r="L189" i="1"/>
  <c r="N189" i="1" s="1"/>
  <c r="L190" i="1"/>
  <c r="N190" i="1" s="1"/>
  <c r="L191" i="1"/>
  <c r="N191" i="1" s="1"/>
  <c r="L192" i="1"/>
  <c r="N192" i="1" s="1"/>
  <c r="L193" i="1"/>
  <c r="N193" i="1" s="1"/>
  <c r="L194" i="1"/>
  <c r="N194" i="1" s="1"/>
  <c r="L195" i="1"/>
  <c r="N195" i="1" s="1"/>
  <c r="L196" i="1"/>
  <c r="N196" i="1" s="1"/>
  <c r="L197" i="1"/>
  <c r="N197" i="1" s="1"/>
  <c r="L198" i="1"/>
  <c r="N198" i="1" s="1"/>
  <c r="L199" i="1"/>
  <c r="N199" i="1" s="1"/>
  <c r="L200" i="1"/>
  <c r="N200" i="1" s="1"/>
  <c r="L201" i="1"/>
  <c r="N201" i="1" s="1"/>
  <c r="L202" i="1"/>
  <c r="N202" i="1" s="1"/>
  <c r="L203" i="1"/>
  <c r="N203" i="1" s="1"/>
  <c r="L204" i="1"/>
  <c r="N204" i="1" s="1"/>
  <c r="L205" i="1"/>
  <c r="N205" i="1" s="1"/>
  <c r="L206" i="1"/>
  <c r="N206" i="1" s="1"/>
  <c r="L207" i="1"/>
  <c r="N207" i="1" s="1"/>
  <c r="L208" i="1"/>
  <c r="N208" i="1" s="1"/>
  <c r="L209" i="1"/>
  <c r="N209" i="1" s="1"/>
  <c r="L210" i="1"/>
  <c r="N210" i="1" s="1"/>
  <c r="L211" i="1"/>
  <c r="N211" i="1" s="1"/>
  <c r="L212" i="1"/>
  <c r="N212" i="1" s="1"/>
  <c r="L213" i="1"/>
  <c r="N213" i="1" s="1"/>
  <c r="L214" i="1"/>
  <c r="N214" i="1" s="1"/>
  <c r="L215" i="1"/>
  <c r="N215" i="1" s="1"/>
  <c r="L216" i="1"/>
  <c r="N216" i="1" s="1"/>
  <c r="L217" i="1"/>
  <c r="N217" i="1" s="1"/>
  <c r="L218" i="1"/>
  <c r="N218" i="1" s="1"/>
  <c r="L219" i="1"/>
  <c r="N219" i="1" s="1"/>
  <c r="L220" i="1"/>
  <c r="N220" i="1" s="1"/>
  <c r="L221" i="1"/>
  <c r="N221" i="1" s="1"/>
  <c r="L222" i="1"/>
  <c r="N222" i="1" s="1"/>
  <c r="L223" i="1"/>
  <c r="N223" i="1" s="1"/>
  <c r="L224" i="1"/>
  <c r="N224" i="1" s="1"/>
  <c r="L225" i="1"/>
  <c r="N225" i="1" s="1"/>
  <c r="L226" i="1"/>
  <c r="N226" i="1" s="1"/>
  <c r="L227" i="1"/>
  <c r="N227" i="1" s="1"/>
  <c r="L228" i="1"/>
  <c r="N228" i="1" s="1"/>
  <c r="L229" i="1"/>
  <c r="N229" i="1" s="1"/>
  <c r="L230" i="1"/>
  <c r="N230" i="1" s="1"/>
  <c r="L231" i="1"/>
  <c r="N231" i="1" s="1"/>
  <c r="L232" i="1"/>
  <c r="N232" i="1" s="1"/>
  <c r="L233" i="1"/>
  <c r="N233" i="1" s="1"/>
  <c r="L234" i="1"/>
  <c r="N234" i="1" s="1"/>
  <c r="L235" i="1"/>
  <c r="N235" i="1" s="1"/>
  <c r="L236" i="1"/>
  <c r="N236" i="1" s="1"/>
  <c r="L237" i="1"/>
  <c r="N237" i="1" s="1"/>
  <c r="L238" i="1"/>
  <c r="N238" i="1" s="1"/>
  <c r="L239" i="1"/>
  <c r="N239" i="1" s="1"/>
  <c r="L240" i="1"/>
  <c r="N240" i="1" s="1"/>
  <c r="L241" i="1"/>
  <c r="N241" i="1" s="1"/>
  <c r="L242" i="1"/>
  <c r="N242" i="1" s="1"/>
  <c r="L243" i="1"/>
  <c r="N243" i="1" s="1"/>
  <c r="L244" i="1"/>
  <c r="N244" i="1" s="1"/>
  <c r="L245" i="1"/>
  <c r="N245" i="1" s="1"/>
  <c r="L246" i="1"/>
  <c r="N246" i="1" s="1"/>
  <c r="L247" i="1"/>
  <c r="N247" i="1" s="1"/>
  <c r="L248" i="1"/>
  <c r="N248" i="1" s="1"/>
  <c r="L249" i="1"/>
  <c r="N249" i="1" s="1"/>
  <c r="L250" i="1"/>
  <c r="N250" i="1" s="1"/>
  <c r="L251" i="1"/>
  <c r="N251" i="1" s="1"/>
  <c r="L252" i="1"/>
  <c r="N252" i="1" s="1"/>
  <c r="L253" i="1"/>
  <c r="N253" i="1" s="1"/>
  <c r="L254" i="1"/>
  <c r="N254" i="1" s="1"/>
  <c r="L255" i="1"/>
  <c r="N255" i="1" s="1"/>
  <c r="L256" i="1"/>
  <c r="N256" i="1" s="1"/>
  <c r="L257" i="1"/>
  <c r="N257" i="1" s="1"/>
  <c r="L258" i="1"/>
  <c r="N258" i="1" s="1"/>
  <c r="L259" i="1"/>
  <c r="N259" i="1" s="1"/>
  <c r="L260" i="1"/>
  <c r="N260" i="1" s="1"/>
  <c r="L261" i="1"/>
  <c r="N261" i="1" s="1"/>
  <c r="L262" i="1"/>
  <c r="N262" i="1" s="1"/>
  <c r="L263" i="1"/>
  <c r="N263" i="1" s="1"/>
  <c r="L264" i="1"/>
  <c r="N264" i="1" s="1"/>
  <c r="L265" i="1"/>
  <c r="N265" i="1" s="1"/>
  <c r="L266" i="1"/>
  <c r="N266" i="1" s="1"/>
  <c r="L267" i="1"/>
  <c r="N267" i="1" s="1"/>
  <c r="L268" i="1"/>
  <c r="N268" i="1" s="1"/>
  <c r="L269" i="1"/>
  <c r="N269" i="1" s="1"/>
  <c r="L270" i="1"/>
  <c r="N270" i="1" s="1"/>
  <c r="L271" i="1"/>
  <c r="N271" i="1" s="1"/>
  <c r="L272" i="1"/>
  <c r="N272" i="1" s="1"/>
  <c r="L273" i="1"/>
  <c r="N273" i="1" s="1"/>
  <c r="L274" i="1"/>
  <c r="N274" i="1" s="1"/>
  <c r="L275" i="1"/>
  <c r="N275" i="1" s="1"/>
  <c r="L276" i="1"/>
  <c r="N276" i="1" s="1"/>
  <c r="L277" i="1"/>
  <c r="N277" i="1" s="1"/>
  <c r="L278" i="1"/>
  <c r="N278" i="1" s="1"/>
  <c r="L279" i="1"/>
  <c r="N279" i="1" s="1"/>
  <c r="L280" i="1"/>
  <c r="N280" i="1" s="1"/>
  <c r="L281" i="1"/>
  <c r="N281" i="1" s="1"/>
  <c r="L282" i="1"/>
  <c r="N282" i="1" s="1"/>
  <c r="L283" i="1"/>
  <c r="N283" i="1" s="1"/>
  <c r="L284" i="1"/>
  <c r="N284" i="1" s="1"/>
  <c r="L285" i="1"/>
  <c r="N285" i="1" s="1"/>
  <c r="L286" i="1"/>
  <c r="N286" i="1" s="1"/>
  <c r="L287" i="1"/>
  <c r="N287" i="1" s="1"/>
  <c r="L288" i="1"/>
  <c r="N288" i="1" s="1"/>
  <c r="L289" i="1"/>
  <c r="N289" i="1" s="1"/>
  <c r="L290" i="1"/>
  <c r="N290" i="1" s="1"/>
  <c r="L291" i="1"/>
  <c r="N291" i="1" s="1"/>
  <c r="L292" i="1"/>
  <c r="N292" i="1" s="1"/>
  <c r="L293" i="1"/>
  <c r="N293" i="1" s="1"/>
  <c r="L294" i="1"/>
  <c r="N294" i="1" s="1"/>
  <c r="L295" i="1"/>
  <c r="N295" i="1" s="1"/>
  <c r="L296" i="1"/>
  <c r="N296" i="1" s="1"/>
  <c r="L297" i="1"/>
  <c r="N297" i="1" s="1"/>
  <c r="L298" i="1"/>
  <c r="N298" i="1" s="1"/>
  <c r="L299" i="1"/>
  <c r="N299" i="1" s="1"/>
  <c r="L300" i="1"/>
  <c r="N300" i="1" s="1"/>
  <c r="L301" i="1"/>
  <c r="N301" i="1" s="1"/>
  <c r="L302" i="1"/>
  <c r="N302" i="1" s="1"/>
  <c r="L303" i="1"/>
  <c r="N303" i="1" s="1"/>
  <c r="L304" i="1"/>
  <c r="N304" i="1" s="1"/>
  <c r="L305" i="1"/>
  <c r="N305" i="1" s="1"/>
  <c r="L306" i="1"/>
  <c r="N306" i="1" s="1"/>
  <c r="L307" i="1"/>
  <c r="N307" i="1" s="1"/>
  <c r="L308" i="1"/>
  <c r="N308" i="1" s="1"/>
  <c r="L309" i="1"/>
  <c r="N309" i="1" s="1"/>
  <c r="L310" i="1"/>
  <c r="N310" i="1" s="1"/>
  <c r="L311" i="1"/>
  <c r="N311" i="1" s="1"/>
  <c r="L312" i="1"/>
  <c r="N312" i="1" s="1"/>
  <c r="L313" i="1"/>
  <c r="N313" i="1" s="1"/>
  <c r="L314" i="1"/>
  <c r="N314" i="1" s="1"/>
  <c r="L315" i="1"/>
  <c r="N315" i="1" s="1"/>
  <c r="L316" i="1"/>
  <c r="N316" i="1" s="1"/>
  <c r="L317" i="1"/>
  <c r="N317" i="1" s="1"/>
  <c r="L318" i="1"/>
  <c r="N318" i="1" s="1"/>
  <c r="L319" i="1"/>
  <c r="N319" i="1" s="1"/>
  <c r="L320" i="1"/>
  <c r="N320" i="1" s="1"/>
  <c r="L321" i="1"/>
  <c r="N321" i="1" s="1"/>
  <c r="L322" i="1"/>
  <c r="N322" i="1" s="1"/>
  <c r="L323" i="1"/>
  <c r="N323" i="1" s="1"/>
  <c r="L324" i="1"/>
  <c r="N324" i="1" s="1"/>
  <c r="L325" i="1"/>
  <c r="N325" i="1" s="1"/>
  <c r="L326" i="1"/>
  <c r="N326" i="1" s="1"/>
  <c r="L327" i="1"/>
  <c r="N327" i="1" s="1"/>
  <c r="L328" i="1"/>
  <c r="N328" i="1" s="1"/>
  <c r="L329" i="1"/>
  <c r="N329" i="1" s="1"/>
  <c r="L330" i="1"/>
  <c r="N330" i="1" s="1"/>
  <c r="L331" i="1"/>
  <c r="N331" i="1" s="1"/>
  <c r="L332" i="1"/>
  <c r="N332" i="1" s="1"/>
  <c r="L333" i="1"/>
  <c r="N333" i="1" s="1"/>
  <c r="L334" i="1"/>
  <c r="N334" i="1" s="1"/>
  <c r="L335" i="1"/>
  <c r="N335" i="1" s="1"/>
  <c r="L336" i="1"/>
  <c r="N336" i="1" s="1"/>
  <c r="L337" i="1"/>
  <c r="N337" i="1" s="1"/>
  <c r="L338" i="1"/>
  <c r="N338" i="1" s="1"/>
  <c r="L339" i="1"/>
  <c r="N339" i="1" s="1"/>
  <c r="L340" i="1"/>
  <c r="N340" i="1" s="1"/>
  <c r="L341" i="1"/>
  <c r="N341" i="1" s="1"/>
  <c r="L342" i="1"/>
  <c r="N342" i="1" s="1"/>
  <c r="L343" i="1"/>
  <c r="N343" i="1" s="1"/>
  <c r="L344" i="1"/>
  <c r="N344" i="1" s="1"/>
  <c r="L345" i="1"/>
  <c r="N345" i="1" s="1"/>
  <c r="L346" i="1"/>
  <c r="N346" i="1" s="1"/>
  <c r="L347" i="1"/>
  <c r="N347" i="1" s="1"/>
  <c r="L348" i="1"/>
  <c r="N348" i="1" s="1"/>
  <c r="L349" i="1"/>
  <c r="N349" i="1" s="1"/>
  <c r="L350" i="1"/>
  <c r="N350" i="1" s="1"/>
  <c r="L351" i="1"/>
  <c r="N351" i="1" s="1"/>
  <c r="L352" i="1"/>
  <c r="N352" i="1" s="1"/>
  <c r="L353" i="1"/>
  <c r="N353" i="1" s="1"/>
  <c r="L354" i="1"/>
  <c r="N354" i="1" s="1"/>
  <c r="L355" i="1"/>
  <c r="N355" i="1" s="1"/>
  <c r="L356" i="1"/>
  <c r="N356" i="1" s="1"/>
  <c r="L357" i="1"/>
  <c r="N357" i="1" s="1"/>
  <c r="L358" i="1"/>
  <c r="N358" i="1" s="1"/>
  <c r="L359" i="1"/>
  <c r="N359" i="1" s="1"/>
  <c r="L360" i="1"/>
  <c r="N360" i="1" s="1"/>
  <c r="L361" i="1"/>
  <c r="N361" i="1" s="1"/>
  <c r="L362" i="1"/>
  <c r="N362" i="1" s="1"/>
  <c r="L363" i="1"/>
  <c r="N363" i="1" s="1"/>
  <c r="L364" i="1"/>
  <c r="N364" i="1" s="1"/>
  <c r="L365" i="1"/>
  <c r="N365" i="1" s="1"/>
  <c r="L366" i="1"/>
  <c r="N366" i="1" s="1"/>
  <c r="L367" i="1"/>
  <c r="N367" i="1" s="1"/>
  <c r="L368" i="1"/>
  <c r="N368" i="1" s="1"/>
  <c r="L369" i="1"/>
  <c r="N369" i="1" s="1"/>
  <c r="L370" i="1"/>
  <c r="N370" i="1" s="1"/>
  <c r="L371" i="1"/>
  <c r="N371" i="1" s="1"/>
  <c r="L372" i="1"/>
  <c r="N372" i="1" s="1"/>
  <c r="L373" i="1"/>
  <c r="N373" i="1" s="1"/>
  <c r="L374" i="1"/>
  <c r="N374" i="1" s="1"/>
  <c r="L375" i="1"/>
  <c r="N375" i="1" s="1"/>
  <c r="L376" i="1"/>
  <c r="N376" i="1" s="1"/>
  <c r="L377" i="1"/>
  <c r="N377" i="1" s="1"/>
  <c r="L378" i="1"/>
  <c r="N378" i="1" s="1"/>
  <c r="L379" i="1"/>
  <c r="N379" i="1" s="1"/>
  <c r="L380" i="1"/>
  <c r="N380" i="1" s="1"/>
  <c r="L381" i="1"/>
  <c r="N381" i="1" s="1"/>
  <c r="L382" i="1"/>
  <c r="N382" i="1" s="1"/>
  <c r="L383" i="1"/>
  <c r="N383" i="1" s="1"/>
  <c r="L384" i="1"/>
  <c r="N384" i="1" s="1"/>
  <c r="L385" i="1"/>
  <c r="N385" i="1" s="1"/>
  <c r="L386" i="1"/>
  <c r="N386" i="1" s="1"/>
  <c r="L387" i="1"/>
  <c r="N387" i="1" s="1"/>
  <c r="L388" i="1"/>
  <c r="N388" i="1" s="1"/>
  <c r="L389" i="1"/>
  <c r="N389" i="1" s="1"/>
  <c r="L390" i="1"/>
  <c r="N390" i="1" s="1"/>
  <c r="L391" i="1"/>
  <c r="N391" i="1" s="1"/>
  <c r="L392" i="1"/>
  <c r="N392" i="1" s="1"/>
  <c r="L393" i="1"/>
  <c r="N393" i="1" s="1"/>
  <c r="L394" i="1"/>
  <c r="N394" i="1" s="1"/>
  <c r="L395" i="1"/>
  <c r="N395" i="1" s="1"/>
  <c r="L396" i="1"/>
  <c r="N396" i="1" s="1"/>
  <c r="L397" i="1"/>
  <c r="N397" i="1" s="1"/>
  <c r="L398" i="1"/>
  <c r="N398" i="1" s="1"/>
  <c r="L399" i="1"/>
  <c r="N399" i="1" s="1"/>
  <c r="L400" i="1"/>
  <c r="N400" i="1" s="1"/>
  <c r="L401" i="1"/>
  <c r="N401" i="1" s="1"/>
  <c r="L402" i="1"/>
  <c r="N402" i="1" s="1"/>
  <c r="L403" i="1"/>
  <c r="N403" i="1" s="1"/>
  <c r="L404" i="1"/>
  <c r="N404" i="1" s="1"/>
  <c r="L405" i="1"/>
  <c r="N405" i="1" s="1"/>
  <c r="L406" i="1"/>
  <c r="N406" i="1" s="1"/>
  <c r="L407" i="1"/>
  <c r="N407" i="1" s="1"/>
  <c r="L408" i="1"/>
  <c r="N408" i="1" s="1"/>
  <c r="L409" i="1"/>
  <c r="N409" i="1" s="1"/>
  <c r="L410" i="1"/>
  <c r="N410" i="1" s="1"/>
  <c r="L411" i="1"/>
  <c r="N411" i="1" s="1"/>
  <c r="L412" i="1"/>
  <c r="N412" i="1" s="1"/>
  <c r="L413" i="1"/>
  <c r="N413" i="1" s="1"/>
  <c r="L414" i="1"/>
  <c r="N414" i="1" s="1"/>
  <c r="L415" i="1"/>
  <c r="N415" i="1" s="1"/>
  <c r="L416" i="1"/>
  <c r="N416" i="1" s="1"/>
  <c r="L417" i="1"/>
  <c r="N417" i="1" s="1"/>
  <c r="L418" i="1"/>
  <c r="N418" i="1" s="1"/>
  <c r="L419" i="1"/>
  <c r="N419" i="1" s="1"/>
  <c r="L420" i="1"/>
  <c r="N420" i="1" s="1"/>
  <c r="L421" i="1"/>
  <c r="N421" i="1" s="1"/>
  <c r="L422" i="1"/>
  <c r="N422" i="1" s="1"/>
  <c r="L423" i="1"/>
  <c r="N423" i="1" s="1"/>
  <c r="L424" i="1"/>
  <c r="N424" i="1" s="1"/>
  <c r="L425" i="1"/>
  <c r="N425" i="1" s="1"/>
  <c r="L426" i="1"/>
  <c r="N426" i="1" s="1"/>
  <c r="L427" i="1"/>
  <c r="N427" i="1" s="1"/>
  <c r="L428" i="1"/>
  <c r="N428" i="1" s="1"/>
  <c r="L429" i="1"/>
  <c r="N429" i="1" s="1"/>
  <c r="L430" i="1"/>
  <c r="N430" i="1" s="1"/>
  <c r="L431" i="1"/>
  <c r="N431" i="1" s="1"/>
  <c r="L432" i="1"/>
  <c r="N432" i="1" s="1"/>
  <c r="L433" i="1"/>
  <c r="N433" i="1" s="1"/>
  <c r="L434" i="1"/>
  <c r="N434" i="1" s="1"/>
  <c r="L435" i="1"/>
  <c r="N435" i="1" s="1"/>
  <c r="L436" i="1"/>
  <c r="N436" i="1" s="1"/>
  <c r="L437" i="1"/>
  <c r="N437" i="1" s="1"/>
  <c r="L438" i="1"/>
  <c r="N438" i="1" s="1"/>
  <c r="L439" i="1"/>
  <c r="N439" i="1" s="1"/>
  <c r="L440" i="1"/>
  <c r="N440" i="1" s="1"/>
  <c r="L441" i="1"/>
  <c r="N441" i="1" s="1"/>
  <c r="L442" i="1"/>
  <c r="N442" i="1" s="1"/>
  <c r="L443" i="1"/>
  <c r="N443" i="1" s="1"/>
  <c r="L444" i="1"/>
  <c r="N444" i="1" s="1"/>
  <c r="L445" i="1"/>
  <c r="N445" i="1" s="1"/>
  <c r="L446" i="1"/>
  <c r="N446" i="1" s="1"/>
  <c r="L447" i="1"/>
  <c r="N447" i="1" s="1"/>
  <c r="L448" i="1"/>
  <c r="N448" i="1" s="1"/>
  <c r="L449" i="1"/>
  <c r="N449" i="1" s="1"/>
  <c r="L450" i="1"/>
  <c r="N450" i="1" s="1"/>
  <c r="L451" i="1"/>
  <c r="N451" i="1" s="1"/>
  <c r="L452" i="1"/>
  <c r="N452" i="1" s="1"/>
  <c r="L453" i="1"/>
  <c r="N453" i="1" s="1"/>
  <c r="L454" i="1"/>
  <c r="N454" i="1" s="1"/>
  <c r="L455" i="1"/>
  <c r="N455" i="1" s="1"/>
  <c r="L456" i="1"/>
  <c r="N456" i="1" s="1"/>
  <c r="L457" i="1"/>
  <c r="N457" i="1" s="1"/>
  <c r="L458" i="1"/>
  <c r="N458" i="1" s="1"/>
  <c r="L459" i="1"/>
  <c r="N459" i="1" s="1"/>
  <c r="L460" i="1"/>
  <c r="N460" i="1" s="1"/>
  <c r="L461" i="1"/>
  <c r="N461" i="1" s="1"/>
  <c r="L462" i="1"/>
  <c r="N462" i="1" s="1"/>
  <c r="L463" i="1"/>
  <c r="N463" i="1" s="1"/>
  <c r="L464" i="1"/>
  <c r="N464" i="1" s="1"/>
  <c r="L465" i="1"/>
  <c r="N465" i="1" s="1"/>
  <c r="L466" i="1"/>
  <c r="N466" i="1" s="1"/>
  <c r="L467" i="1"/>
  <c r="N467" i="1" s="1"/>
  <c r="L468" i="1"/>
  <c r="N468" i="1" s="1"/>
  <c r="L469" i="1"/>
  <c r="N469" i="1" s="1"/>
  <c r="L470" i="1"/>
  <c r="N470" i="1" s="1"/>
  <c r="L471" i="1"/>
  <c r="N471" i="1" s="1"/>
  <c r="L472" i="1"/>
  <c r="N472" i="1" s="1"/>
  <c r="L473" i="1"/>
  <c r="N473" i="1" s="1"/>
  <c r="L474" i="1"/>
  <c r="N474" i="1" s="1"/>
  <c r="L475" i="1"/>
  <c r="N475" i="1" s="1"/>
  <c r="L476" i="1"/>
  <c r="N476" i="1" s="1"/>
  <c r="L477" i="1"/>
  <c r="N477" i="1" s="1"/>
  <c r="L478" i="1"/>
  <c r="N478" i="1" s="1"/>
  <c r="L479" i="1"/>
  <c r="N479" i="1" s="1"/>
  <c r="L480" i="1"/>
  <c r="N480" i="1" s="1"/>
  <c r="L481" i="1"/>
  <c r="N481" i="1" s="1"/>
  <c r="L482" i="1"/>
  <c r="N482" i="1" s="1"/>
  <c r="L483" i="1"/>
  <c r="N483" i="1" s="1"/>
  <c r="L484" i="1"/>
  <c r="N484" i="1" s="1"/>
  <c r="L485" i="1"/>
  <c r="N485" i="1" s="1"/>
  <c r="L486" i="1"/>
  <c r="N486" i="1" s="1"/>
  <c r="L487" i="1"/>
  <c r="N487" i="1" s="1"/>
  <c r="L488" i="1"/>
  <c r="N488" i="1" s="1"/>
  <c r="L489" i="1"/>
  <c r="N489" i="1" s="1"/>
  <c r="L490" i="1"/>
  <c r="N490" i="1" s="1"/>
  <c r="L491" i="1"/>
  <c r="N491" i="1" s="1"/>
  <c r="L492" i="1"/>
  <c r="N492" i="1" s="1"/>
  <c r="L493" i="1"/>
  <c r="N493" i="1" s="1"/>
  <c r="L494" i="1"/>
  <c r="N494" i="1" s="1"/>
  <c r="L495" i="1"/>
  <c r="N495" i="1" s="1"/>
  <c r="L496" i="1"/>
  <c r="N496" i="1" s="1"/>
  <c r="L497" i="1"/>
  <c r="N497" i="1" s="1"/>
  <c r="L498" i="1"/>
  <c r="N498" i="1" s="1"/>
  <c r="L499" i="1"/>
  <c r="N499" i="1" s="1"/>
  <c r="L500" i="1"/>
  <c r="N500" i="1" s="1"/>
  <c r="L501" i="1"/>
  <c r="N501" i="1" s="1"/>
  <c r="L502" i="1"/>
  <c r="N502" i="1" s="1"/>
  <c r="L503" i="1"/>
  <c r="N503" i="1" s="1"/>
  <c r="L504" i="1"/>
  <c r="N504" i="1" s="1"/>
  <c r="L505" i="1"/>
  <c r="N505" i="1" s="1"/>
  <c r="L506" i="1"/>
  <c r="N506" i="1" s="1"/>
  <c r="L507" i="1"/>
  <c r="N507" i="1" s="1"/>
  <c r="L508" i="1"/>
  <c r="N508" i="1" s="1"/>
  <c r="L509" i="1"/>
  <c r="N509" i="1" s="1"/>
  <c r="L510" i="1"/>
  <c r="N510" i="1" s="1"/>
  <c r="L511" i="1"/>
  <c r="N511" i="1" s="1"/>
  <c r="L512" i="1"/>
  <c r="N512" i="1" s="1"/>
  <c r="L513" i="1"/>
  <c r="N513" i="1" s="1"/>
  <c r="L514" i="1"/>
  <c r="N514" i="1" s="1"/>
  <c r="L515" i="1"/>
  <c r="N515" i="1" s="1"/>
  <c r="L516" i="1"/>
  <c r="N516" i="1" s="1"/>
  <c r="L517" i="1"/>
  <c r="N517" i="1" s="1"/>
  <c r="L518" i="1"/>
  <c r="N518" i="1" s="1"/>
  <c r="L519" i="1"/>
  <c r="N519" i="1" s="1"/>
  <c r="L520" i="1"/>
  <c r="N520" i="1" s="1"/>
  <c r="L521" i="1"/>
  <c r="N521" i="1" s="1"/>
  <c r="L522" i="1"/>
  <c r="N522" i="1" s="1"/>
  <c r="L523" i="1"/>
  <c r="N523" i="1" s="1"/>
  <c r="L524" i="1"/>
  <c r="N524" i="1" s="1"/>
  <c r="L525" i="1"/>
  <c r="N525" i="1" s="1"/>
  <c r="L526" i="1"/>
  <c r="N526" i="1" s="1"/>
  <c r="L527" i="1"/>
  <c r="N527" i="1" s="1"/>
  <c r="L528" i="1"/>
  <c r="N528" i="1" s="1"/>
  <c r="L529" i="1"/>
  <c r="N529" i="1" s="1"/>
  <c r="L530" i="1"/>
  <c r="N530" i="1" s="1"/>
  <c r="L531" i="1"/>
  <c r="N531" i="1" s="1"/>
  <c r="L532" i="1"/>
  <c r="N532" i="1" s="1"/>
  <c r="L533" i="1"/>
  <c r="N533" i="1" s="1"/>
  <c r="L534" i="1"/>
  <c r="N534" i="1" s="1"/>
  <c r="L535" i="1"/>
  <c r="N535" i="1" s="1"/>
  <c r="L536" i="1"/>
  <c r="N536" i="1" s="1"/>
  <c r="L537" i="1"/>
  <c r="N537" i="1" s="1"/>
  <c r="L538" i="1"/>
  <c r="N538" i="1" s="1"/>
  <c r="L539" i="1"/>
  <c r="N539" i="1" s="1"/>
  <c r="L540" i="1"/>
  <c r="N540" i="1" s="1"/>
  <c r="L541" i="1"/>
  <c r="N541" i="1" s="1"/>
  <c r="L542" i="1"/>
  <c r="N542" i="1" s="1"/>
  <c r="L543" i="1"/>
  <c r="N543" i="1" s="1"/>
  <c r="L544" i="1"/>
  <c r="N544" i="1" s="1"/>
  <c r="L545" i="1"/>
  <c r="N545" i="1" s="1"/>
  <c r="L546" i="1"/>
  <c r="N546" i="1" s="1"/>
  <c r="L547" i="1"/>
  <c r="N547" i="1" s="1"/>
  <c r="L548" i="1"/>
  <c r="N548" i="1" s="1"/>
  <c r="L549" i="1"/>
  <c r="N549" i="1" s="1"/>
  <c r="L550" i="1"/>
  <c r="N550" i="1" s="1"/>
  <c r="L551" i="1"/>
  <c r="N551" i="1" s="1"/>
  <c r="L552" i="1"/>
  <c r="N552" i="1" s="1"/>
  <c r="L553" i="1"/>
  <c r="N553" i="1" s="1"/>
  <c r="L554" i="1"/>
  <c r="N554" i="1" s="1"/>
  <c r="L555" i="1"/>
  <c r="N555" i="1" s="1"/>
  <c r="L556" i="1"/>
  <c r="N556" i="1" s="1"/>
  <c r="L557" i="1"/>
  <c r="N557" i="1" s="1"/>
  <c r="L558" i="1"/>
  <c r="N558" i="1" s="1"/>
  <c r="L559" i="1"/>
  <c r="N559" i="1" s="1"/>
  <c r="L560" i="1"/>
  <c r="N560" i="1" s="1"/>
  <c r="L561" i="1"/>
  <c r="N561" i="1" s="1"/>
  <c r="L562" i="1"/>
  <c r="N562" i="1" s="1"/>
  <c r="L563" i="1"/>
  <c r="N563" i="1" s="1"/>
  <c r="L564" i="1"/>
  <c r="N564" i="1" s="1"/>
  <c r="L565" i="1"/>
  <c r="N565" i="1" s="1"/>
  <c r="L566" i="1"/>
  <c r="N566" i="1" s="1"/>
  <c r="L567" i="1"/>
  <c r="N567" i="1" s="1"/>
  <c r="L568" i="1"/>
  <c r="N568" i="1" s="1"/>
  <c r="L569" i="1"/>
  <c r="N569" i="1" s="1"/>
  <c r="L570" i="1"/>
  <c r="N570" i="1" s="1"/>
  <c r="L571" i="1"/>
  <c r="N571" i="1" s="1"/>
  <c r="L572" i="1"/>
  <c r="N572" i="1" s="1"/>
  <c r="L573" i="1"/>
  <c r="N573" i="1" s="1"/>
  <c r="L574" i="1"/>
  <c r="N574" i="1" s="1"/>
  <c r="L575" i="1"/>
  <c r="N575" i="1" s="1"/>
  <c r="L576" i="1"/>
  <c r="N576" i="1" s="1"/>
  <c r="L577" i="1"/>
  <c r="N577" i="1" s="1"/>
  <c r="L578" i="1"/>
  <c r="N578" i="1" s="1"/>
  <c r="L579" i="1"/>
  <c r="N579" i="1" s="1"/>
  <c r="L580" i="1"/>
  <c r="N580" i="1" s="1"/>
  <c r="L581" i="1"/>
  <c r="N581" i="1" s="1"/>
  <c r="L582" i="1"/>
  <c r="N582" i="1" s="1"/>
  <c r="L583" i="1"/>
  <c r="N583" i="1" s="1"/>
  <c r="L584" i="1"/>
  <c r="N584" i="1" s="1"/>
  <c r="L585" i="1"/>
  <c r="N585" i="1" s="1"/>
  <c r="L586" i="1"/>
  <c r="N586" i="1" s="1"/>
  <c r="L587" i="1"/>
  <c r="N587" i="1" s="1"/>
  <c r="L588" i="1"/>
  <c r="N588" i="1" s="1"/>
  <c r="L589" i="1"/>
  <c r="N589" i="1" s="1"/>
  <c r="L590" i="1"/>
  <c r="N590" i="1" s="1"/>
  <c r="L591" i="1"/>
  <c r="N591" i="1" s="1"/>
  <c r="L592" i="1"/>
  <c r="N592" i="1" s="1"/>
  <c r="L593" i="1"/>
  <c r="N593" i="1" s="1"/>
  <c r="L594" i="1"/>
  <c r="N594" i="1" s="1"/>
  <c r="L595" i="1"/>
  <c r="N595" i="1" s="1"/>
  <c r="L596" i="1"/>
  <c r="N596" i="1" s="1"/>
  <c r="L597" i="1"/>
  <c r="N597" i="1" s="1"/>
  <c r="L598" i="1"/>
  <c r="N598" i="1" s="1"/>
  <c r="L599" i="1"/>
  <c r="N599" i="1" s="1"/>
  <c r="L600" i="1"/>
  <c r="N600" i="1" s="1"/>
  <c r="L601" i="1"/>
  <c r="N601" i="1" s="1"/>
  <c r="L602" i="1"/>
  <c r="N602" i="1" s="1"/>
  <c r="L603" i="1"/>
  <c r="N603" i="1" s="1"/>
  <c r="L604" i="1"/>
  <c r="N604" i="1" s="1"/>
  <c r="L605" i="1"/>
  <c r="N605" i="1" s="1"/>
  <c r="L606" i="1"/>
  <c r="N606" i="1" s="1"/>
  <c r="L607" i="1"/>
  <c r="N607" i="1" s="1"/>
  <c r="L608" i="1"/>
  <c r="N608" i="1" s="1"/>
  <c r="L609" i="1"/>
  <c r="N609" i="1" s="1"/>
  <c r="L610" i="1"/>
  <c r="N610" i="1" s="1"/>
  <c r="L611" i="1"/>
  <c r="N611" i="1" s="1"/>
  <c r="L612" i="1"/>
  <c r="N612" i="1" s="1"/>
  <c r="L613" i="1"/>
  <c r="N613" i="1" s="1"/>
  <c r="L614" i="1"/>
  <c r="N614" i="1" s="1"/>
  <c r="L615" i="1"/>
  <c r="N615" i="1" s="1"/>
  <c r="L616" i="1"/>
  <c r="N616" i="1" s="1"/>
  <c r="L617" i="1"/>
  <c r="N617" i="1" s="1"/>
  <c r="L618" i="1"/>
  <c r="N618" i="1" s="1"/>
  <c r="L619" i="1"/>
  <c r="N619" i="1" s="1"/>
  <c r="L620" i="1"/>
  <c r="N620" i="1" s="1"/>
  <c r="L621" i="1"/>
  <c r="N621" i="1" s="1"/>
  <c r="L622" i="1"/>
  <c r="N622" i="1" s="1"/>
  <c r="L623" i="1"/>
  <c r="N623" i="1" s="1"/>
  <c r="L624" i="1"/>
  <c r="N624" i="1" s="1"/>
  <c r="L625" i="1"/>
  <c r="N625" i="1" s="1"/>
  <c r="L626" i="1"/>
  <c r="N626" i="1" s="1"/>
  <c r="L627" i="1"/>
  <c r="N627" i="1" s="1"/>
  <c r="L628" i="1"/>
  <c r="N628" i="1" s="1"/>
  <c r="L629" i="1"/>
  <c r="N629" i="1" s="1"/>
  <c r="L630" i="1"/>
  <c r="N630" i="1" s="1"/>
  <c r="L631" i="1"/>
  <c r="N631" i="1" s="1"/>
  <c r="L632" i="1"/>
  <c r="N632" i="1" s="1"/>
  <c r="L633" i="1"/>
  <c r="N633" i="1" s="1"/>
  <c r="L634" i="1"/>
  <c r="N634" i="1" s="1"/>
  <c r="L635" i="1"/>
  <c r="N635" i="1" s="1"/>
  <c r="L636" i="1"/>
  <c r="N636" i="1" s="1"/>
  <c r="L637" i="1"/>
  <c r="N637" i="1" s="1"/>
  <c r="L638" i="1"/>
  <c r="N638" i="1" s="1"/>
  <c r="L639" i="1"/>
  <c r="N639" i="1" s="1"/>
  <c r="L640" i="1"/>
  <c r="N640" i="1" s="1"/>
  <c r="L641" i="1"/>
  <c r="N641" i="1" s="1"/>
  <c r="L642" i="1"/>
  <c r="N642" i="1" s="1"/>
  <c r="L643" i="1"/>
  <c r="N643" i="1" s="1"/>
  <c r="L644" i="1"/>
  <c r="N644" i="1" s="1"/>
  <c r="L645" i="1"/>
  <c r="N645" i="1" s="1"/>
  <c r="L646" i="1"/>
  <c r="N646" i="1" s="1"/>
  <c r="L647" i="1"/>
  <c r="N647" i="1" s="1"/>
  <c r="L648" i="1"/>
  <c r="N648" i="1" s="1"/>
  <c r="L649" i="1"/>
  <c r="N649" i="1" s="1"/>
  <c r="L650" i="1"/>
  <c r="N650" i="1" s="1"/>
  <c r="L651" i="1"/>
  <c r="N651" i="1" s="1"/>
  <c r="L652" i="1"/>
  <c r="N652" i="1" s="1"/>
  <c r="L653" i="1"/>
  <c r="N653" i="1" s="1"/>
  <c r="L654" i="1"/>
  <c r="N654" i="1" s="1"/>
  <c r="L655" i="1"/>
  <c r="N655" i="1" s="1"/>
  <c r="L656" i="1"/>
  <c r="N656" i="1" s="1"/>
  <c r="L657" i="1"/>
  <c r="N657" i="1" s="1"/>
  <c r="L658" i="1"/>
  <c r="N658" i="1" s="1"/>
  <c r="L659" i="1"/>
  <c r="N659" i="1" s="1"/>
  <c r="L660" i="1"/>
  <c r="N660" i="1" s="1"/>
  <c r="L661" i="1"/>
  <c r="N661" i="1" s="1"/>
  <c r="L662" i="1"/>
  <c r="N662" i="1" s="1"/>
  <c r="L663" i="1"/>
  <c r="N663" i="1" s="1"/>
  <c r="L664" i="1"/>
  <c r="N664" i="1" s="1"/>
  <c r="L665" i="1"/>
  <c r="N665" i="1" s="1"/>
  <c r="L666" i="1"/>
  <c r="N666" i="1" s="1"/>
  <c r="L667" i="1"/>
  <c r="N667" i="1" s="1"/>
  <c r="L668" i="1"/>
  <c r="N668" i="1" s="1"/>
  <c r="L669" i="1"/>
  <c r="N669" i="1" s="1"/>
  <c r="L670" i="1"/>
  <c r="N670" i="1" s="1"/>
  <c r="L671" i="1"/>
  <c r="N671" i="1" s="1"/>
  <c r="L672" i="1"/>
  <c r="N672" i="1" s="1"/>
  <c r="L673" i="1"/>
  <c r="N673" i="1" s="1"/>
  <c r="L674" i="1"/>
  <c r="N674" i="1" s="1"/>
  <c r="L675" i="1"/>
  <c r="N675" i="1" s="1"/>
  <c r="L676" i="1"/>
  <c r="N676" i="1" s="1"/>
  <c r="L677" i="1"/>
  <c r="N677" i="1" s="1"/>
  <c r="L678" i="1"/>
  <c r="N678" i="1" s="1"/>
  <c r="L679" i="1"/>
  <c r="N679" i="1" s="1"/>
  <c r="L680" i="1"/>
  <c r="N680" i="1" s="1"/>
  <c r="L681" i="1"/>
  <c r="N681" i="1" s="1"/>
  <c r="L682" i="1"/>
  <c r="N682" i="1" s="1"/>
  <c r="L683" i="1"/>
  <c r="N683" i="1" s="1"/>
  <c r="L684" i="1"/>
  <c r="N684" i="1" s="1"/>
  <c r="L685" i="1"/>
  <c r="N685" i="1" s="1"/>
  <c r="L686" i="1"/>
  <c r="N686" i="1" s="1"/>
  <c r="L687" i="1"/>
  <c r="N687" i="1" s="1"/>
  <c r="L688" i="1"/>
  <c r="N688" i="1" s="1"/>
  <c r="L689" i="1"/>
  <c r="N689" i="1" s="1"/>
  <c r="L690" i="1"/>
  <c r="N690" i="1" s="1"/>
  <c r="L691" i="1"/>
  <c r="N691" i="1" s="1"/>
  <c r="L692" i="1"/>
  <c r="N692" i="1" s="1"/>
  <c r="L693" i="1"/>
  <c r="N693" i="1" s="1"/>
  <c r="L694" i="1"/>
  <c r="N694" i="1" s="1"/>
  <c r="L695" i="1"/>
  <c r="N695" i="1" s="1"/>
  <c r="L696" i="1"/>
  <c r="N696" i="1" s="1"/>
  <c r="L697" i="1"/>
  <c r="N697" i="1" s="1"/>
  <c r="L698" i="1"/>
  <c r="N698" i="1" s="1"/>
  <c r="L699" i="1"/>
  <c r="N699" i="1" s="1"/>
  <c r="L700" i="1"/>
  <c r="N700" i="1" s="1"/>
  <c r="L701" i="1"/>
  <c r="N701" i="1" s="1"/>
  <c r="L702" i="1"/>
  <c r="N702" i="1" s="1"/>
  <c r="L703" i="1"/>
  <c r="N703" i="1" s="1"/>
  <c r="L704" i="1"/>
  <c r="N704" i="1" s="1"/>
  <c r="L705" i="1"/>
  <c r="N705" i="1" s="1"/>
  <c r="L706" i="1"/>
  <c r="N706" i="1" s="1"/>
  <c r="L707" i="1"/>
  <c r="N707" i="1" s="1"/>
  <c r="L708" i="1"/>
  <c r="N708" i="1" s="1"/>
  <c r="L709" i="1"/>
  <c r="N709" i="1" s="1"/>
  <c r="L710" i="1"/>
  <c r="N710" i="1" s="1"/>
  <c r="L711" i="1"/>
  <c r="N711" i="1" s="1"/>
  <c r="L712" i="1"/>
  <c r="N712" i="1" s="1"/>
  <c r="L713" i="1"/>
  <c r="N713" i="1" s="1"/>
  <c r="L714" i="1"/>
  <c r="N714" i="1" s="1"/>
  <c r="L715" i="1"/>
  <c r="N715" i="1" s="1"/>
  <c r="L716" i="1"/>
  <c r="N716" i="1" s="1"/>
  <c r="L717" i="1"/>
  <c r="N717" i="1" s="1"/>
  <c r="L718" i="1"/>
  <c r="N718" i="1" s="1"/>
  <c r="L719" i="1"/>
  <c r="N719" i="1" s="1"/>
  <c r="L720" i="1"/>
  <c r="N720" i="1" s="1"/>
  <c r="L721" i="1"/>
  <c r="N721" i="1" s="1"/>
  <c r="L722" i="1"/>
  <c r="N722" i="1" s="1"/>
  <c r="L723" i="1"/>
  <c r="N723" i="1" s="1"/>
  <c r="L724" i="1"/>
  <c r="N724" i="1" s="1"/>
  <c r="L725" i="1"/>
  <c r="N725" i="1" s="1"/>
  <c r="L726" i="1"/>
  <c r="N726" i="1" s="1"/>
  <c r="L727" i="1"/>
  <c r="N727" i="1" s="1"/>
  <c r="L728" i="1"/>
  <c r="N728" i="1" s="1"/>
  <c r="L729" i="1"/>
  <c r="N729" i="1" s="1"/>
  <c r="L730" i="1"/>
  <c r="N730" i="1" s="1"/>
  <c r="L731" i="1"/>
  <c r="N731" i="1" s="1"/>
  <c r="L732" i="1"/>
  <c r="N732" i="1" s="1"/>
  <c r="L733" i="1"/>
  <c r="N733" i="1" s="1"/>
  <c r="L734" i="1"/>
  <c r="N734" i="1" s="1"/>
  <c r="L735" i="1"/>
  <c r="N735" i="1" s="1"/>
  <c r="L736" i="1"/>
  <c r="N736" i="1" s="1"/>
  <c r="L737" i="1"/>
  <c r="N737" i="1" s="1"/>
  <c r="L738" i="1"/>
  <c r="N738" i="1" s="1"/>
  <c r="L739" i="1"/>
  <c r="N739" i="1" s="1"/>
  <c r="L740" i="1"/>
  <c r="N740" i="1" s="1"/>
  <c r="L741" i="1"/>
  <c r="N741" i="1" s="1"/>
  <c r="L742" i="1"/>
  <c r="N742" i="1" s="1"/>
  <c r="L743" i="1"/>
  <c r="N743" i="1" s="1"/>
  <c r="L744" i="1"/>
  <c r="N744" i="1" s="1"/>
  <c r="L745" i="1"/>
  <c r="N745" i="1" s="1"/>
  <c r="L746" i="1"/>
  <c r="N746" i="1" s="1"/>
  <c r="L747" i="1"/>
  <c r="N747" i="1" s="1"/>
  <c r="L748" i="1"/>
  <c r="N748" i="1" s="1"/>
  <c r="L749" i="1"/>
  <c r="N749" i="1" s="1"/>
  <c r="L750" i="1"/>
  <c r="N750" i="1" s="1"/>
  <c r="L751" i="1"/>
  <c r="N751" i="1" s="1"/>
  <c r="L752" i="1"/>
  <c r="N752" i="1" s="1"/>
  <c r="L753" i="1"/>
  <c r="N753" i="1" s="1"/>
  <c r="L754" i="1"/>
  <c r="N754" i="1" s="1"/>
  <c r="L755" i="1"/>
  <c r="N755" i="1" s="1"/>
  <c r="L756" i="1"/>
  <c r="N756" i="1" s="1"/>
  <c r="L757" i="1"/>
  <c r="N757" i="1" s="1"/>
  <c r="L758" i="1"/>
  <c r="N758" i="1" s="1"/>
  <c r="L759" i="1"/>
  <c r="N759" i="1" s="1"/>
  <c r="L760" i="1"/>
  <c r="N760" i="1" s="1"/>
  <c r="L761" i="1"/>
  <c r="N761" i="1" s="1"/>
  <c r="L762" i="1"/>
  <c r="N762" i="1" s="1"/>
  <c r="L763" i="1"/>
  <c r="N763" i="1" s="1"/>
  <c r="L764" i="1"/>
  <c r="N764" i="1" s="1"/>
  <c r="L765" i="1"/>
  <c r="N765" i="1" s="1"/>
  <c r="L766" i="1"/>
  <c r="N766" i="1" s="1"/>
  <c r="L767" i="1"/>
  <c r="N767" i="1" s="1"/>
  <c r="L768" i="1"/>
  <c r="N768" i="1" s="1"/>
  <c r="L769" i="1"/>
  <c r="N769" i="1" s="1"/>
  <c r="L770" i="1"/>
  <c r="N770" i="1" s="1"/>
  <c r="L771" i="1"/>
  <c r="N771" i="1" s="1"/>
  <c r="L772" i="1"/>
  <c r="N772" i="1" s="1"/>
  <c r="L773" i="1"/>
  <c r="N773" i="1" s="1"/>
  <c r="L774" i="1"/>
  <c r="N774" i="1" s="1"/>
  <c r="L775" i="1"/>
  <c r="N775" i="1" s="1"/>
  <c r="L776" i="1"/>
  <c r="N776" i="1" s="1"/>
  <c r="L777" i="1"/>
  <c r="N777" i="1" s="1"/>
  <c r="L778" i="1"/>
  <c r="N778" i="1" s="1"/>
  <c r="L779" i="1"/>
  <c r="N779" i="1" s="1"/>
  <c r="L780" i="1"/>
  <c r="N780" i="1" s="1"/>
  <c r="L781" i="1"/>
  <c r="N781" i="1" s="1"/>
  <c r="L782" i="1"/>
  <c r="N782" i="1" s="1"/>
  <c r="L783" i="1"/>
  <c r="N783" i="1" s="1"/>
  <c r="L784" i="1"/>
  <c r="N784" i="1" s="1"/>
  <c r="L785" i="1"/>
  <c r="N785" i="1" s="1"/>
  <c r="L786" i="1"/>
  <c r="N786" i="1" s="1"/>
  <c r="L787" i="1"/>
  <c r="N787" i="1" s="1"/>
  <c r="L788" i="1"/>
  <c r="N788" i="1" s="1"/>
  <c r="L789" i="1"/>
  <c r="N789" i="1" s="1"/>
  <c r="L790" i="1"/>
  <c r="N790" i="1" s="1"/>
  <c r="L791" i="1"/>
  <c r="N791" i="1" s="1"/>
  <c r="L792" i="1"/>
  <c r="N792" i="1" s="1"/>
  <c r="L793" i="1"/>
  <c r="N793" i="1" s="1"/>
  <c r="L794" i="1"/>
  <c r="N794" i="1" s="1"/>
  <c r="L795" i="1"/>
  <c r="N795" i="1" s="1"/>
  <c r="L796" i="1"/>
  <c r="N796" i="1" s="1"/>
  <c r="L797" i="1"/>
  <c r="N797" i="1" s="1"/>
  <c r="L798" i="1"/>
  <c r="N798" i="1" s="1"/>
  <c r="L799" i="1"/>
  <c r="N799" i="1" s="1"/>
  <c r="L800" i="1"/>
  <c r="N800" i="1" s="1"/>
  <c r="L801" i="1"/>
  <c r="N801" i="1" s="1"/>
  <c r="L802" i="1"/>
  <c r="N802" i="1" s="1"/>
  <c r="L803" i="1"/>
  <c r="N803" i="1" s="1"/>
  <c r="L804" i="1"/>
  <c r="N804" i="1" s="1"/>
  <c r="L805" i="1"/>
  <c r="N805" i="1" s="1"/>
  <c r="L806" i="1"/>
  <c r="N806" i="1" s="1"/>
  <c r="L807" i="1"/>
  <c r="N807" i="1" s="1"/>
  <c r="L808" i="1"/>
  <c r="N808" i="1" s="1"/>
  <c r="L809" i="1"/>
  <c r="N809" i="1" s="1"/>
  <c r="L810" i="1"/>
  <c r="N810" i="1" s="1"/>
  <c r="L811" i="1"/>
  <c r="N811" i="1" s="1"/>
  <c r="L812" i="1"/>
  <c r="N812" i="1" s="1"/>
  <c r="L813" i="1"/>
  <c r="N813" i="1" s="1"/>
  <c r="L814" i="1"/>
  <c r="N814" i="1" s="1"/>
  <c r="L815" i="1"/>
  <c r="N815" i="1" s="1"/>
  <c r="L816" i="1"/>
  <c r="N816" i="1" s="1"/>
  <c r="L817" i="1"/>
  <c r="N817" i="1" s="1"/>
  <c r="L818" i="1"/>
  <c r="N818" i="1" s="1"/>
  <c r="L819" i="1"/>
  <c r="N819" i="1" s="1"/>
  <c r="L820" i="1"/>
  <c r="N820" i="1" s="1"/>
  <c r="L821" i="1"/>
  <c r="N821" i="1" s="1"/>
  <c r="L822" i="1"/>
  <c r="N822" i="1" s="1"/>
  <c r="L823" i="1"/>
  <c r="N823" i="1" s="1"/>
  <c r="L824" i="1"/>
  <c r="N824" i="1" s="1"/>
  <c r="L825" i="1"/>
  <c r="N825" i="1" s="1"/>
  <c r="L826" i="1"/>
  <c r="N826" i="1" s="1"/>
  <c r="L827" i="1"/>
  <c r="N827" i="1" s="1"/>
  <c r="L828" i="1"/>
  <c r="N828" i="1" s="1"/>
  <c r="L829" i="1"/>
  <c r="N829" i="1" s="1"/>
  <c r="L830" i="1"/>
  <c r="N830" i="1" s="1"/>
  <c r="L831" i="1"/>
  <c r="N831" i="1" s="1"/>
  <c r="L832" i="1"/>
  <c r="N832" i="1" s="1"/>
  <c r="L833" i="1"/>
  <c r="N833" i="1" s="1"/>
  <c r="L834" i="1"/>
  <c r="N834" i="1" s="1"/>
  <c r="L835" i="1"/>
  <c r="N835" i="1" s="1"/>
  <c r="L836" i="1"/>
  <c r="N836" i="1" s="1"/>
  <c r="L837" i="1"/>
  <c r="N837" i="1" s="1"/>
  <c r="L838" i="1"/>
  <c r="N838" i="1" s="1"/>
  <c r="L839" i="1"/>
  <c r="N839" i="1" s="1"/>
  <c r="L840" i="1"/>
  <c r="N840" i="1" s="1"/>
  <c r="L841" i="1"/>
  <c r="N841" i="1" s="1"/>
  <c r="L842" i="1"/>
  <c r="N842" i="1" s="1"/>
  <c r="L843" i="1"/>
  <c r="N843" i="1" s="1"/>
  <c r="L844" i="1"/>
  <c r="N844" i="1" s="1"/>
  <c r="L845" i="1"/>
  <c r="N845" i="1" s="1"/>
  <c r="L846" i="1"/>
  <c r="N846" i="1" s="1"/>
  <c r="L847" i="1"/>
  <c r="N847" i="1" s="1"/>
  <c r="L848" i="1"/>
  <c r="N848" i="1" s="1"/>
  <c r="L849" i="1"/>
  <c r="N849" i="1" s="1"/>
  <c r="L850" i="1"/>
  <c r="N850" i="1" s="1"/>
  <c r="L851" i="1"/>
  <c r="N851" i="1" s="1"/>
  <c r="L852" i="1"/>
  <c r="N852" i="1" s="1"/>
  <c r="L853" i="1"/>
  <c r="N853" i="1" s="1"/>
  <c r="L854" i="1"/>
  <c r="N854" i="1" s="1"/>
  <c r="L855" i="1"/>
  <c r="N855" i="1" s="1"/>
  <c r="L856" i="1"/>
  <c r="N856" i="1" s="1"/>
  <c r="L857" i="1"/>
  <c r="N857" i="1" s="1"/>
  <c r="L858" i="1"/>
  <c r="N858" i="1" s="1"/>
  <c r="L859" i="1"/>
  <c r="N859" i="1" s="1"/>
  <c r="L860" i="1"/>
  <c r="N860" i="1" s="1"/>
  <c r="L861" i="1"/>
  <c r="N861" i="1" s="1"/>
  <c r="L862" i="1"/>
  <c r="N862" i="1" s="1"/>
  <c r="L863" i="1"/>
  <c r="N863" i="1" s="1"/>
  <c r="L864" i="1"/>
  <c r="N864" i="1" s="1"/>
  <c r="L865" i="1"/>
  <c r="N865" i="1" s="1"/>
  <c r="L866" i="1"/>
  <c r="N866" i="1" s="1"/>
  <c r="L867" i="1"/>
  <c r="N867" i="1" s="1"/>
  <c r="L868" i="1"/>
  <c r="N868" i="1" s="1"/>
  <c r="L869" i="1"/>
  <c r="N869" i="1" s="1"/>
  <c r="L870" i="1"/>
  <c r="N870" i="1" s="1"/>
  <c r="L871" i="1"/>
  <c r="N871" i="1" s="1"/>
  <c r="L872" i="1"/>
  <c r="N872" i="1" s="1"/>
  <c r="L873" i="1"/>
  <c r="N873" i="1" s="1"/>
  <c r="L874" i="1"/>
  <c r="N874" i="1" s="1"/>
  <c r="L875" i="1"/>
  <c r="N875" i="1" s="1"/>
  <c r="L876" i="1"/>
  <c r="N876" i="1" s="1"/>
  <c r="L877" i="1"/>
  <c r="N877" i="1" s="1"/>
  <c r="L878" i="1"/>
  <c r="N878" i="1" s="1"/>
  <c r="L879" i="1"/>
  <c r="N879" i="1" s="1"/>
  <c r="L880" i="1"/>
  <c r="N880" i="1" s="1"/>
  <c r="L881" i="1"/>
  <c r="N881" i="1" s="1"/>
  <c r="L882" i="1"/>
  <c r="N882" i="1" s="1"/>
  <c r="L883" i="1"/>
  <c r="N883" i="1" s="1"/>
  <c r="L884" i="1"/>
  <c r="N884" i="1" s="1"/>
  <c r="L885" i="1"/>
  <c r="N885" i="1" s="1"/>
  <c r="L886" i="1"/>
  <c r="N886" i="1" s="1"/>
  <c r="L887" i="1"/>
  <c r="N887" i="1" s="1"/>
  <c r="L888" i="1"/>
  <c r="N888" i="1" s="1"/>
  <c r="L889" i="1"/>
  <c r="N889" i="1" s="1"/>
  <c r="L890" i="1"/>
  <c r="N890" i="1" s="1"/>
  <c r="L891" i="1"/>
  <c r="N891" i="1" s="1"/>
  <c r="L892" i="1"/>
  <c r="N892" i="1" s="1"/>
  <c r="L893" i="1"/>
  <c r="N893" i="1" s="1"/>
  <c r="L894" i="1"/>
  <c r="N894" i="1" s="1"/>
  <c r="L895" i="1"/>
  <c r="N895" i="1" s="1"/>
  <c r="L896" i="1"/>
  <c r="N896" i="1" s="1"/>
  <c r="L897" i="1"/>
  <c r="N897" i="1" s="1"/>
  <c r="L898" i="1"/>
  <c r="N898" i="1" s="1"/>
  <c r="L899" i="1"/>
  <c r="N899" i="1" s="1"/>
  <c r="L900" i="1"/>
  <c r="N900" i="1" s="1"/>
  <c r="L901" i="1"/>
  <c r="N901" i="1" s="1"/>
  <c r="L902" i="1"/>
  <c r="N902" i="1" s="1"/>
  <c r="L903" i="1"/>
  <c r="N903" i="1" s="1"/>
  <c r="L904" i="1"/>
  <c r="N904" i="1" s="1"/>
  <c r="L905" i="1"/>
  <c r="N905" i="1" s="1"/>
  <c r="L906" i="1"/>
  <c r="N906" i="1" s="1"/>
  <c r="L907" i="1"/>
  <c r="N907" i="1" s="1"/>
  <c r="L908" i="1"/>
  <c r="N908" i="1" s="1"/>
  <c r="L909" i="1"/>
  <c r="N909" i="1" s="1"/>
  <c r="L910" i="1"/>
  <c r="N910" i="1" s="1"/>
  <c r="L911" i="1"/>
  <c r="N911" i="1" s="1"/>
  <c r="L912" i="1"/>
  <c r="N912" i="1" s="1"/>
  <c r="L913" i="1"/>
  <c r="N913" i="1" s="1"/>
  <c r="L914" i="1"/>
  <c r="N914" i="1" s="1"/>
  <c r="L915" i="1"/>
  <c r="N915" i="1" s="1"/>
  <c r="L916" i="1"/>
  <c r="N916" i="1" s="1"/>
  <c r="L917" i="1"/>
  <c r="N917" i="1" s="1"/>
  <c r="L918" i="1"/>
  <c r="N918" i="1" s="1"/>
  <c r="L919" i="1"/>
  <c r="N919" i="1" s="1"/>
  <c r="L920" i="1"/>
  <c r="N920" i="1" s="1"/>
  <c r="L921" i="1"/>
  <c r="N921" i="1" s="1"/>
  <c r="L922" i="1"/>
  <c r="N922" i="1" s="1"/>
  <c r="L923" i="1"/>
  <c r="N923" i="1" s="1"/>
  <c r="L924" i="1"/>
  <c r="N924" i="1" s="1"/>
  <c r="L925" i="1"/>
  <c r="N925" i="1" s="1"/>
  <c r="L926" i="1"/>
  <c r="N926" i="1" s="1"/>
  <c r="L927" i="1"/>
  <c r="N927" i="1" s="1"/>
  <c r="L928" i="1"/>
  <c r="N928" i="1" s="1"/>
  <c r="L929" i="1"/>
  <c r="N929" i="1" s="1"/>
  <c r="L930" i="1"/>
  <c r="N930" i="1" s="1"/>
  <c r="L931" i="1"/>
  <c r="N931" i="1" s="1"/>
  <c r="L932" i="1"/>
  <c r="N932" i="1" s="1"/>
  <c r="L933" i="1"/>
  <c r="N933" i="1" s="1"/>
  <c r="L934" i="1"/>
  <c r="N934" i="1" s="1"/>
  <c r="L935" i="1"/>
  <c r="N935" i="1" s="1"/>
  <c r="L936" i="1"/>
  <c r="N936" i="1" s="1"/>
  <c r="L937" i="1"/>
  <c r="N937" i="1" s="1"/>
  <c r="L938" i="1"/>
  <c r="N938" i="1" s="1"/>
  <c r="L939" i="1"/>
  <c r="N939" i="1" s="1"/>
  <c r="L940" i="1"/>
  <c r="N940" i="1" s="1"/>
  <c r="L941" i="1"/>
  <c r="N941" i="1" s="1"/>
  <c r="L942" i="1"/>
  <c r="N942" i="1" s="1"/>
  <c r="L943" i="1"/>
  <c r="N943" i="1" s="1"/>
  <c r="L944" i="1"/>
  <c r="N944" i="1" s="1"/>
  <c r="L945" i="1"/>
  <c r="N945" i="1" s="1"/>
  <c r="L946" i="1"/>
  <c r="N946" i="1" s="1"/>
  <c r="L947" i="1"/>
  <c r="N947" i="1" s="1"/>
  <c r="L948" i="1"/>
  <c r="N948" i="1" s="1"/>
  <c r="L949" i="1"/>
  <c r="N949" i="1" s="1"/>
  <c r="L950" i="1"/>
  <c r="N950" i="1" s="1"/>
  <c r="L951" i="1"/>
  <c r="N951" i="1" s="1"/>
  <c r="L952" i="1"/>
  <c r="N952" i="1" s="1"/>
  <c r="L953" i="1"/>
  <c r="N953" i="1" s="1"/>
  <c r="L954" i="1"/>
  <c r="N954" i="1" s="1"/>
  <c r="L955" i="1"/>
  <c r="N955" i="1" s="1"/>
  <c r="L956" i="1"/>
  <c r="N956" i="1" s="1"/>
  <c r="L957" i="1"/>
  <c r="N957" i="1" s="1"/>
  <c r="L958" i="1"/>
  <c r="N958" i="1" s="1"/>
  <c r="L959" i="1"/>
  <c r="N959" i="1" s="1"/>
  <c r="L960" i="1"/>
  <c r="N960" i="1" s="1"/>
  <c r="L961" i="1"/>
  <c r="N961" i="1" s="1"/>
  <c r="L962" i="1"/>
  <c r="N962" i="1" s="1"/>
  <c r="L963" i="1"/>
  <c r="N963" i="1" s="1"/>
  <c r="L964" i="1"/>
  <c r="N964" i="1" s="1"/>
  <c r="L965" i="1"/>
  <c r="N965" i="1" s="1"/>
  <c r="L966" i="1"/>
  <c r="N966" i="1" s="1"/>
  <c r="L967" i="1"/>
  <c r="N967" i="1" s="1"/>
  <c r="L968" i="1"/>
  <c r="N968" i="1" s="1"/>
  <c r="L969" i="1"/>
  <c r="N969" i="1" s="1"/>
  <c r="L970" i="1"/>
  <c r="N970" i="1" s="1"/>
  <c r="L971" i="1"/>
  <c r="N971" i="1" s="1"/>
  <c r="L972" i="1"/>
  <c r="N972" i="1" s="1"/>
  <c r="L973" i="1"/>
  <c r="N973" i="1" s="1"/>
  <c r="L974" i="1"/>
  <c r="N974" i="1" s="1"/>
  <c r="L975" i="1"/>
  <c r="N975" i="1" s="1"/>
  <c r="L976" i="1"/>
  <c r="N976" i="1" s="1"/>
  <c r="L977" i="1"/>
  <c r="N977" i="1" s="1"/>
  <c r="L978" i="1"/>
  <c r="N978" i="1" s="1"/>
  <c r="L979" i="1"/>
  <c r="N979" i="1" s="1"/>
  <c r="L980" i="1"/>
  <c r="N980" i="1" s="1"/>
  <c r="L981" i="1"/>
  <c r="N981" i="1" s="1"/>
  <c r="L982" i="1"/>
  <c r="N982" i="1" s="1"/>
  <c r="L983" i="1"/>
  <c r="N983" i="1" s="1"/>
  <c r="L984" i="1"/>
  <c r="N984" i="1" s="1"/>
  <c r="L985" i="1"/>
  <c r="N985" i="1" s="1"/>
  <c r="L986" i="1"/>
  <c r="N986" i="1" s="1"/>
  <c r="L987" i="1"/>
  <c r="N987" i="1" s="1"/>
  <c r="L988" i="1"/>
  <c r="N988" i="1" s="1"/>
  <c r="L989" i="1"/>
  <c r="N989" i="1" s="1"/>
  <c r="L990" i="1"/>
  <c r="N990" i="1" s="1"/>
  <c r="L991" i="1"/>
  <c r="N991" i="1" s="1"/>
  <c r="L992" i="1"/>
  <c r="N992" i="1" s="1"/>
  <c r="L993" i="1"/>
  <c r="N993" i="1" s="1"/>
  <c r="L994" i="1"/>
  <c r="N994" i="1" s="1"/>
  <c r="L995" i="1"/>
  <c r="N995" i="1" s="1"/>
  <c r="L996" i="1"/>
  <c r="N996" i="1" s="1"/>
  <c r="L997" i="1"/>
  <c r="N997" i="1" s="1"/>
  <c r="L998" i="1"/>
  <c r="N998" i="1" s="1"/>
  <c r="L999" i="1"/>
  <c r="N999" i="1" s="1"/>
  <c r="L1000" i="1"/>
  <c r="N1000" i="1" s="1"/>
  <c r="L1001" i="1"/>
  <c r="N1001" i="1" s="1"/>
  <c r="L1002" i="1"/>
  <c r="N1002" i="1" s="1"/>
  <c r="L1003" i="1"/>
  <c r="N1003" i="1" s="1"/>
  <c r="L1004" i="1"/>
  <c r="N1004" i="1" s="1"/>
  <c r="L1005" i="1"/>
  <c r="N1005" i="1" s="1"/>
  <c r="L1006" i="1"/>
  <c r="N1006" i="1" s="1"/>
  <c r="L1007" i="1"/>
  <c r="N1007" i="1" s="1"/>
  <c r="L1008" i="1"/>
  <c r="N1008" i="1" s="1"/>
  <c r="L1009" i="1"/>
  <c r="N1009" i="1" s="1"/>
  <c r="L1010" i="1"/>
  <c r="N1010" i="1" s="1"/>
  <c r="L1011" i="1"/>
  <c r="N1011" i="1" s="1"/>
  <c r="L1012" i="1"/>
  <c r="N1012" i="1" s="1"/>
  <c r="L1013" i="1"/>
  <c r="N1013" i="1" s="1"/>
  <c r="L1014" i="1"/>
  <c r="N1014" i="1" s="1"/>
  <c r="L1015" i="1"/>
  <c r="N1015" i="1" s="1"/>
  <c r="L1016" i="1"/>
  <c r="N1016" i="1" s="1"/>
  <c r="L1017" i="1"/>
  <c r="N1017" i="1" s="1"/>
  <c r="L1018" i="1"/>
  <c r="N1018" i="1" s="1"/>
  <c r="L1019" i="1"/>
  <c r="N1019" i="1" s="1"/>
  <c r="L1020" i="1"/>
  <c r="N1020" i="1" s="1"/>
  <c r="L1021" i="1"/>
  <c r="N1021" i="1" s="1"/>
  <c r="L1022" i="1"/>
  <c r="N1022" i="1" s="1"/>
  <c r="L1023" i="1"/>
  <c r="N1023" i="1" s="1"/>
  <c r="L1024" i="1"/>
  <c r="N1024" i="1" s="1"/>
  <c r="L1025" i="1"/>
  <c r="N1025" i="1" s="1"/>
  <c r="L1026" i="1"/>
  <c r="N1026" i="1" s="1"/>
  <c r="L1027" i="1"/>
  <c r="N1027" i="1" s="1"/>
  <c r="L1028" i="1"/>
  <c r="N1028" i="1" s="1"/>
  <c r="L1029" i="1"/>
  <c r="N1029" i="1" s="1"/>
  <c r="L1030" i="1"/>
  <c r="N1030" i="1" s="1"/>
  <c r="L1031" i="1"/>
  <c r="N1031" i="1" s="1"/>
  <c r="L1032" i="1"/>
  <c r="N1032" i="1" s="1"/>
  <c r="L1033" i="1"/>
  <c r="N1033" i="1" s="1"/>
  <c r="L1034" i="1"/>
  <c r="N1034" i="1" s="1"/>
  <c r="L1035" i="1"/>
  <c r="N1035" i="1" s="1"/>
  <c r="L1036" i="1"/>
  <c r="N1036" i="1" s="1"/>
  <c r="L1037" i="1"/>
  <c r="N1037" i="1" s="1"/>
  <c r="L1038" i="1"/>
  <c r="N1038" i="1" s="1"/>
  <c r="L1039" i="1"/>
  <c r="N1039" i="1" s="1"/>
  <c r="L1040" i="1"/>
  <c r="N1040" i="1" s="1"/>
  <c r="L1041" i="1"/>
  <c r="N1041" i="1" s="1"/>
  <c r="L1042" i="1"/>
  <c r="N1042" i="1" s="1"/>
  <c r="L1043" i="1"/>
  <c r="N1043" i="1" s="1"/>
  <c r="L1044" i="1"/>
  <c r="N1044" i="1" s="1"/>
  <c r="L1045" i="1"/>
  <c r="N1045" i="1" s="1"/>
  <c r="L1046" i="1"/>
  <c r="N1046" i="1" s="1"/>
  <c r="L1047" i="1"/>
  <c r="N1047" i="1" s="1"/>
  <c r="L1048" i="1"/>
  <c r="N1048" i="1" s="1"/>
  <c r="L1049" i="1"/>
  <c r="N1049" i="1" s="1"/>
  <c r="L1050" i="1"/>
  <c r="N1050" i="1" s="1"/>
  <c r="L1051" i="1"/>
  <c r="N1051" i="1" s="1"/>
  <c r="L1052" i="1"/>
  <c r="N1052" i="1" s="1"/>
  <c r="L1053" i="1"/>
  <c r="N1053" i="1" s="1"/>
  <c r="L1054" i="1"/>
  <c r="N1054" i="1" s="1"/>
  <c r="L1055" i="1"/>
  <c r="N1055" i="1" s="1"/>
  <c r="L1056" i="1"/>
  <c r="N1056" i="1" s="1"/>
  <c r="L1057" i="1"/>
  <c r="N1057" i="1" s="1"/>
  <c r="L1058" i="1"/>
  <c r="N1058" i="1" s="1"/>
  <c r="L1059" i="1"/>
  <c r="N1059" i="1" s="1"/>
  <c r="L1060" i="1"/>
  <c r="N1060" i="1" s="1"/>
  <c r="L1061" i="1"/>
  <c r="N1061" i="1" s="1"/>
  <c r="L1062" i="1"/>
  <c r="N1062" i="1" s="1"/>
  <c r="L1063" i="1"/>
  <c r="N1063" i="1" s="1"/>
  <c r="L1064" i="1"/>
  <c r="N1064" i="1" s="1"/>
  <c r="L1065" i="1"/>
  <c r="N1065" i="1" s="1"/>
  <c r="L1066" i="1"/>
  <c r="N1066" i="1" s="1"/>
  <c r="L1067" i="1"/>
  <c r="N1067" i="1" s="1"/>
  <c r="L1068" i="1"/>
  <c r="N1068" i="1" s="1"/>
  <c r="L1069" i="1"/>
  <c r="N1069" i="1" s="1"/>
  <c r="L1070" i="1"/>
  <c r="N1070" i="1" s="1"/>
  <c r="L1071" i="1"/>
  <c r="N1071" i="1" s="1"/>
  <c r="L1072" i="1"/>
  <c r="N1072" i="1" s="1"/>
  <c r="L1073" i="1"/>
  <c r="N1073" i="1" s="1"/>
  <c r="L1074" i="1"/>
  <c r="N1074" i="1" s="1"/>
  <c r="L1075" i="1"/>
  <c r="N1075" i="1" s="1"/>
  <c r="L1076" i="1"/>
  <c r="N1076" i="1" s="1"/>
  <c r="L1077" i="1"/>
  <c r="N1077" i="1" s="1"/>
  <c r="L1078" i="1"/>
  <c r="N1078" i="1" s="1"/>
  <c r="L1079" i="1"/>
  <c r="N1079" i="1" s="1"/>
  <c r="L1080" i="1"/>
  <c r="N1080" i="1" s="1"/>
  <c r="L1081" i="1"/>
  <c r="N1081" i="1" s="1"/>
  <c r="L1082" i="1"/>
  <c r="N1082" i="1" s="1"/>
  <c r="L1083" i="1"/>
  <c r="N1083" i="1" s="1"/>
  <c r="L1084" i="1"/>
  <c r="N1084" i="1" s="1"/>
  <c r="L1085" i="1"/>
  <c r="N1085" i="1" s="1"/>
  <c r="L1086" i="1"/>
  <c r="N1086" i="1" s="1"/>
  <c r="L1087" i="1"/>
  <c r="N1087" i="1" s="1"/>
  <c r="L1088" i="1"/>
  <c r="N1088" i="1" s="1"/>
  <c r="L1089" i="1"/>
  <c r="N1089" i="1" s="1"/>
  <c r="L1090" i="1"/>
  <c r="N1090" i="1" s="1"/>
  <c r="L1091" i="1"/>
  <c r="N1091" i="1" s="1"/>
  <c r="L1092" i="1"/>
  <c r="N1092" i="1" s="1"/>
  <c r="L1093" i="1"/>
  <c r="N1093" i="1" s="1"/>
  <c r="L1094" i="1"/>
  <c r="N1094" i="1" s="1"/>
  <c r="L1095" i="1"/>
  <c r="N1095" i="1" s="1"/>
  <c r="L1096" i="1"/>
  <c r="N1096" i="1" s="1"/>
  <c r="L1097" i="1"/>
  <c r="N1097" i="1" s="1"/>
  <c r="L1098" i="1"/>
  <c r="N1098" i="1" s="1"/>
  <c r="L1099" i="1"/>
  <c r="N1099" i="1" s="1"/>
  <c r="L1100" i="1"/>
  <c r="N1100" i="1" s="1"/>
  <c r="L1101" i="1"/>
  <c r="N1101" i="1" s="1"/>
  <c r="L1102" i="1"/>
  <c r="N1102" i="1" s="1"/>
  <c r="L1103" i="1"/>
  <c r="N1103" i="1" s="1"/>
  <c r="L1104" i="1"/>
  <c r="N1104" i="1" s="1"/>
  <c r="L1105" i="1"/>
  <c r="N1105" i="1" s="1"/>
  <c r="L1106" i="1"/>
  <c r="N1106" i="1" s="1"/>
  <c r="L1107" i="1"/>
  <c r="N1107" i="1" s="1"/>
  <c r="L1108" i="1"/>
  <c r="N1108" i="1" s="1"/>
  <c r="L1109" i="1"/>
  <c r="N1109" i="1" s="1"/>
  <c r="L1110" i="1"/>
  <c r="N1110" i="1" s="1"/>
  <c r="L1111" i="1"/>
  <c r="N1111" i="1" s="1"/>
  <c r="L1112" i="1"/>
  <c r="N1112" i="1" s="1"/>
  <c r="L1113" i="1"/>
  <c r="N1113" i="1" s="1"/>
  <c r="L1114" i="1"/>
  <c r="N1114" i="1" s="1"/>
  <c r="L1115" i="1"/>
  <c r="N1115" i="1" s="1"/>
  <c r="L1116" i="1"/>
  <c r="N1116" i="1" s="1"/>
  <c r="L1117" i="1"/>
  <c r="N1117" i="1" s="1"/>
  <c r="L1118" i="1"/>
  <c r="N1118" i="1" s="1"/>
  <c r="L1119" i="1"/>
  <c r="N1119" i="1" s="1"/>
  <c r="L1120" i="1"/>
  <c r="N1120" i="1" s="1"/>
  <c r="L1121" i="1"/>
  <c r="N1121" i="1" s="1"/>
  <c r="L1122" i="1"/>
  <c r="N1122" i="1" s="1"/>
  <c r="L1123" i="1"/>
  <c r="N1123" i="1" s="1"/>
  <c r="L1124" i="1"/>
  <c r="N1124" i="1" s="1"/>
  <c r="L1125" i="1"/>
  <c r="N1125" i="1" s="1"/>
  <c r="L1126" i="1"/>
  <c r="N1126" i="1" s="1"/>
  <c r="L1127" i="1"/>
  <c r="N1127" i="1" s="1"/>
  <c r="L1128" i="1"/>
  <c r="N1128" i="1" s="1"/>
  <c r="L1129" i="1"/>
  <c r="N1129" i="1" s="1"/>
  <c r="L1130" i="1"/>
  <c r="N1130" i="1" s="1"/>
  <c r="L1131" i="1"/>
  <c r="N1131" i="1" s="1"/>
  <c r="L1132" i="1"/>
  <c r="N1132" i="1" s="1"/>
  <c r="L1133" i="1"/>
  <c r="N1133" i="1" s="1"/>
  <c r="L1134" i="1"/>
  <c r="N1134" i="1" s="1"/>
  <c r="L1135" i="1"/>
  <c r="N1135" i="1" s="1"/>
  <c r="L1136" i="1"/>
  <c r="N1136" i="1" s="1"/>
  <c r="L1137" i="1"/>
  <c r="N1137" i="1" s="1"/>
  <c r="L1138" i="1"/>
  <c r="N1138" i="1" s="1"/>
  <c r="L1139" i="1"/>
  <c r="N1139" i="1" s="1"/>
  <c r="L1140" i="1"/>
  <c r="N1140" i="1" s="1"/>
  <c r="L1141" i="1"/>
  <c r="N1141" i="1" s="1"/>
  <c r="L1142" i="1"/>
  <c r="N1142" i="1" s="1"/>
  <c r="L1143" i="1"/>
  <c r="N1143" i="1" s="1"/>
  <c r="L1144" i="1"/>
  <c r="N1144" i="1" s="1"/>
  <c r="L1145" i="1"/>
  <c r="N1145" i="1" s="1"/>
  <c r="L1146" i="1"/>
  <c r="N1146" i="1" s="1"/>
  <c r="L1147" i="1"/>
  <c r="N1147" i="1" s="1"/>
  <c r="L1148" i="1"/>
  <c r="N1148" i="1" s="1"/>
  <c r="L1149" i="1"/>
  <c r="N1149" i="1" s="1"/>
  <c r="L1150" i="1"/>
  <c r="N1150" i="1" s="1"/>
  <c r="L1151" i="1"/>
  <c r="N1151" i="1" s="1"/>
  <c r="L1152" i="1"/>
  <c r="N1152" i="1" s="1"/>
  <c r="L1153" i="1"/>
  <c r="N1153" i="1" s="1"/>
  <c r="L1154" i="1"/>
  <c r="N1154" i="1" s="1"/>
  <c r="L1155" i="1"/>
  <c r="N1155" i="1" s="1"/>
  <c r="L1156" i="1"/>
  <c r="N1156" i="1" s="1"/>
  <c r="L1157" i="1"/>
  <c r="N1157" i="1" s="1"/>
  <c r="L1158" i="1"/>
  <c r="N1158" i="1" s="1"/>
  <c r="L1159" i="1"/>
  <c r="N1159" i="1" s="1"/>
  <c r="L1160" i="1"/>
  <c r="N1160" i="1" s="1"/>
  <c r="L1161" i="1"/>
  <c r="N1161" i="1" s="1"/>
  <c r="L1162" i="1"/>
  <c r="N1162" i="1" s="1"/>
  <c r="L1163" i="1"/>
  <c r="N1163" i="1" s="1"/>
  <c r="L1164" i="1"/>
  <c r="N1164" i="1" s="1"/>
  <c r="L1165" i="1"/>
  <c r="N1165" i="1" s="1"/>
  <c r="L1166" i="1"/>
  <c r="N1166" i="1" s="1"/>
  <c r="L1167" i="1"/>
  <c r="N1167" i="1" s="1"/>
  <c r="L1168" i="1"/>
  <c r="N1168" i="1" s="1"/>
  <c r="L1169" i="1"/>
  <c r="N1169" i="1" s="1"/>
  <c r="L1170" i="1"/>
  <c r="N1170" i="1" s="1"/>
  <c r="L1171" i="1"/>
  <c r="N1171" i="1" s="1"/>
  <c r="L1172" i="1"/>
  <c r="N1172" i="1" s="1"/>
  <c r="L1173" i="1"/>
  <c r="N1173" i="1" s="1"/>
  <c r="L1174" i="1"/>
  <c r="N1174" i="1" s="1"/>
  <c r="L1175" i="1"/>
  <c r="N1175" i="1" s="1"/>
  <c r="L1176" i="1"/>
  <c r="N1176" i="1" s="1"/>
  <c r="L1177" i="1"/>
  <c r="N1177" i="1" s="1"/>
  <c r="L1178" i="1"/>
  <c r="N1178" i="1" s="1"/>
  <c r="L1179" i="1"/>
  <c r="N1179" i="1" s="1"/>
  <c r="L1180" i="1"/>
  <c r="N1180" i="1" s="1"/>
  <c r="L1181" i="1"/>
  <c r="N1181" i="1" s="1"/>
  <c r="L1182" i="1"/>
  <c r="N1182" i="1" s="1"/>
  <c r="L1183" i="1"/>
  <c r="N1183" i="1" s="1"/>
  <c r="L1184" i="1"/>
  <c r="N1184" i="1" s="1"/>
  <c r="L1185" i="1"/>
  <c r="N1185" i="1" s="1"/>
  <c r="L1186" i="1"/>
  <c r="N1186" i="1" s="1"/>
  <c r="L1187" i="1"/>
  <c r="N1187" i="1" s="1"/>
  <c r="L1188" i="1"/>
  <c r="N1188" i="1" s="1"/>
  <c r="L1189" i="1"/>
  <c r="N1189" i="1" s="1"/>
  <c r="L1190" i="1"/>
  <c r="N1190" i="1" s="1"/>
  <c r="L1191" i="1"/>
  <c r="N1191" i="1" s="1"/>
  <c r="L1192" i="1"/>
  <c r="N1192" i="1" s="1"/>
  <c r="L1193" i="1"/>
  <c r="N1193" i="1" s="1"/>
  <c r="L1194" i="1"/>
  <c r="N1194" i="1" s="1"/>
  <c r="L1195" i="1"/>
  <c r="N1195" i="1" s="1"/>
  <c r="L1196" i="1"/>
  <c r="N1196" i="1" s="1"/>
  <c r="L1197" i="1"/>
  <c r="N1197" i="1" s="1"/>
  <c r="L1198" i="1"/>
  <c r="N1198" i="1" s="1"/>
  <c r="L1199" i="1"/>
  <c r="N1199" i="1" s="1"/>
  <c r="L1200" i="1"/>
  <c r="N1200" i="1" s="1"/>
  <c r="L1201" i="1"/>
  <c r="N1201" i="1" s="1"/>
  <c r="L1202" i="1"/>
  <c r="N1202" i="1" s="1"/>
  <c r="L1203" i="1"/>
  <c r="N1203" i="1" s="1"/>
  <c r="L1204" i="1"/>
  <c r="N1204" i="1" s="1"/>
  <c r="L1205" i="1"/>
  <c r="N1205" i="1" s="1"/>
  <c r="L1206" i="1"/>
  <c r="N1206" i="1" s="1"/>
  <c r="L1207" i="1"/>
  <c r="N1207" i="1" s="1"/>
  <c r="L1208" i="1"/>
  <c r="N1208" i="1" s="1"/>
  <c r="L1209" i="1"/>
  <c r="N1209" i="1" s="1"/>
  <c r="L1210" i="1"/>
  <c r="N1210" i="1" s="1"/>
  <c r="L1211" i="1"/>
  <c r="N1211" i="1" s="1"/>
  <c r="L1212" i="1"/>
  <c r="N1212" i="1" s="1"/>
  <c r="L1213" i="1"/>
  <c r="N1213" i="1" s="1"/>
  <c r="L1214" i="1"/>
  <c r="N1214" i="1" s="1"/>
  <c r="L1215" i="1"/>
  <c r="N1215" i="1" s="1"/>
  <c r="L1216" i="1"/>
  <c r="N1216" i="1" s="1"/>
  <c r="L1217" i="1"/>
  <c r="N1217" i="1" s="1"/>
  <c r="L1218" i="1"/>
  <c r="N1218" i="1" s="1"/>
  <c r="L1219" i="1"/>
  <c r="N1219" i="1" s="1"/>
  <c r="L1220" i="1"/>
  <c r="N1220" i="1" s="1"/>
  <c r="L1221" i="1"/>
  <c r="N1221" i="1" s="1"/>
  <c r="L1222" i="1"/>
  <c r="N1222" i="1" s="1"/>
  <c r="L1223" i="1"/>
  <c r="N1223" i="1" s="1"/>
  <c r="L1224" i="1"/>
  <c r="N1224" i="1" s="1"/>
  <c r="L1225" i="1"/>
  <c r="N1225" i="1" s="1"/>
  <c r="L1226" i="1"/>
  <c r="N1226" i="1" s="1"/>
  <c r="L1227" i="1"/>
  <c r="N1227" i="1" s="1"/>
  <c r="L1228" i="1"/>
  <c r="N1228" i="1" s="1"/>
  <c r="L1229" i="1"/>
  <c r="N1229" i="1" s="1"/>
  <c r="L1230" i="1"/>
  <c r="N1230" i="1" s="1"/>
  <c r="L1231" i="1"/>
  <c r="N1231" i="1" s="1"/>
  <c r="L1232" i="1"/>
  <c r="N1232" i="1" s="1"/>
  <c r="L1233" i="1"/>
  <c r="N1233" i="1" s="1"/>
  <c r="L1234" i="1"/>
  <c r="N1234" i="1" s="1"/>
  <c r="L1235" i="1"/>
  <c r="N1235" i="1" s="1"/>
  <c r="L1236" i="1"/>
  <c r="N1236" i="1" s="1"/>
  <c r="L1237" i="1"/>
  <c r="N1237" i="1" s="1"/>
  <c r="L1238" i="1"/>
  <c r="N1238" i="1" s="1"/>
  <c r="L1239" i="1"/>
  <c r="N1239" i="1" s="1"/>
  <c r="L1240" i="1"/>
  <c r="N1240" i="1" s="1"/>
  <c r="L1241" i="1"/>
  <c r="N1241" i="1" s="1"/>
  <c r="L1242" i="1"/>
  <c r="N1242" i="1" s="1"/>
  <c r="L1243" i="1"/>
  <c r="N1243" i="1" s="1"/>
  <c r="L1244" i="1"/>
  <c r="N1244" i="1" s="1"/>
  <c r="L1245" i="1"/>
  <c r="N1245" i="1" s="1"/>
  <c r="L1246" i="1"/>
  <c r="N1246" i="1" s="1"/>
  <c r="L1247" i="1"/>
  <c r="N1247" i="1" s="1"/>
  <c r="L1248" i="1"/>
  <c r="N1248" i="1" s="1"/>
  <c r="L1249" i="1"/>
  <c r="N1249" i="1" s="1"/>
  <c r="L1250" i="1"/>
  <c r="N1250" i="1" s="1"/>
  <c r="L1251" i="1"/>
  <c r="N1251" i="1" s="1"/>
  <c r="L1252" i="1"/>
  <c r="N1252" i="1" s="1"/>
  <c r="L1253" i="1"/>
  <c r="N1253" i="1" s="1"/>
  <c r="L1254" i="1"/>
  <c r="N1254" i="1" s="1"/>
  <c r="L1255" i="1"/>
  <c r="N1255" i="1" s="1"/>
  <c r="L1256" i="1"/>
  <c r="N1256" i="1" s="1"/>
  <c r="L1257" i="1"/>
  <c r="N1257" i="1" s="1"/>
  <c r="L1258" i="1"/>
  <c r="N1258" i="1" s="1"/>
  <c r="L1259" i="1"/>
  <c r="N1259" i="1" s="1"/>
  <c r="L1260" i="1"/>
  <c r="N1260" i="1" s="1"/>
  <c r="L1261" i="1"/>
  <c r="N1261" i="1" s="1"/>
  <c r="L1262" i="1"/>
  <c r="N1262" i="1" s="1"/>
  <c r="L1263" i="1"/>
  <c r="N1263" i="1" s="1"/>
  <c r="L1264" i="1"/>
  <c r="N1264" i="1" s="1"/>
  <c r="L1265" i="1"/>
  <c r="N1265" i="1" s="1"/>
  <c r="L1266" i="1"/>
  <c r="N1266" i="1" s="1"/>
  <c r="L1267" i="1"/>
  <c r="N1267" i="1" s="1"/>
  <c r="L1268" i="1"/>
  <c r="N1268" i="1" s="1"/>
  <c r="L1269" i="1"/>
  <c r="N1269" i="1" s="1"/>
  <c r="L1270" i="1"/>
  <c r="N1270" i="1" s="1"/>
  <c r="L1271" i="1"/>
  <c r="N1271" i="1" s="1"/>
  <c r="L1272" i="1"/>
  <c r="N1272" i="1" s="1"/>
  <c r="L1273" i="1"/>
  <c r="N1273" i="1" s="1"/>
  <c r="L1274" i="1"/>
  <c r="N1274" i="1" s="1"/>
  <c r="L1275" i="1"/>
  <c r="N1275" i="1" s="1"/>
  <c r="L1276" i="1"/>
  <c r="N1276" i="1" s="1"/>
  <c r="L1277" i="1"/>
  <c r="N1277" i="1" s="1"/>
  <c r="L1278" i="1"/>
  <c r="N1278" i="1" s="1"/>
  <c r="L1279" i="1"/>
  <c r="N1279" i="1" s="1"/>
  <c r="L1280" i="1"/>
  <c r="N1280" i="1" s="1"/>
  <c r="L1281" i="1"/>
  <c r="N1281" i="1" s="1"/>
  <c r="L1282" i="1"/>
  <c r="N1282" i="1" s="1"/>
  <c r="L1283" i="1"/>
  <c r="N1283" i="1" s="1"/>
  <c r="L1284" i="1"/>
  <c r="N1284" i="1" s="1"/>
  <c r="L1285" i="1"/>
  <c r="N1285" i="1" s="1"/>
  <c r="L1286" i="1"/>
  <c r="N1286" i="1" s="1"/>
  <c r="L1287" i="1"/>
  <c r="N1287" i="1" s="1"/>
  <c r="L1288" i="1"/>
  <c r="N1288" i="1" s="1"/>
  <c r="L1289" i="1"/>
  <c r="N1289" i="1" s="1"/>
  <c r="L1290" i="1"/>
  <c r="N1290" i="1" s="1"/>
  <c r="L1291" i="1"/>
  <c r="N1291" i="1" s="1"/>
  <c r="L1292" i="1"/>
  <c r="N1292" i="1" s="1"/>
  <c r="L1293" i="1"/>
  <c r="N1293" i="1" s="1"/>
  <c r="L1294" i="1"/>
  <c r="N1294" i="1" s="1"/>
  <c r="L1295" i="1"/>
  <c r="N1295" i="1" s="1"/>
  <c r="L1296" i="1"/>
  <c r="N1296" i="1" s="1"/>
  <c r="L1297" i="1"/>
  <c r="N1297" i="1" s="1"/>
  <c r="L1298" i="1"/>
  <c r="N1298" i="1" s="1"/>
  <c r="L1299" i="1"/>
  <c r="N1299" i="1" s="1"/>
  <c r="L1300" i="1"/>
  <c r="N1300" i="1" s="1"/>
  <c r="L1301" i="1"/>
  <c r="N1301" i="1" s="1"/>
  <c r="L1302" i="1"/>
  <c r="N1302" i="1" s="1"/>
  <c r="L1303" i="1"/>
  <c r="N1303" i="1" s="1"/>
  <c r="L1304" i="1"/>
  <c r="N1304" i="1" s="1"/>
  <c r="L1305" i="1"/>
  <c r="N1305" i="1" s="1"/>
  <c r="L1306" i="1"/>
  <c r="N1306" i="1" s="1"/>
  <c r="L1307" i="1"/>
  <c r="N1307" i="1" s="1"/>
  <c r="L1308" i="1"/>
  <c r="N1308" i="1" s="1"/>
  <c r="L1309" i="1"/>
  <c r="N1309" i="1" s="1"/>
  <c r="L1310" i="1"/>
  <c r="N1310" i="1" s="1"/>
  <c r="L1311" i="1"/>
  <c r="N1311" i="1" s="1"/>
  <c r="L1312" i="1"/>
  <c r="N1312" i="1" s="1"/>
  <c r="L1313" i="1"/>
  <c r="N1313" i="1" s="1"/>
  <c r="L1314" i="1"/>
  <c r="N1314" i="1" s="1"/>
  <c r="L1315" i="1"/>
  <c r="N1315" i="1" s="1"/>
  <c r="L1316" i="1"/>
  <c r="N1316" i="1" s="1"/>
  <c r="L1317" i="1"/>
  <c r="N1317" i="1" s="1"/>
  <c r="L1318" i="1"/>
  <c r="N1318" i="1" s="1"/>
  <c r="L1319" i="1"/>
  <c r="N1319" i="1" s="1"/>
  <c r="L1320" i="1"/>
  <c r="N1320" i="1" s="1"/>
  <c r="L1321" i="1"/>
  <c r="N1321" i="1" s="1"/>
  <c r="L1322" i="1"/>
  <c r="N1322" i="1" s="1"/>
  <c r="L1323" i="1"/>
  <c r="N1323" i="1" s="1"/>
  <c r="L1324" i="1"/>
  <c r="N1324" i="1" s="1"/>
  <c r="L1325" i="1"/>
  <c r="N1325" i="1" s="1"/>
  <c r="L1326" i="1"/>
  <c r="N1326" i="1" s="1"/>
  <c r="L1327" i="1"/>
  <c r="N1327" i="1" s="1"/>
  <c r="L1328" i="1"/>
  <c r="N1328" i="1" s="1"/>
  <c r="L1329" i="1"/>
  <c r="N1329" i="1" s="1"/>
  <c r="L1330" i="1"/>
  <c r="N1330" i="1" s="1"/>
  <c r="L1331" i="1"/>
  <c r="N1331" i="1" s="1"/>
  <c r="L1332" i="1"/>
  <c r="N1332" i="1" s="1"/>
  <c r="L1333" i="1"/>
  <c r="N1333" i="1" s="1"/>
  <c r="L1334" i="1"/>
  <c r="N1334" i="1" s="1"/>
  <c r="L1335" i="1"/>
  <c r="N1335" i="1" s="1"/>
  <c r="L1336" i="1"/>
  <c r="N1336" i="1" s="1"/>
  <c r="L1337" i="1"/>
  <c r="N1337" i="1" s="1"/>
  <c r="L1338" i="1"/>
  <c r="N1338" i="1" s="1"/>
  <c r="L1339" i="1"/>
  <c r="N1339" i="1" s="1"/>
  <c r="L1340" i="1"/>
  <c r="N1340" i="1" s="1"/>
  <c r="L1341" i="1"/>
  <c r="N1341" i="1" s="1"/>
  <c r="L1342" i="1"/>
  <c r="N1342" i="1" s="1"/>
  <c r="L1343" i="1"/>
  <c r="N1343" i="1" s="1"/>
  <c r="L1344" i="1"/>
  <c r="N1344" i="1" s="1"/>
  <c r="L1345" i="1"/>
  <c r="N1345" i="1" s="1"/>
  <c r="L1346" i="1"/>
  <c r="N1346" i="1" s="1"/>
  <c r="L1347" i="1"/>
  <c r="N1347" i="1" s="1"/>
  <c r="L1348" i="1"/>
  <c r="N1348" i="1" s="1"/>
  <c r="L1349" i="1"/>
  <c r="N1349" i="1" s="1"/>
  <c r="L1350" i="1"/>
  <c r="N1350" i="1" s="1"/>
  <c r="L1351" i="1"/>
  <c r="N1351" i="1" s="1"/>
  <c r="L1352" i="1"/>
  <c r="N1352" i="1" s="1"/>
  <c r="L1353" i="1"/>
  <c r="N1353" i="1" s="1"/>
  <c r="L1354" i="1"/>
  <c r="N1354" i="1" s="1"/>
  <c r="L1355" i="1"/>
  <c r="N1355" i="1" s="1"/>
  <c r="L1356" i="1"/>
  <c r="N1356" i="1" s="1"/>
  <c r="L1357" i="1"/>
  <c r="N1357" i="1" s="1"/>
  <c r="L1358" i="1"/>
  <c r="N1358" i="1" s="1"/>
  <c r="L1359" i="1"/>
  <c r="N1359" i="1" s="1"/>
  <c r="L1360" i="1"/>
  <c r="N1360" i="1" s="1"/>
  <c r="L1361" i="1"/>
  <c r="N1361" i="1" s="1"/>
  <c r="L1362" i="1"/>
  <c r="N1362" i="1" s="1"/>
  <c r="L1363" i="1"/>
  <c r="N1363" i="1" s="1"/>
  <c r="L1364" i="1"/>
  <c r="N1364" i="1" s="1"/>
  <c r="L1365" i="1"/>
  <c r="N1365" i="1" s="1"/>
  <c r="L1366" i="1"/>
  <c r="N1366" i="1" s="1"/>
  <c r="L1367" i="1"/>
  <c r="N1367" i="1" s="1"/>
  <c r="L1368" i="1"/>
  <c r="N1368" i="1" s="1"/>
  <c r="L1369" i="1"/>
  <c r="N1369" i="1" s="1"/>
  <c r="L1370" i="1"/>
  <c r="N1370" i="1" s="1"/>
  <c r="L1371" i="1"/>
  <c r="N1371" i="1" s="1"/>
  <c r="L1372" i="1"/>
  <c r="N1372" i="1" s="1"/>
  <c r="L1373" i="1"/>
  <c r="N1373" i="1" s="1"/>
  <c r="L1374" i="1"/>
  <c r="N1374" i="1" s="1"/>
  <c r="L1375" i="1"/>
  <c r="N1375" i="1" s="1"/>
  <c r="L1376" i="1"/>
  <c r="N1376" i="1" s="1"/>
  <c r="L1377" i="1"/>
  <c r="N1377" i="1" s="1"/>
  <c r="L1378" i="1"/>
  <c r="N1378" i="1" s="1"/>
  <c r="L1379" i="1"/>
  <c r="N1379" i="1" s="1"/>
  <c r="L1380" i="1"/>
  <c r="N1380" i="1" s="1"/>
  <c r="L1381" i="1"/>
  <c r="N1381" i="1" s="1"/>
  <c r="L1382" i="1"/>
  <c r="N1382" i="1" s="1"/>
  <c r="L1383" i="1"/>
  <c r="N1383" i="1" s="1"/>
  <c r="L1384" i="1"/>
  <c r="N1384" i="1" s="1"/>
  <c r="L1385" i="1"/>
  <c r="N1385" i="1" s="1"/>
  <c r="L1386" i="1"/>
  <c r="N1386" i="1" s="1"/>
  <c r="L1387" i="1"/>
  <c r="N1387" i="1" s="1"/>
  <c r="L1388" i="1"/>
  <c r="N1388" i="1" s="1"/>
  <c r="L1389" i="1"/>
  <c r="N1389" i="1" s="1"/>
  <c r="L1390" i="1"/>
  <c r="N1390" i="1" s="1"/>
  <c r="L1391" i="1"/>
  <c r="N1391" i="1" s="1"/>
  <c r="L1392" i="1"/>
  <c r="N1392" i="1" s="1"/>
  <c r="L1393" i="1"/>
  <c r="N1393" i="1" s="1"/>
  <c r="L1394" i="1"/>
  <c r="N1394" i="1" s="1"/>
  <c r="L1395" i="1"/>
  <c r="N1395" i="1" s="1"/>
  <c r="L1396" i="1"/>
  <c r="N1396" i="1" s="1"/>
  <c r="L1397" i="1"/>
  <c r="N1397" i="1" s="1"/>
  <c r="L1398" i="1"/>
  <c r="N1398" i="1" s="1"/>
  <c r="L1399" i="1"/>
  <c r="N1399" i="1" s="1"/>
  <c r="L1400" i="1"/>
  <c r="N1400" i="1" s="1"/>
  <c r="L1401" i="1"/>
  <c r="N1401" i="1" s="1"/>
  <c r="L1402" i="1"/>
  <c r="N1402" i="1" s="1"/>
  <c r="L1403" i="1"/>
  <c r="N1403" i="1" s="1"/>
  <c r="L1404" i="1"/>
  <c r="N1404" i="1" s="1"/>
  <c r="L1405" i="1"/>
  <c r="N1405" i="1" s="1"/>
  <c r="L1406" i="1"/>
  <c r="N1406" i="1" s="1"/>
  <c r="L1407" i="1"/>
  <c r="N1407" i="1" s="1"/>
  <c r="L1408" i="1"/>
  <c r="N1408" i="1" s="1"/>
  <c r="L1409" i="1"/>
  <c r="N1409" i="1" s="1"/>
  <c r="L1410" i="1"/>
  <c r="N1410" i="1" s="1"/>
  <c r="L1411" i="1"/>
  <c r="N1411" i="1" s="1"/>
  <c r="L1412" i="1"/>
  <c r="N1412" i="1" s="1"/>
  <c r="L1413" i="1"/>
  <c r="N1413" i="1" s="1"/>
  <c r="L1414" i="1"/>
  <c r="N1414" i="1" s="1"/>
  <c r="L1415" i="1"/>
  <c r="N1415" i="1" s="1"/>
  <c r="L1416" i="1"/>
  <c r="N1416" i="1" s="1"/>
  <c r="L1417" i="1"/>
  <c r="N1417" i="1" s="1"/>
  <c r="L1418" i="1"/>
  <c r="N1418" i="1" s="1"/>
  <c r="L1419" i="1"/>
  <c r="N1419" i="1" s="1"/>
  <c r="L1420" i="1"/>
  <c r="N1420" i="1" s="1"/>
  <c r="L1421" i="1"/>
  <c r="N1421" i="1" s="1"/>
  <c r="L1422" i="1"/>
  <c r="N1422" i="1" s="1"/>
  <c r="L1423" i="1"/>
  <c r="N1423" i="1" s="1"/>
  <c r="L1424" i="1"/>
  <c r="N1424" i="1" s="1"/>
  <c r="L1425" i="1"/>
  <c r="N1425" i="1" s="1"/>
  <c r="L1426" i="1"/>
  <c r="N1426" i="1" s="1"/>
  <c r="L1427" i="1"/>
  <c r="N1427" i="1" s="1"/>
  <c r="L1428" i="1"/>
  <c r="N1428" i="1" s="1"/>
  <c r="L1429" i="1"/>
  <c r="N1429" i="1" s="1"/>
  <c r="L1430" i="1"/>
  <c r="N1430" i="1" s="1"/>
  <c r="L1431" i="1"/>
  <c r="N1431" i="1" s="1"/>
  <c r="L1432" i="1"/>
  <c r="N1432" i="1" s="1"/>
  <c r="L1433" i="1"/>
  <c r="N1433" i="1" s="1"/>
  <c r="L1434" i="1"/>
  <c r="N1434" i="1" s="1"/>
  <c r="L1435" i="1"/>
  <c r="N1435" i="1" s="1"/>
  <c r="L1436" i="1"/>
  <c r="N1436" i="1" s="1"/>
  <c r="L1437" i="1"/>
  <c r="N1437" i="1" s="1"/>
  <c r="L1438" i="1"/>
  <c r="N1438" i="1" s="1"/>
  <c r="L1439" i="1"/>
  <c r="N1439" i="1" s="1"/>
  <c r="L1440" i="1"/>
  <c r="N1440" i="1" s="1"/>
  <c r="L1441" i="1"/>
  <c r="N1441" i="1" s="1"/>
  <c r="L1442" i="1"/>
  <c r="N1442" i="1" s="1"/>
  <c r="L1443" i="1"/>
  <c r="N1443" i="1" s="1"/>
  <c r="L1444" i="1"/>
  <c r="N1444" i="1" s="1"/>
  <c r="L1445" i="1"/>
  <c r="N1445" i="1" s="1"/>
  <c r="L1446" i="1"/>
  <c r="N1446" i="1" s="1"/>
  <c r="L1447" i="1"/>
  <c r="N1447" i="1" s="1"/>
  <c r="L1448" i="1"/>
  <c r="N1448" i="1" s="1"/>
  <c r="L1449" i="1"/>
  <c r="N1449" i="1" s="1"/>
  <c r="L1450" i="1"/>
  <c r="N1450" i="1" s="1"/>
  <c r="L1451" i="1"/>
  <c r="N1451" i="1" s="1"/>
  <c r="L1452" i="1"/>
  <c r="N1452" i="1" s="1"/>
  <c r="L1453" i="1"/>
  <c r="N1453" i="1" s="1"/>
  <c r="L1454" i="1"/>
  <c r="N1454" i="1" s="1"/>
  <c r="L1455" i="1"/>
  <c r="N1455" i="1" s="1"/>
  <c r="L1456" i="1"/>
  <c r="N1456" i="1" s="1"/>
  <c r="L1457" i="1"/>
  <c r="N1457" i="1" s="1"/>
  <c r="L1458" i="1"/>
  <c r="N1458" i="1" s="1"/>
  <c r="L1459" i="1"/>
  <c r="N1459" i="1" s="1"/>
  <c r="L1460" i="1"/>
  <c r="N1460" i="1" s="1"/>
  <c r="L1461" i="1"/>
  <c r="N1461" i="1" s="1"/>
  <c r="L1462" i="1"/>
  <c r="N1462" i="1" s="1"/>
  <c r="L1463" i="1"/>
  <c r="N1463" i="1" s="1"/>
  <c r="L1464" i="1"/>
  <c r="N1464" i="1" s="1"/>
  <c r="L1465" i="1"/>
  <c r="N1465" i="1" s="1"/>
  <c r="L1466" i="1"/>
  <c r="N1466" i="1" s="1"/>
  <c r="L1467" i="1"/>
  <c r="N1467" i="1" s="1"/>
  <c r="L1468" i="1"/>
  <c r="N1468" i="1" s="1"/>
  <c r="L1469" i="1"/>
  <c r="N1469" i="1" s="1"/>
  <c r="L1470" i="1"/>
  <c r="N1470" i="1" s="1"/>
  <c r="L1471" i="1"/>
  <c r="N1471" i="1" s="1"/>
  <c r="L1472" i="1"/>
  <c r="N1472" i="1" s="1"/>
  <c r="L1473" i="1"/>
  <c r="N1473" i="1" s="1"/>
  <c r="L1474" i="1"/>
  <c r="N1474" i="1" s="1"/>
  <c r="L1475" i="1"/>
  <c r="N1475" i="1" s="1"/>
  <c r="L1476" i="1"/>
  <c r="N1476" i="1" s="1"/>
  <c r="L1477" i="1"/>
  <c r="N1477" i="1" s="1"/>
  <c r="L1478" i="1"/>
  <c r="N1478" i="1" s="1"/>
  <c r="L1479" i="1"/>
  <c r="N1479" i="1" s="1"/>
  <c r="L1480" i="1"/>
  <c r="N1480" i="1" s="1"/>
  <c r="L1481" i="1"/>
  <c r="N1481" i="1" s="1"/>
  <c r="L1482" i="1"/>
  <c r="N1482" i="1" s="1"/>
  <c r="L1483" i="1"/>
  <c r="N1483" i="1" s="1"/>
  <c r="L1484" i="1"/>
  <c r="N1484" i="1" s="1"/>
  <c r="L1485" i="1"/>
  <c r="N1485" i="1" s="1"/>
  <c r="L1486" i="1"/>
  <c r="N1486" i="1" s="1"/>
  <c r="L1487" i="1"/>
  <c r="N1487" i="1" s="1"/>
  <c r="L1488" i="1"/>
  <c r="N1488" i="1" s="1"/>
  <c r="L1489" i="1"/>
  <c r="N1489" i="1" s="1"/>
  <c r="L1490" i="1"/>
  <c r="N1490" i="1" s="1"/>
  <c r="L1491" i="1"/>
  <c r="N1491" i="1" s="1"/>
  <c r="L1492" i="1"/>
  <c r="N1492" i="1" s="1"/>
  <c r="L1493" i="1"/>
  <c r="N1493" i="1" s="1"/>
  <c r="L1494" i="1"/>
  <c r="N1494" i="1" s="1"/>
  <c r="L1495" i="1"/>
  <c r="N1495" i="1" s="1"/>
  <c r="L1496" i="1"/>
  <c r="N1496" i="1" s="1"/>
  <c r="L1497" i="1"/>
  <c r="N1497" i="1" s="1"/>
  <c r="L1498" i="1"/>
  <c r="N1498" i="1" s="1"/>
  <c r="L1499" i="1"/>
  <c r="N1499" i="1" s="1"/>
  <c r="L1500" i="1"/>
  <c r="N1500" i="1" s="1"/>
  <c r="L1501" i="1"/>
  <c r="N1501" i="1" s="1"/>
  <c r="L1502" i="1"/>
  <c r="N1502" i="1" s="1"/>
  <c r="L1503" i="1"/>
  <c r="N1503" i="1" s="1"/>
  <c r="L1504" i="1"/>
  <c r="N1504" i="1" s="1"/>
  <c r="L1505" i="1"/>
  <c r="N1505" i="1" s="1"/>
  <c r="L1506" i="1"/>
  <c r="N1506" i="1" s="1"/>
  <c r="L1507" i="1"/>
  <c r="N1507" i="1" s="1"/>
  <c r="L1508" i="1"/>
  <c r="N1508" i="1" s="1"/>
  <c r="L1509" i="1"/>
  <c r="N1509" i="1" s="1"/>
  <c r="L1510" i="1"/>
  <c r="N1510" i="1" s="1"/>
  <c r="L1511" i="1"/>
  <c r="N1511" i="1" s="1"/>
  <c r="L1512" i="1"/>
  <c r="N1512" i="1" s="1"/>
  <c r="L1513" i="1"/>
  <c r="N1513" i="1" s="1"/>
  <c r="L1514" i="1"/>
  <c r="N1514" i="1" s="1"/>
  <c r="L1515" i="1"/>
  <c r="N1515" i="1" s="1"/>
  <c r="L1516" i="1"/>
  <c r="N1516" i="1" s="1"/>
  <c r="L1517" i="1"/>
  <c r="N1517" i="1" s="1"/>
  <c r="L1518" i="1"/>
  <c r="N1518" i="1" s="1"/>
  <c r="L1519" i="1"/>
  <c r="N1519" i="1" s="1"/>
  <c r="L1520" i="1"/>
  <c r="N1520" i="1" s="1"/>
  <c r="L1521" i="1"/>
  <c r="N1521" i="1" s="1"/>
  <c r="L1522" i="1"/>
  <c r="N1522" i="1" s="1"/>
  <c r="L1523" i="1"/>
  <c r="N1523" i="1" s="1"/>
  <c r="L1524" i="1"/>
  <c r="N1524" i="1" s="1"/>
  <c r="L1525" i="1"/>
  <c r="N1525" i="1" s="1"/>
  <c r="L1526" i="1"/>
  <c r="N1526" i="1" s="1"/>
  <c r="L1527" i="1"/>
  <c r="N1527" i="1" s="1"/>
  <c r="L1528" i="1"/>
  <c r="N1528" i="1" s="1"/>
  <c r="L1529" i="1"/>
  <c r="N1529" i="1" s="1"/>
  <c r="L1530" i="1"/>
  <c r="N1530" i="1" s="1"/>
  <c r="L1531" i="1"/>
  <c r="N1531" i="1" s="1"/>
  <c r="L1532" i="1"/>
  <c r="N1532" i="1" s="1"/>
  <c r="L1533" i="1"/>
  <c r="N1533" i="1" s="1"/>
  <c r="L1534" i="1"/>
  <c r="N1534" i="1" s="1"/>
  <c r="L1535" i="1"/>
  <c r="N1535" i="1" s="1"/>
  <c r="L1536" i="1"/>
  <c r="N1536" i="1" s="1"/>
  <c r="L1537" i="1"/>
  <c r="N1537" i="1" s="1"/>
  <c r="L1538" i="1"/>
  <c r="N1538" i="1" s="1"/>
  <c r="L1539" i="1"/>
  <c r="N1539" i="1" s="1"/>
  <c r="L1540" i="1"/>
  <c r="N1540" i="1" s="1"/>
  <c r="L1541" i="1"/>
  <c r="N1541" i="1" s="1"/>
  <c r="L1542" i="1"/>
  <c r="N1542" i="1" s="1"/>
  <c r="L1543" i="1"/>
  <c r="N1543" i="1" s="1"/>
  <c r="L1544" i="1"/>
  <c r="N1544" i="1" s="1"/>
  <c r="L1545" i="1"/>
  <c r="N1545" i="1" s="1"/>
  <c r="L1546" i="1"/>
  <c r="N1546" i="1" s="1"/>
  <c r="L1547" i="1"/>
  <c r="N1547" i="1" s="1"/>
  <c r="L1548" i="1"/>
  <c r="N1548" i="1" s="1"/>
  <c r="L1549" i="1"/>
  <c r="N1549" i="1" s="1"/>
  <c r="L1550" i="1"/>
  <c r="N1550" i="1" s="1"/>
  <c r="L1551" i="1"/>
  <c r="N1551" i="1" s="1"/>
  <c r="L1552" i="1"/>
  <c r="N1552" i="1" s="1"/>
  <c r="L1553" i="1"/>
  <c r="N1553" i="1" s="1"/>
  <c r="L1554" i="1"/>
  <c r="N1554" i="1" s="1"/>
  <c r="L1555" i="1"/>
  <c r="N1555" i="1" s="1"/>
  <c r="L1556" i="1"/>
  <c r="N1556" i="1" s="1"/>
  <c r="L1557" i="1"/>
  <c r="N1557" i="1" s="1"/>
  <c r="L1558" i="1"/>
  <c r="N1558" i="1" s="1"/>
  <c r="L1559" i="1"/>
  <c r="N1559" i="1" s="1"/>
  <c r="L1560" i="1"/>
  <c r="N1560" i="1" s="1"/>
  <c r="L1561" i="1"/>
  <c r="N1561" i="1" s="1"/>
  <c r="L1562" i="1"/>
  <c r="N1562" i="1" s="1"/>
  <c r="L1563" i="1"/>
  <c r="N1563" i="1" s="1"/>
  <c r="L1564" i="1"/>
  <c r="N1564" i="1" s="1"/>
  <c r="L1565" i="1"/>
  <c r="N1565" i="1" s="1"/>
  <c r="L1566" i="1"/>
  <c r="N1566" i="1" s="1"/>
  <c r="L1567" i="1"/>
  <c r="N1567" i="1" s="1"/>
  <c r="L1568" i="1"/>
  <c r="N1568" i="1" s="1"/>
  <c r="L1569" i="1"/>
  <c r="N1569" i="1" s="1"/>
  <c r="L1570" i="1"/>
  <c r="N1570" i="1" s="1"/>
  <c r="L1571" i="1"/>
  <c r="N1571" i="1" s="1"/>
  <c r="L1572" i="1"/>
  <c r="N1572" i="1" s="1"/>
  <c r="L1573" i="1"/>
  <c r="N1573" i="1" s="1"/>
  <c r="L1574" i="1"/>
  <c r="N1574" i="1" s="1"/>
  <c r="L1575" i="1"/>
  <c r="N1575" i="1" s="1"/>
  <c r="L1576" i="1"/>
  <c r="N1576" i="1" s="1"/>
  <c r="L1577" i="1"/>
  <c r="N1577" i="1" s="1"/>
  <c r="L1578" i="1"/>
  <c r="N1578" i="1" s="1"/>
  <c r="L1579" i="1"/>
  <c r="N1579" i="1" s="1"/>
  <c r="L1580" i="1"/>
  <c r="N1580" i="1" s="1"/>
  <c r="L1581" i="1"/>
  <c r="N1581" i="1" s="1"/>
  <c r="L1582" i="1"/>
  <c r="N1582" i="1" s="1"/>
  <c r="L1583" i="1"/>
  <c r="N1583" i="1" s="1"/>
  <c r="L1584" i="1"/>
  <c r="N1584" i="1" s="1"/>
  <c r="L1585" i="1"/>
  <c r="N1585" i="1" s="1"/>
  <c r="L1586" i="1"/>
  <c r="N1586" i="1" s="1"/>
  <c r="L1587" i="1"/>
  <c r="N1587" i="1" s="1"/>
  <c r="L1588" i="1"/>
  <c r="N1588" i="1" s="1"/>
  <c r="L1589" i="1"/>
  <c r="N1589" i="1" s="1"/>
  <c r="L1590" i="1"/>
  <c r="N1590" i="1" s="1"/>
  <c r="L1591" i="1"/>
  <c r="N1591" i="1" s="1"/>
  <c r="L1592" i="1"/>
  <c r="N1592" i="1" s="1"/>
  <c r="L1593" i="1"/>
  <c r="N1593" i="1" s="1"/>
  <c r="L1594" i="1"/>
  <c r="N1594" i="1" s="1"/>
  <c r="L1595" i="1"/>
  <c r="N1595" i="1" s="1"/>
  <c r="L1596" i="1"/>
  <c r="N1596" i="1" s="1"/>
  <c r="L1597" i="1"/>
  <c r="N1597" i="1" s="1"/>
  <c r="L1598" i="1"/>
  <c r="N1598" i="1" s="1"/>
  <c r="L1599" i="1"/>
  <c r="N1599" i="1" s="1"/>
  <c r="L1600" i="1"/>
  <c r="N1600" i="1" s="1"/>
  <c r="L1601" i="1"/>
  <c r="N1601" i="1" s="1"/>
  <c r="L1602" i="1"/>
  <c r="N1602" i="1" s="1"/>
  <c r="L1603" i="1"/>
  <c r="N1603" i="1" s="1"/>
  <c r="L1604" i="1"/>
  <c r="N1604" i="1" s="1"/>
  <c r="L1605" i="1"/>
  <c r="N1605" i="1" s="1"/>
  <c r="L1606" i="1"/>
  <c r="N1606" i="1" s="1"/>
  <c r="L1607" i="1"/>
  <c r="N1607" i="1" s="1"/>
  <c r="L1608" i="1"/>
  <c r="N1608" i="1" s="1"/>
  <c r="L1609" i="1"/>
  <c r="N1609" i="1" s="1"/>
  <c r="L1610" i="1"/>
  <c r="N1610" i="1" s="1"/>
  <c r="L1611" i="1"/>
  <c r="N1611" i="1" s="1"/>
  <c r="L1612" i="1"/>
  <c r="N1612" i="1" s="1"/>
  <c r="L1613" i="1"/>
  <c r="N1613" i="1" s="1"/>
  <c r="L1614" i="1"/>
  <c r="N1614" i="1" s="1"/>
  <c r="L1615" i="1"/>
  <c r="N1615" i="1" s="1"/>
  <c r="L1616" i="1"/>
  <c r="N1616" i="1" s="1"/>
  <c r="L1617" i="1"/>
  <c r="N1617" i="1" s="1"/>
  <c r="L1618" i="1"/>
  <c r="N1618" i="1" s="1"/>
  <c r="L1619" i="1"/>
  <c r="N1619" i="1" s="1"/>
  <c r="L1620" i="1"/>
  <c r="N1620" i="1" s="1"/>
  <c r="L1621" i="1"/>
  <c r="N1621" i="1" s="1"/>
  <c r="L1622" i="1"/>
  <c r="N1622" i="1" s="1"/>
  <c r="L1623" i="1"/>
  <c r="N1623" i="1" s="1"/>
  <c r="L1624" i="1"/>
  <c r="N1624" i="1" s="1"/>
  <c r="L1625" i="1"/>
  <c r="N1625" i="1" s="1"/>
  <c r="L1626" i="1"/>
  <c r="N1626" i="1" s="1"/>
  <c r="L1627" i="1"/>
  <c r="N1627" i="1" s="1"/>
  <c r="L1628" i="1"/>
  <c r="N1628" i="1" s="1"/>
  <c r="L1629" i="1"/>
  <c r="N1629" i="1" s="1"/>
  <c r="L1630" i="1"/>
  <c r="N1630" i="1" s="1"/>
  <c r="L1631" i="1"/>
  <c r="N1631" i="1" s="1"/>
  <c r="L1632" i="1"/>
  <c r="N1632" i="1" s="1"/>
  <c r="L1633" i="1"/>
  <c r="N1633" i="1" s="1"/>
  <c r="L1634" i="1"/>
  <c r="N1634" i="1" s="1"/>
  <c r="L1635" i="1"/>
  <c r="N1635" i="1" s="1"/>
  <c r="L1636" i="1"/>
  <c r="N1636" i="1" s="1"/>
  <c r="L1637" i="1"/>
  <c r="N1637" i="1" s="1"/>
  <c r="L1638" i="1"/>
  <c r="N1638" i="1" s="1"/>
  <c r="L1639" i="1"/>
  <c r="N1639" i="1" s="1"/>
  <c r="L1640" i="1"/>
  <c r="N1640" i="1" s="1"/>
  <c r="L1641" i="1"/>
  <c r="N1641" i="1" s="1"/>
  <c r="L1642" i="1"/>
  <c r="N1642" i="1" s="1"/>
  <c r="L1643" i="1"/>
  <c r="N1643" i="1" s="1"/>
  <c r="L1644" i="1"/>
  <c r="N1644" i="1" s="1"/>
  <c r="L1645" i="1"/>
  <c r="N1645" i="1" s="1"/>
  <c r="L1646" i="1"/>
  <c r="N1646" i="1" s="1"/>
  <c r="L1647" i="1"/>
  <c r="N1647" i="1" s="1"/>
  <c r="L1648" i="1"/>
  <c r="N1648" i="1" s="1"/>
  <c r="L1649" i="1"/>
  <c r="N1649" i="1" s="1"/>
  <c r="L1650" i="1"/>
  <c r="N1650" i="1" s="1"/>
  <c r="L1651" i="1"/>
  <c r="N1651" i="1" s="1"/>
  <c r="L1652" i="1"/>
  <c r="N1652" i="1" s="1"/>
  <c r="L1653" i="1"/>
  <c r="N1653" i="1" s="1"/>
  <c r="L1654" i="1"/>
  <c r="N1654" i="1" s="1"/>
  <c r="L1655" i="1"/>
  <c r="N1655" i="1" s="1"/>
  <c r="L1656" i="1"/>
  <c r="N1656" i="1" s="1"/>
  <c r="L1657" i="1"/>
  <c r="N1657" i="1" s="1"/>
  <c r="L1658" i="1"/>
  <c r="N1658" i="1" s="1"/>
  <c r="L1659" i="1"/>
  <c r="N1659" i="1" s="1"/>
  <c r="L1660" i="1"/>
  <c r="N1660" i="1" s="1"/>
  <c r="L1661" i="1"/>
  <c r="N1661" i="1" s="1"/>
  <c r="L1662" i="1"/>
  <c r="N1662" i="1" s="1"/>
  <c r="L1663" i="1"/>
  <c r="N1663" i="1" s="1"/>
  <c r="L1664" i="1"/>
  <c r="N1664" i="1" s="1"/>
  <c r="L1665" i="1"/>
  <c r="N1665" i="1" s="1"/>
  <c r="L1666" i="1"/>
  <c r="N1666" i="1" s="1"/>
  <c r="L1667" i="1"/>
  <c r="N1667" i="1" s="1"/>
  <c r="L1668" i="1"/>
  <c r="N1668" i="1" s="1"/>
  <c r="L1669" i="1"/>
  <c r="N1669" i="1" s="1"/>
  <c r="L1670" i="1"/>
  <c r="N1670" i="1" s="1"/>
  <c r="L1671" i="1"/>
  <c r="N1671" i="1" s="1"/>
  <c r="L1672" i="1"/>
  <c r="N1672" i="1" s="1"/>
  <c r="L1673" i="1"/>
  <c r="N1673" i="1" s="1"/>
  <c r="L1674" i="1"/>
  <c r="N1674" i="1" s="1"/>
  <c r="L1675" i="1"/>
  <c r="N1675" i="1" s="1"/>
  <c r="L1676" i="1"/>
  <c r="N1676" i="1" s="1"/>
  <c r="L1677" i="1"/>
  <c r="N1677" i="1" s="1"/>
  <c r="L1678" i="1"/>
  <c r="N1678" i="1" s="1"/>
  <c r="L1679" i="1"/>
  <c r="N1679" i="1" s="1"/>
  <c r="L1680" i="1"/>
  <c r="N1680" i="1" s="1"/>
  <c r="L1681" i="1"/>
  <c r="N1681" i="1" s="1"/>
  <c r="L1682" i="1"/>
  <c r="N1682" i="1" s="1"/>
  <c r="L1683" i="1"/>
  <c r="N1683" i="1" s="1"/>
  <c r="L1684" i="1"/>
  <c r="N1684" i="1" s="1"/>
  <c r="L1685" i="1"/>
  <c r="N1685" i="1" s="1"/>
  <c r="L1686" i="1"/>
  <c r="N1686" i="1" s="1"/>
  <c r="L1687" i="1"/>
  <c r="N1687" i="1" s="1"/>
  <c r="L1688" i="1"/>
  <c r="N1688" i="1" s="1"/>
  <c r="L1689" i="1"/>
  <c r="N1689" i="1" s="1"/>
  <c r="L1690" i="1"/>
  <c r="N1690" i="1" s="1"/>
  <c r="L1691" i="1"/>
  <c r="N1691" i="1" s="1"/>
  <c r="L1692" i="1"/>
  <c r="N1692" i="1" s="1"/>
  <c r="L1693" i="1"/>
  <c r="N1693" i="1" s="1"/>
  <c r="L1694" i="1"/>
  <c r="N1694" i="1" s="1"/>
  <c r="L1695" i="1"/>
  <c r="N1695" i="1" s="1"/>
  <c r="L1696" i="1"/>
  <c r="N1696" i="1" s="1"/>
  <c r="L1697" i="1"/>
  <c r="N1697" i="1" s="1"/>
  <c r="L1698" i="1"/>
  <c r="N1698" i="1" s="1"/>
  <c r="L1699" i="1"/>
  <c r="N1699" i="1" s="1"/>
  <c r="L1700" i="1"/>
  <c r="N1700" i="1" s="1"/>
  <c r="L1701" i="1"/>
  <c r="N1701" i="1" s="1"/>
  <c r="L1702" i="1"/>
  <c r="N1702" i="1" s="1"/>
  <c r="L1703" i="1"/>
  <c r="N1703" i="1" s="1"/>
  <c r="L1704" i="1"/>
  <c r="N1704" i="1" s="1"/>
  <c r="L1705" i="1"/>
  <c r="N1705" i="1" s="1"/>
  <c r="L1706" i="1"/>
  <c r="N1706" i="1" s="1"/>
  <c r="L1707" i="1"/>
  <c r="N1707" i="1" s="1"/>
  <c r="L1708" i="1"/>
  <c r="N1708" i="1" s="1"/>
  <c r="L1709" i="1"/>
  <c r="N1709" i="1" s="1"/>
  <c r="L1710" i="1"/>
  <c r="N1710" i="1" s="1"/>
  <c r="L1711" i="1"/>
  <c r="N1711" i="1" s="1"/>
  <c r="L1712" i="1"/>
  <c r="N1712" i="1" s="1"/>
  <c r="L1713" i="1"/>
  <c r="N1713" i="1" s="1"/>
  <c r="L1714" i="1"/>
  <c r="N1714" i="1" s="1"/>
  <c r="L1715" i="1"/>
  <c r="N1715" i="1" s="1"/>
  <c r="L1716" i="1"/>
  <c r="N1716" i="1" s="1"/>
  <c r="L1717" i="1"/>
  <c r="N1717" i="1" s="1"/>
  <c r="L1718" i="1"/>
  <c r="N1718" i="1" s="1"/>
  <c r="L1719" i="1"/>
  <c r="N1719" i="1" s="1"/>
  <c r="L1720" i="1"/>
  <c r="N1720" i="1" s="1"/>
  <c r="L1721" i="1"/>
  <c r="N1721" i="1" s="1"/>
  <c r="L1722" i="1"/>
  <c r="N1722" i="1" s="1"/>
  <c r="L1723" i="1"/>
  <c r="N1723" i="1" s="1"/>
  <c r="L1724" i="1"/>
  <c r="N1724" i="1" s="1"/>
  <c r="L1725" i="1"/>
  <c r="N1725" i="1" s="1"/>
  <c r="L1726" i="1"/>
  <c r="N1726" i="1" s="1"/>
  <c r="L1727" i="1"/>
  <c r="N1727" i="1" s="1"/>
  <c r="L1728" i="1"/>
  <c r="N1728" i="1" s="1"/>
  <c r="L1729" i="1"/>
  <c r="N1729" i="1" s="1"/>
  <c r="L1730" i="1"/>
  <c r="N1730" i="1" s="1"/>
  <c r="L1731" i="1"/>
  <c r="N1731" i="1" s="1"/>
  <c r="L1732" i="1"/>
  <c r="N1732" i="1" s="1"/>
  <c r="L1733" i="1"/>
  <c r="N1733" i="1" s="1"/>
  <c r="L1734" i="1"/>
  <c r="N1734" i="1" s="1"/>
  <c r="L1735" i="1"/>
  <c r="N1735" i="1" s="1"/>
  <c r="L1736" i="1"/>
  <c r="N1736" i="1" s="1"/>
  <c r="L1737" i="1"/>
  <c r="N1737" i="1" s="1"/>
  <c r="L1738" i="1"/>
  <c r="N1738" i="1" s="1"/>
  <c r="L1739" i="1"/>
  <c r="N1739" i="1" s="1"/>
  <c r="L1740" i="1"/>
  <c r="N1740" i="1" s="1"/>
  <c r="L1741" i="1"/>
  <c r="N1741" i="1" s="1"/>
  <c r="L1742" i="1"/>
  <c r="N1742" i="1" s="1"/>
  <c r="L1743" i="1"/>
  <c r="N1743" i="1" s="1"/>
  <c r="L1744" i="1"/>
  <c r="N1744" i="1" s="1"/>
  <c r="L1745" i="1"/>
  <c r="N1745" i="1" s="1"/>
  <c r="L1746" i="1"/>
  <c r="N1746" i="1" s="1"/>
  <c r="L1747" i="1"/>
  <c r="N1747" i="1" s="1"/>
  <c r="L1748" i="1"/>
  <c r="N1748" i="1" s="1"/>
  <c r="L1749" i="1"/>
  <c r="N1749" i="1" s="1"/>
  <c r="L1750" i="1"/>
  <c r="N1750" i="1" s="1"/>
  <c r="L1751" i="1"/>
  <c r="N1751" i="1" s="1"/>
  <c r="L1752" i="1"/>
  <c r="N1752" i="1" s="1"/>
  <c r="L1753" i="1"/>
  <c r="N1753" i="1" s="1"/>
  <c r="L1754" i="1"/>
  <c r="N1754" i="1" s="1"/>
  <c r="L1755" i="1"/>
  <c r="N1755" i="1" s="1"/>
  <c r="L1756" i="1"/>
  <c r="N1756" i="1" s="1"/>
  <c r="L1757" i="1"/>
  <c r="N1757" i="1" s="1"/>
  <c r="L1758" i="1"/>
  <c r="N1758" i="1" s="1"/>
  <c r="L1759" i="1"/>
  <c r="N1759" i="1" s="1"/>
  <c r="L1760" i="1"/>
  <c r="N1760" i="1" s="1"/>
  <c r="L1761" i="1"/>
  <c r="N1761" i="1" s="1"/>
  <c r="L1762" i="1"/>
  <c r="N1762" i="1" s="1"/>
  <c r="L1763" i="1"/>
  <c r="N1763" i="1" s="1"/>
  <c r="L1764" i="1"/>
  <c r="N1764" i="1" s="1"/>
  <c r="L1765" i="1"/>
  <c r="N1765" i="1" s="1"/>
  <c r="L1766" i="1"/>
  <c r="N1766" i="1" s="1"/>
  <c r="L1767" i="1"/>
  <c r="N1767" i="1" s="1"/>
  <c r="L1768" i="1"/>
  <c r="N1768" i="1" s="1"/>
  <c r="L1769" i="1"/>
  <c r="N1769" i="1" s="1"/>
  <c r="L1770" i="1"/>
  <c r="N1770" i="1" s="1"/>
  <c r="L1771" i="1"/>
  <c r="N1771" i="1" s="1"/>
  <c r="L1772" i="1"/>
  <c r="N1772" i="1" s="1"/>
  <c r="L1773" i="1"/>
  <c r="N1773" i="1" s="1"/>
  <c r="L1774" i="1"/>
  <c r="N1774" i="1" s="1"/>
  <c r="L1775" i="1"/>
  <c r="N1775" i="1" s="1"/>
  <c r="L1776" i="1"/>
  <c r="N1776" i="1" s="1"/>
  <c r="L1777" i="1"/>
  <c r="N1777" i="1" s="1"/>
  <c r="L1778" i="1"/>
  <c r="N1778" i="1" s="1"/>
  <c r="L1779" i="1"/>
  <c r="N1779" i="1" s="1"/>
  <c r="L1780" i="1"/>
  <c r="N1780" i="1" s="1"/>
  <c r="L1781" i="1"/>
  <c r="N1781" i="1" s="1"/>
  <c r="L1782" i="1"/>
  <c r="N1782" i="1" s="1"/>
  <c r="L1783" i="1"/>
  <c r="N1783" i="1" s="1"/>
  <c r="L1784" i="1"/>
  <c r="N1784" i="1" s="1"/>
  <c r="L1785" i="1"/>
  <c r="N1785" i="1" s="1"/>
  <c r="L1786" i="1"/>
  <c r="N1786" i="1" s="1"/>
  <c r="L1787" i="1"/>
  <c r="N1787" i="1" s="1"/>
  <c r="L1788" i="1"/>
  <c r="N1788" i="1" s="1"/>
  <c r="L1789" i="1"/>
  <c r="N1789" i="1" s="1"/>
  <c r="L1790" i="1"/>
  <c r="N1790" i="1" s="1"/>
  <c r="L1791" i="1"/>
  <c r="N1791" i="1" s="1"/>
  <c r="L1792" i="1"/>
  <c r="N1792" i="1" s="1"/>
  <c r="L1793" i="1"/>
  <c r="N1793" i="1" s="1"/>
  <c r="L1794" i="1"/>
  <c r="N1794" i="1" s="1"/>
  <c r="L1795" i="1"/>
  <c r="N1795" i="1" s="1"/>
  <c r="L1796" i="1"/>
  <c r="N1796" i="1" s="1"/>
  <c r="L1797" i="1"/>
  <c r="N1797" i="1" s="1"/>
  <c r="L1798" i="1"/>
  <c r="N1798" i="1" s="1"/>
  <c r="L1799" i="1"/>
  <c r="N1799" i="1" s="1"/>
  <c r="L1800" i="1"/>
  <c r="N1800" i="1" s="1"/>
  <c r="L1801" i="1"/>
  <c r="N1801" i="1" s="1"/>
  <c r="L1802" i="1"/>
  <c r="N1802" i="1" s="1"/>
  <c r="L1803" i="1"/>
  <c r="N1803" i="1" s="1"/>
  <c r="L1804" i="1"/>
  <c r="N1804" i="1" s="1"/>
  <c r="L1805" i="1"/>
  <c r="N1805" i="1" s="1"/>
  <c r="L1806" i="1"/>
  <c r="N1806" i="1" s="1"/>
  <c r="L1807" i="1"/>
  <c r="N1807" i="1" s="1"/>
  <c r="L1808" i="1"/>
  <c r="N1808" i="1" s="1"/>
  <c r="L1809" i="1"/>
  <c r="N1809" i="1" s="1"/>
  <c r="L1810" i="1"/>
  <c r="N1810" i="1" s="1"/>
  <c r="L1811" i="1"/>
  <c r="N1811" i="1" s="1"/>
  <c r="L1812" i="1"/>
  <c r="N1812" i="1" s="1"/>
  <c r="L1813" i="1"/>
  <c r="N1813" i="1" s="1"/>
  <c r="L1814" i="1"/>
  <c r="N1814" i="1" s="1"/>
  <c r="L1815" i="1"/>
  <c r="N1815" i="1" s="1"/>
  <c r="L1816" i="1"/>
  <c r="N1816" i="1" s="1"/>
  <c r="L1817" i="1"/>
  <c r="N1817" i="1" s="1"/>
  <c r="L1818" i="1"/>
  <c r="N1818" i="1" s="1"/>
  <c r="L1819" i="1"/>
  <c r="N1819" i="1" s="1"/>
  <c r="L1820" i="1"/>
  <c r="N1820" i="1" s="1"/>
  <c r="L1821" i="1"/>
  <c r="N1821" i="1" s="1"/>
  <c r="L1822" i="1"/>
  <c r="N1822" i="1" s="1"/>
  <c r="L1823" i="1"/>
  <c r="N1823" i="1" s="1"/>
  <c r="L1824" i="1"/>
  <c r="N1824" i="1" s="1"/>
  <c r="L1825" i="1"/>
  <c r="N1825" i="1" s="1"/>
  <c r="L1826" i="1"/>
  <c r="N1826" i="1" s="1"/>
  <c r="L1827" i="1"/>
  <c r="N1827" i="1" s="1"/>
  <c r="L1828" i="1"/>
  <c r="N1828" i="1" s="1"/>
  <c r="L1829" i="1"/>
  <c r="N1829" i="1" s="1"/>
  <c r="L1830" i="1"/>
  <c r="N1830" i="1" s="1"/>
  <c r="L1831" i="1"/>
  <c r="N1831" i="1" s="1"/>
  <c r="L1832" i="1"/>
  <c r="N1832" i="1" s="1"/>
  <c r="L1833" i="1"/>
  <c r="N1833" i="1" s="1"/>
  <c r="L1834" i="1"/>
  <c r="N1834" i="1" s="1"/>
  <c r="L1835" i="1"/>
  <c r="N1835" i="1" s="1"/>
  <c r="L1836" i="1"/>
  <c r="N1836" i="1" s="1"/>
  <c r="L1837" i="1"/>
  <c r="N1837" i="1" s="1"/>
  <c r="L1838" i="1"/>
  <c r="N1838" i="1" s="1"/>
  <c r="L1839" i="1"/>
  <c r="N1839" i="1" s="1"/>
  <c r="L1840" i="1"/>
  <c r="N1840" i="1" s="1"/>
  <c r="L1841" i="1"/>
  <c r="N1841" i="1" s="1"/>
  <c r="L1842" i="1"/>
  <c r="N1842" i="1" s="1"/>
  <c r="L1843" i="1"/>
  <c r="N1843" i="1" s="1"/>
  <c r="L1844" i="1"/>
  <c r="N1844" i="1" s="1"/>
  <c r="L1845" i="1"/>
  <c r="N1845" i="1" s="1"/>
  <c r="L1846" i="1"/>
  <c r="N1846" i="1" s="1"/>
  <c r="L1847" i="1"/>
  <c r="N1847" i="1" s="1"/>
  <c r="L1848" i="1"/>
  <c r="N1848" i="1" s="1"/>
  <c r="L1849" i="1"/>
  <c r="N1849" i="1" s="1"/>
  <c r="L1850" i="1"/>
  <c r="N1850" i="1" s="1"/>
  <c r="L1851" i="1"/>
  <c r="N1851" i="1" s="1"/>
  <c r="L1852" i="1"/>
  <c r="N1852" i="1" s="1"/>
  <c r="L1853" i="1"/>
  <c r="N1853" i="1" s="1"/>
  <c r="L1854" i="1"/>
  <c r="N1854" i="1" s="1"/>
  <c r="L1855" i="1"/>
  <c r="N1855" i="1" s="1"/>
  <c r="L1856" i="1"/>
  <c r="N1856" i="1" s="1"/>
  <c r="L1857" i="1"/>
  <c r="N1857" i="1" s="1"/>
  <c r="L1858" i="1"/>
  <c r="N1858" i="1" s="1"/>
  <c r="L1859" i="1"/>
  <c r="N1859" i="1" s="1"/>
  <c r="L1860" i="1"/>
  <c r="N1860" i="1" s="1"/>
  <c r="L1861" i="1"/>
  <c r="N1861" i="1" s="1"/>
  <c r="L1862" i="1"/>
  <c r="N1862" i="1" s="1"/>
  <c r="L1863" i="1"/>
  <c r="N1863" i="1" s="1"/>
  <c r="L1864" i="1"/>
  <c r="N1864" i="1" s="1"/>
  <c r="L1865" i="1"/>
  <c r="N1865" i="1" s="1"/>
  <c r="L1866" i="1"/>
  <c r="N1866" i="1" s="1"/>
  <c r="L1867" i="1"/>
  <c r="N1867" i="1" s="1"/>
  <c r="L1868" i="1"/>
  <c r="N1868" i="1" s="1"/>
  <c r="L1869" i="1"/>
  <c r="N1869" i="1" s="1"/>
  <c r="L1870" i="1"/>
  <c r="N1870" i="1" s="1"/>
  <c r="L1871" i="1"/>
  <c r="N1871" i="1" s="1"/>
  <c r="L1872" i="1"/>
  <c r="N1872" i="1" s="1"/>
  <c r="L1873" i="1"/>
  <c r="N1873" i="1" s="1"/>
  <c r="L1874" i="1"/>
  <c r="N1874" i="1" s="1"/>
  <c r="L1875" i="1"/>
  <c r="N1875" i="1" s="1"/>
  <c r="L1876" i="1"/>
  <c r="N1876" i="1" s="1"/>
  <c r="L1877" i="1"/>
  <c r="N1877" i="1" s="1"/>
  <c r="L1878" i="1"/>
  <c r="N1878" i="1" s="1"/>
  <c r="L1879" i="1"/>
  <c r="N1879" i="1" s="1"/>
  <c r="L1880" i="1"/>
  <c r="N1880" i="1" s="1"/>
  <c r="L1881" i="1"/>
  <c r="N1881" i="1" s="1"/>
  <c r="L1882" i="1"/>
  <c r="N1882" i="1" s="1"/>
  <c r="L1883" i="1"/>
  <c r="N1883" i="1" s="1"/>
  <c r="L1884" i="1"/>
  <c r="N1884" i="1" s="1"/>
  <c r="L1885" i="1"/>
  <c r="N1885" i="1" s="1"/>
  <c r="L1886" i="1"/>
  <c r="N1886" i="1" s="1"/>
  <c r="L1887" i="1"/>
  <c r="N1887" i="1" s="1"/>
  <c r="L1888" i="1"/>
  <c r="N1888" i="1" s="1"/>
  <c r="L1889" i="1"/>
  <c r="N1889" i="1" s="1"/>
  <c r="L1890" i="1"/>
  <c r="N1890" i="1" s="1"/>
  <c r="L1891" i="1"/>
  <c r="N1891" i="1" s="1"/>
  <c r="L1892" i="1"/>
  <c r="N1892" i="1" s="1"/>
  <c r="L1893" i="1"/>
  <c r="N1893" i="1" s="1"/>
  <c r="L1894" i="1"/>
  <c r="N1894" i="1" s="1"/>
  <c r="L1895" i="1"/>
  <c r="N1895" i="1" s="1"/>
  <c r="L1896" i="1"/>
  <c r="N1896" i="1" s="1"/>
  <c r="L1897" i="1"/>
  <c r="N1897" i="1" s="1"/>
  <c r="L1898" i="1"/>
  <c r="N1898" i="1" s="1"/>
  <c r="L1899" i="1"/>
  <c r="N1899" i="1" s="1"/>
  <c r="L1900" i="1"/>
  <c r="N1900" i="1" s="1"/>
  <c r="L1901" i="1"/>
  <c r="N1901" i="1" s="1"/>
  <c r="L1902" i="1"/>
  <c r="N1902" i="1" s="1"/>
  <c r="L1903" i="1"/>
  <c r="N1903" i="1" s="1"/>
  <c r="L1904" i="1"/>
  <c r="N1904" i="1" s="1"/>
  <c r="L1905" i="1"/>
  <c r="N1905" i="1" s="1"/>
  <c r="L1906" i="1"/>
  <c r="N1906" i="1" s="1"/>
  <c r="L1907" i="1"/>
  <c r="N1907" i="1" s="1"/>
  <c r="L1908" i="1"/>
  <c r="N1908" i="1" s="1"/>
  <c r="L1909" i="1"/>
  <c r="N1909" i="1" s="1"/>
  <c r="L1910" i="1"/>
  <c r="N1910" i="1" s="1"/>
  <c r="L1911" i="1"/>
  <c r="N1911" i="1" s="1"/>
  <c r="L1912" i="1"/>
  <c r="N1912" i="1" s="1"/>
  <c r="L1913" i="1"/>
  <c r="N1913" i="1" s="1"/>
  <c r="L1914" i="1"/>
  <c r="N1914" i="1" s="1"/>
  <c r="L1915" i="1"/>
  <c r="N1915" i="1" s="1"/>
  <c r="L1916" i="1"/>
  <c r="N1916" i="1" s="1"/>
  <c r="L1917" i="1"/>
  <c r="N1917" i="1" s="1"/>
  <c r="L1918" i="1"/>
  <c r="N1918" i="1" s="1"/>
  <c r="L1919" i="1"/>
  <c r="N1919" i="1" s="1"/>
  <c r="L1920" i="1"/>
  <c r="N1920" i="1" s="1"/>
  <c r="L1921" i="1"/>
  <c r="N1921" i="1" s="1"/>
  <c r="L1922" i="1"/>
  <c r="N1922" i="1" s="1"/>
  <c r="L1923" i="1"/>
  <c r="N1923" i="1" s="1"/>
  <c r="L1924" i="1"/>
  <c r="N1924" i="1" s="1"/>
  <c r="L1925" i="1"/>
  <c r="N1925" i="1" s="1"/>
  <c r="L1926" i="1"/>
  <c r="N1926" i="1" s="1"/>
  <c r="L1927" i="1"/>
  <c r="N1927" i="1" s="1"/>
  <c r="L1928" i="1"/>
  <c r="N1928" i="1" s="1"/>
  <c r="L1929" i="1"/>
  <c r="N1929" i="1" s="1"/>
  <c r="L1930" i="1"/>
  <c r="N1930" i="1" s="1"/>
  <c r="L1931" i="1"/>
  <c r="N1931" i="1" s="1"/>
  <c r="L1932" i="1"/>
  <c r="N1932" i="1" s="1"/>
  <c r="L1933" i="1"/>
  <c r="N1933" i="1" s="1"/>
  <c r="L1934" i="1"/>
  <c r="N1934" i="1" s="1"/>
  <c r="L1935" i="1"/>
  <c r="N1935" i="1" s="1"/>
  <c r="L1936" i="1"/>
  <c r="N1936" i="1" s="1"/>
  <c r="L1937" i="1"/>
  <c r="N1937" i="1" s="1"/>
  <c r="L1938" i="1"/>
  <c r="N1938" i="1" s="1"/>
  <c r="L1939" i="1"/>
  <c r="N1939" i="1" s="1"/>
  <c r="L1940" i="1"/>
  <c r="N1940" i="1" s="1"/>
  <c r="L1941" i="1"/>
  <c r="N1941" i="1" s="1"/>
  <c r="L1942" i="1"/>
  <c r="N1942" i="1" s="1"/>
  <c r="L1943" i="1"/>
  <c r="N1943" i="1" s="1"/>
  <c r="L1944" i="1"/>
  <c r="N1944" i="1" s="1"/>
  <c r="L1945" i="1"/>
  <c r="N1945" i="1" s="1"/>
  <c r="L1946" i="1"/>
  <c r="N1946" i="1" s="1"/>
  <c r="L1947" i="1"/>
  <c r="N1947" i="1" s="1"/>
  <c r="L1948" i="1"/>
  <c r="N1948" i="1" s="1"/>
  <c r="L1949" i="1"/>
  <c r="N1949" i="1" s="1"/>
  <c r="L1950" i="1"/>
  <c r="N1950" i="1" s="1"/>
  <c r="L1951" i="1"/>
  <c r="N1951" i="1" s="1"/>
  <c r="L1952" i="1"/>
  <c r="N1952" i="1" s="1"/>
  <c r="L1953" i="1"/>
  <c r="N1953" i="1" s="1"/>
  <c r="L1954" i="1"/>
  <c r="N1954" i="1" s="1"/>
  <c r="L1955" i="1"/>
  <c r="N1955" i="1" s="1"/>
  <c r="L1956" i="1"/>
  <c r="N1956" i="1" s="1"/>
  <c r="L1957" i="1"/>
  <c r="N1957" i="1" s="1"/>
  <c r="L1958" i="1"/>
  <c r="N1958" i="1" s="1"/>
  <c r="L1959" i="1"/>
  <c r="N1959" i="1" s="1"/>
  <c r="L1960" i="1"/>
  <c r="N1960" i="1" s="1"/>
  <c r="L1961" i="1"/>
  <c r="N1961" i="1" s="1"/>
  <c r="L1962" i="1"/>
  <c r="N1962" i="1" s="1"/>
  <c r="L1963" i="1"/>
  <c r="N1963" i="1" s="1"/>
  <c r="L1964" i="1"/>
  <c r="N1964" i="1" s="1"/>
  <c r="L1965" i="1"/>
  <c r="N1965" i="1" s="1"/>
  <c r="L1966" i="1"/>
  <c r="N1966" i="1" s="1"/>
  <c r="L1967" i="1"/>
  <c r="N1967" i="1" s="1"/>
  <c r="L1968" i="1"/>
  <c r="N1968" i="1" s="1"/>
  <c r="L1969" i="1"/>
  <c r="N1969" i="1" s="1"/>
  <c r="L1970" i="1"/>
  <c r="N1970" i="1" s="1"/>
  <c r="L1971" i="1"/>
  <c r="N1971" i="1" s="1"/>
  <c r="L1972" i="1"/>
  <c r="N1972" i="1" s="1"/>
  <c r="L1973" i="1"/>
  <c r="N1973" i="1" s="1"/>
  <c r="L1974" i="1"/>
  <c r="N1974" i="1" s="1"/>
  <c r="L1975" i="1"/>
  <c r="N1975" i="1" s="1"/>
  <c r="L1976" i="1"/>
  <c r="N1976" i="1" s="1"/>
  <c r="L1977" i="1"/>
  <c r="N1977" i="1" s="1"/>
  <c r="L1978" i="1"/>
  <c r="N1978" i="1" s="1"/>
  <c r="L1979" i="1"/>
  <c r="N1979" i="1" s="1"/>
  <c r="L1980" i="1"/>
  <c r="N1980" i="1" s="1"/>
  <c r="L1981" i="1"/>
  <c r="N1981" i="1" s="1"/>
  <c r="L1982" i="1"/>
  <c r="N1982" i="1" s="1"/>
  <c r="L1983" i="1"/>
  <c r="N1983" i="1" s="1"/>
  <c r="L1984" i="1"/>
  <c r="N1984" i="1" s="1"/>
  <c r="L1985" i="1"/>
  <c r="N1985" i="1" s="1"/>
  <c r="L1986" i="1"/>
  <c r="N1986" i="1" s="1"/>
  <c r="L1987" i="1"/>
  <c r="N1987" i="1" s="1"/>
  <c r="L1988" i="1"/>
  <c r="N1988" i="1" s="1"/>
  <c r="L1989" i="1"/>
  <c r="N1989" i="1" s="1"/>
  <c r="L1990" i="1"/>
  <c r="N1990" i="1" s="1"/>
  <c r="L1991" i="1"/>
  <c r="N1991" i="1" s="1"/>
  <c r="L1992" i="1"/>
  <c r="N1992" i="1" s="1"/>
  <c r="L1993" i="1"/>
  <c r="N1993" i="1" s="1"/>
  <c r="L1994" i="1"/>
  <c r="N1994" i="1" s="1"/>
  <c r="L1995" i="1"/>
  <c r="N1995" i="1" s="1"/>
  <c r="L1996" i="1"/>
  <c r="N1996" i="1" s="1"/>
  <c r="L1997" i="1"/>
  <c r="N1997" i="1" s="1"/>
  <c r="L1998" i="1"/>
  <c r="N1998" i="1" s="1"/>
  <c r="L1999" i="1"/>
  <c r="N1999" i="1" s="1"/>
  <c r="L2000" i="1"/>
  <c r="N2000" i="1" s="1"/>
  <c r="L2001" i="1"/>
  <c r="N2001" i="1" s="1"/>
  <c r="L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I29" i="1"/>
  <c r="I2" i="1"/>
  <c r="I3" i="1"/>
  <c r="I4" i="1"/>
  <c r="I5" i="1"/>
  <c r="I6" i="1"/>
  <c r="I7" i="1"/>
  <c r="I8" i="1"/>
  <c r="I9" i="1"/>
  <c r="I10" i="1"/>
  <c r="I11" i="1"/>
  <c r="I12" i="1"/>
  <c r="I13" i="1"/>
  <c r="I14" i="1"/>
  <c r="I15" i="1"/>
  <c r="I16" i="1"/>
  <c r="I17" i="1"/>
  <c r="I18" i="1"/>
  <c r="I19" i="1"/>
  <c r="I20" i="1"/>
  <c r="I21" i="1"/>
  <c r="I22" i="1"/>
  <c r="I23" i="1"/>
  <c r="I24" i="1"/>
  <c r="I25" i="1"/>
  <c r="I26" i="1"/>
  <c r="I27" i="1"/>
  <c r="I28"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M3" i="1"/>
  <c r="P3" i="1" s="1"/>
  <c r="M4" i="1"/>
  <c r="P4" i="1" s="1"/>
  <c r="M5" i="1"/>
  <c r="P5" i="1" s="1"/>
  <c r="M6" i="1"/>
  <c r="P6" i="1" s="1"/>
  <c r="M7" i="1"/>
  <c r="P7" i="1" s="1"/>
  <c r="M8" i="1"/>
  <c r="P8" i="1" s="1"/>
  <c r="M9" i="1"/>
  <c r="P9" i="1" s="1"/>
  <c r="M10" i="1"/>
  <c r="P10" i="1" s="1"/>
  <c r="M11" i="1"/>
  <c r="P11" i="1" s="1"/>
  <c r="M12" i="1"/>
  <c r="P12" i="1" s="1"/>
  <c r="M13" i="1"/>
  <c r="P13" i="1" s="1"/>
  <c r="M14" i="1"/>
  <c r="P14" i="1" s="1"/>
  <c r="M15" i="1"/>
  <c r="P15" i="1" s="1"/>
  <c r="M16" i="1"/>
  <c r="P16" i="1" s="1"/>
  <c r="M17" i="1"/>
  <c r="P17" i="1" s="1"/>
  <c r="M18" i="1"/>
  <c r="P18" i="1" s="1"/>
  <c r="M19" i="1"/>
  <c r="P19" i="1" s="1"/>
  <c r="M20" i="1"/>
  <c r="P20" i="1" s="1"/>
  <c r="M21" i="1"/>
  <c r="P21" i="1" s="1"/>
  <c r="M22" i="1"/>
  <c r="P22" i="1" s="1"/>
  <c r="M23" i="1"/>
  <c r="P23" i="1" s="1"/>
  <c r="M24" i="1"/>
  <c r="P24" i="1" s="1"/>
  <c r="M25" i="1"/>
  <c r="P25" i="1" s="1"/>
  <c r="M26" i="1"/>
  <c r="P26" i="1" s="1"/>
  <c r="M27" i="1"/>
  <c r="P27" i="1" s="1"/>
  <c r="M28" i="1"/>
  <c r="P28" i="1" s="1"/>
  <c r="M29" i="1"/>
  <c r="P29" i="1" s="1"/>
  <c r="M30" i="1"/>
  <c r="P30" i="1" s="1"/>
  <c r="M31" i="1"/>
  <c r="P31" i="1" s="1"/>
  <c r="M32" i="1"/>
  <c r="P32" i="1" s="1"/>
  <c r="M33" i="1"/>
  <c r="P33" i="1" s="1"/>
  <c r="M34" i="1"/>
  <c r="P34" i="1" s="1"/>
  <c r="M35" i="1"/>
  <c r="P35" i="1" s="1"/>
  <c r="M36" i="1"/>
  <c r="P36" i="1" s="1"/>
  <c r="M37" i="1"/>
  <c r="P37" i="1" s="1"/>
  <c r="M38" i="1"/>
  <c r="P38" i="1" s="1"/>
  <c r="M39" i="1"/>
  <c r="P39" i="1" s="1"/>
  <c r="M40" i="1"/>
  <c r="P40" i="1" s="1"/>
  <c r="M41" i="1"/>
  <c r="P41" i="1" s="1"/>
  <c r="M42" i="1"/>
  <c r="P42" i="1" s="1"/>
  <c r="M43" i="1"/>
  <c r="P43" i="1" s="1"/>
  <c r="M44" i="1"/>
  <c r="P44" i="1" s="1"/>
  <c r="M45" i="1"/>
  <c r="P45" i="1" s="1"/>
  <c r="M46" i="1"/>
  <c r="P46" i="1" s="1"/>
  <c r="M47" i="1"/>
  <c r="P47" i="1" s="1"/>
  <c r="M48" i="1"/>
  <c r="P48" i="1" s="1"/>
  <c r="M49" i="1"/>
  <c r="P49" i="1" s="1"/>
  <c r="M50" i="1"/>
  <c r="P50" i="1" s="1"/>
  <c r="M51" i="1"/>
  <c r="P51" i="1" s="1"/>
  <c r="M52" i="1"/>
  <c r="P52" i="1" s="1"/>
  <c r="M53" i="1"/>
  <c r="P53" i="1" s="1"/>
  <c r="M54" i="1"/>
  <c r="P54" i="1" s="1"/>
  <c r="M55" i="1"/>
  <c r="P55" i="1" s="1"/>
  <c r="M56" i="1"/>
  <c r="P56" i="1" s="1"/>
  <c r="M57" i="1"/>
  <c r="P57" i="1" s="1"/>
  <c r="M58" i="1"/>
  <c r="P58" i="1" s="1"/>
  <c r="M59" i="1"/>
  <c r="P59" i="1" s="1"/>
  <c r="M60" i="1"/>
  <c r="P60" i="1" s="1"/>
  <c r="M61" i="1"/>
  <c r="P61" i="1" s="1"/>
  <c r="M62" i="1"/>
  <c r="P62" i="1" s="1"/>
  <c r="M63" i="1"/>
  <c r="P63" i="1" s="1"/>
  <c r="M64" i="1"/>
  <c r="P64" i="1" s="1"/>
  <c r="M65" i="1"/>
  <c r="P65" i="1" s="1"/>
  <c r="M66" i="1"/>
  <c r="P66" i="1" s="1"/>
  <c r="M67" i="1"/>
  <c r="P67" i="1" s="1"/>
  <c r="M68" i="1"/>
  <c r="P68" i="1" s="1"/>
  <c r="M69" i="1"/>
  <c r="P69" i="1" s="1"/>
  <c r="M70" i="1"/>
  <c r="P70" i="1" s="1"/>
  <c r="M71" i="1"/>
  <c r="P71" i="1" s="1"/>
  <c r="M72" i="1"/>
  <c r="P72" i="1" s="1"/>
  <c r="M73" i="1"/>
  <c r="P73" i="1" s="1"/>
  <c r="M74" i="1"/>
  <c r="P74" i="1" s="1"/>
  <c r="M75" i="1"/>
  <c r="P75" i="1" s="1"/>
  <c r="M76" i="1"/>
  <c r="P76" i="1" s="1"/>
  <c r="M77" i="1"/>
  <c r="P77" i="1" s="1"/>
  <c r="M78" i="1"/>
  <c r="P78" i="1" s="1"/>
  <c r="M79" i="1"/>
  <c r="P79" i="1" s="1"/>
  <c r="M80" i="1"/>
  <c r="P80" i="1" s="1"/>
  <c r="M81" i="1"/>
  <c r="P81" i="1" s="1"/>
  <c r="M82" i="1"/>
  <c r="P82" i="1" s="1"/>
  <c r="M83" i="1"/>
  <c r="P83" i="1" s="1"/>
  <c r="M84" i="1"/>
  <c r="P84" i="1" s="1"/>
  <c r="M85" i="1"/>
  <c r="P85" i="1" s="1"/>
  <c r="M86" i="1"/>
  <c r="P86" i="1" s="1"/>
  <c r="M87" i="1"/>
  <c r="P87" i="1" s="1"/>
  <c r="M88" i="1"/>
  <c r="P88" i="1" s="1"/>
  <c r="M89" i="1"/>
  <c r="P89" i="1" s="1"/>
  <c r="M90" i="1"/>
  <c r="P90" i="1" s="1"/>
  <c r="M91" i="1"/>
  <c r="P91" i="1" s="1"/>
  <c r="M92" i="1"/>
  <c r="P92" i="1" s="1"/>
  <c r="M93" i="1"/>
  <c r="P93" i="1" s="1"/>
  <c r="M94" i="1"/>
  <c r="P94" i="1" s="1"/>
  <c r="M95" i="1"/>
  <c r="P95" i="1" s="1"/>
  <c r="M96" i="1"/>
  <c r="P96" i="1" s="1"/>
  <c r="M97" i="1"/>
  <c r="P97" i="1" s="1"/>
  <c r="M98" i="1"/>
  <c r="P98" i="1" s="1"/>
  <c r="M99" i="1"/>
  <c r="P99" i="1" s="1"/>
  <c r="M100" i="1"/>
  <c r="P100" i="1" s="1"/>
  <c r="M101" i="1"/>
  <c r="P101" i="1" s="1"/>
  <c r="M102" i="1"/>
  <c r="P102" i="1" s="1"/>
  <c r="M103" i="1"/>
  <c r="P103" i="1" s="1"/>
  <c r="M104" i="1"/>
  <c r="P104" i="1" s="1"/>
  <c r="M105" i="1"/>
  <c r="P105" i="1" s="1"/>
  <c r="M106" i="1"/>
  <c r="P106" i="1" s="1"/>
  <c r="M107" i="1"/>
  <c r="P107" i="1" s="1"/>
  <c r="M108" i="1"/>
  <c r="P108" i="1" s="1"/>
  <c r="M109" i="1"/>
  <c r="P109" i="1" s="1"/>
  <c r="M110" i="1"/>
  <c r="P110" i="1" s="1"/>
  <c r="M111" i="1"/>
  <c r="P111" i="1" s="1"/>
  <c r="M112" i="1"/>
  <c r="P112" i="1" s="1"/>
  <c r="M113" i="1"/>
  <c r="P113" i="1" s="1"/>
  <c r="M114" i="1"/>
  <c r="P114" i="1" s="1"/>
  <c r="M115" i="1"/>
  <c r="P115" i="1" s="1"/>
  <c r="M116" i="1"/>
  <c r="P116" i="1" s="1"/>
  <c r="M117" i="1"/>
  <c r="P117" i="1" s="1"/>
  <c r="M118" i="1"/>
  <c r="P118" i="1" s="1"/>
  <c r="M119" i="1"/>
  <c r="P119" i="1" s="1"/>
  <c r="M120" i="1"/>
  <c r="P120" i="1" s="1"/>
  <c r="M121" i="1"/>
  <c r="P121" i="1" s="1"/>
  <c r="M122" i="1"/>
  <c r="P122" i="1" s="1"/>
  <c r="M123" i="1"/>
  <c r="P123" i="1" s="1"/>
  <c r="M124" i="1"/>
  <c r="P124" i="1" s="1"/>
  <c r="M125" i="1"/>
  <c r="P125" i="1" s="1"/>
  <c r="M126" i="1"/>
  <c r="P126" i="1" s="1"/>
  <c r="M127" i="1"/>
  <c r="P127" i="1" s="1"/>
  <c r="M128" i="1"/>
  <c r="P128" i="1" s="1"/>
  <c r="M129" i="1"/>
  <c r="P129" i="1" s="1"/>
  <c r="M130" i="1"/>
  <c r="P130" i="1" s="1"/>
  <c r="M131" i="1"/>
  <c r="P131" i="1" s="1"/>
  <c r="M132" i="1"/>
  <c r="P132" i="1" s="1"/>
  <c r="M133" i="1"/>
  <c r="P133" i="1" s="1"/>
  <c r="M134" i="1"/>
  <c r="P134" i="1" s="1"/>
  <c r="M135" i="1"/>
  <c r="P135" i="1" s="1"/>
  <c r="M136" i="1"/>
  <c r="P136" i="1" s="1"/>
  <c r="M137" i="1"/>
  <c r="P137" i="1" s="1"/>
  <c r="M138" i="1"/>
  <c r="P138" i="1" s="1"/>
  <c r="M139" i="1"/>
  <c r="P139" i="1" s="1"/>
  <c r="M140" i="1"/>
  <c r="P140" i="1" s="1"/>
  <c r="M141" i="1"/>
  <c r="P141" i="1" s="1"/>
  <c r="M142" i="1"/>
  <c r="P142" i="1" s="1"/>
  <c r="M143" i="1"/>
  <c r="P143" i="1" s="1"/>
  <c r="M144" i="1"/>
  <c r="P144" i="1" s="1"/>
  <c r="M145" i="1"/>
  <c r="P145" i="1" s="1"/>
  <c r="M146" i="1"/>
  <c r="P146" i="1" s="1"/>
  <c r="M147" i="1"/>
  <c r="P147" i="1" s="1"/>
  <c r="M148" i="1"/>
  <c r="P148" i="1" s="1"/>
  <c r="M149" i="1"/>
  <c r="P149" i="1" s="1"/>
  <c r="M150" i="1"/>
  <c r="P150" i="1" s="1"/>
  <c r="M151" i="1"/>
  <c r="P151" i="1" s="1"/>
  <c r="M152" i="1"/>
  <c r="P152" i="1" s="1"/>
  <c r="M153" i="1"/>
  <c r="P153" i="1" s="1"/>
  <c r="M154" i="1"/>
  <c r="P154" i="1" s="1"/>
  <c r="M155" i="1"/>
  <c r="P155" i="1" s="1"/>
  <c r="M156" i="1"/>
  <c r="P156" i="1" s="1"/>
  <c r="M157" i="1"/>
  <c r="P157" i="1" s="1"/>
  <c r="M158" i="1"/>
  <c r="P158" i="1" s="1"/>
  <c r="M159" i="1"/>
  <c r="P159" i="1" s="1"/>
  <c r="M160" i="1"/>
  <c r="P160" i="1" s="1"/>
  <c r="M161" i="1"/>
  <c r="P161" i="1" s="1"/>
  <c r="M162" i="1"/>
  <c r="P162" i="1" s="1"/>
  <c r="M163" i="1"/>
  <c r="P163" i="1" s="1"/>
  <c r="M164" i="1"/>
  <c r="P164" i="1" s="1"/>
  <c r="M165" i="1"/>
  <c r="P165" i="1" s="1"/>
  <c r="M166" i="1"/>
  <c r="P166" i="1" s="1"/>
  <c r="M167" i="1"/>
  <c r="P167" i="1" s="1"/>
  <c r="M168" i="1"/>
  <c r="P168" i="1" s="1"/>
  <c r="M169" i="1"/>
  <c r="P169" i="1" s="1"/>
  <c r="M170" i="1"/>
  <c r="P170" i="1" s="1"/>
  <c r="M171" i="1"/>
  <c r="P171" i="1" s="1"/>
  <c r="M172" i="1"/>
  <c r="P172" i="1" s="1"/>
  <c r="M173" i="1"/>
  <c r="P173" i="1" s="1"/>
  <c r="M174" i="1"/>
  <c r="P174" i="1" s="1"/>
  <c r="M175" i="1"/>
  <c r="P175" i="1" s="1"/>
  <c r="M176" i="1"/>
  <c r="P176" i="1" s="1"/>
  <c r="M177" i="1"/>
  <c r="P177" i="1" s="1"/>
  <c r="M178" i="1"/>
  <c r="P178" i="1" s="1"/>
  <c r="M179" i="1"/>
  <c r="P179" i="1" s="1"/>
  <c r="M180" i="1"/>
  <c r="P180" i="1" s="1"/>
  <c r="M181" i="1"/>
  <c r="P181" i="1" s="1"/>
  <c r="M182" i="1"/>
  <c r="P182" i="1" s="1"/>
  <c r="M183" i="1"/>
  <c r="P183" i="1" s="1"/>
  <c r="M184" i="1"/>
  <c r="P184" i="1" s="1"/>
  <c r="M185" i="1"/>
  <c r="P185" i="1" s="1"/>
  <c r="M186" i="1"/>
  <c r="P186" i="1" s="1"/>
  <c r="M187" i="1"/>
  <c r="P187" i="1" s="1"/>
  <c r="M188" i="1"/>
  <c r="P188" i="1" s="1"/>
  <c r="M189" i="1"/>
  <c r="P189" i="1" s="1"/>
  <c r="M190" i="1"/>
  <c r="P190" i="1" s="1"/>
  <c r="M191" i="1"/>
  <c r="P191" i="1" s="1"/>
  <c r="M192" i="1"/>
  <c r="P192" i="1" s="1"/>
  <c r="M193" i="1"/>
  <c r="P193" i="1" s="1"/>
  <c r="M194" i="1"/>
  <c r="P194" i="1" s="1"/>
  <c r="M195" i="1"/>
  <c r="P195" i="1" s="1"/>
  <c r="M196" i="1"/>
  <c r="P196" i="1" s="1"/>
  <c r="M197" i="1"/>
  <c r="P197" i="1" s="1"/>
  <c r="M198" i="1"/>
  <c r="P198" i="1" s="1"/>
  <c r="M199" i="1"/>
  <c r="P199" i="1" s="1"/>
  <c r="M200" i="1"/>
  <c r="P200" i="1" s="1"/>
  <c r="M201" i="1"/>
  <c r="P201" i="1" s="1"/>
  <c r="M202" i="1"/>
  <c r="P202" i="1" s="1"/>
  <c r="M203" i="1"/>
  <c r="P203" i="1" s="1"/>
  <c r="M204" i="1"/>
  <c r="P204" i="1" s="1"/>
  <c r="M205" i="1"/>
  <c r="P205" i="1" s="1"/>
  <c r="M206" i="1"/>
  <c r="P206" i="1" s="1"/>
  <c r="M207" i="1"/>
  <c r="P207" i="1" s="1"/>
  <c r="M208" i="1"/>
  <c r="P208" i="1" s="1"/>
  <c r="M209" i="1"/>
  <c r="P209" i="1" s="1"/>
  <c r="M210" i="1"/>
  <c r="P210" i="1" s="1"/>
  <c r="M211" i="1"/>
  <c r="P211" i="1" s="1"/>
  <c r="M212" i="1"/>
  <c r="P212" i="1" s="1"/>
  <c r="M213" i="1"/>
  <c r="P213" i="1" s="1"/>
  <c r="M214" i="1"/>
  <c r="P214" i="1" s="1"/>
  <c r="M215" i="1"/>
  <c r="P215" i="1" s="1"/>
  <c r="M216" i="1"/>
  <c r="P216" i="1" s="1"/>
  <c r="M217" i="1"/>
  <c r="P217" i="1" s="1"/>
  <c r="M218" i="1"/>
  <c r="P218" i="1" s="1"/>
  <c r="M219" i="1"/>
  <c r="P219" i="1" s="1"/>
  <c r="M220" i="1"/>
  <c r="P220" i="1" s="1"/>
  <c r="M221" i="1"/>
  <c r="P221" i="1" s="1"/>
  <c r="M222" i="1"/>
  <c r="P222" i="1" s="1"/>
  <c r="M223" i="1"/>
  <c r="P223" i="1" s="1"/>
  <c r="M224" i="1"/>
  <c r="P224" i="1" s="1"/>
  <c r="M225" i="1"/>
  <c r="P225" i="1" s="1"/>
  <c r="M226" i="1"/>
  <c r="P226" i="1" s="1"/>
  <c r="M227" i="1"/>
  <c r="P227" i="1" s="1"/>
  <c r="M228" i="1"/>
  <c r="P228" i="1" s="1"/>
  <c r="M229" i="1"/>
  <c r="P229" i="1" s="1"/>
  <c r="M230" i="1"/>
  <c r="P230" i="1" s="1"/>
  <c r="M231" i="1"/>
  <c r="P231" i="1" s="1"/>
  <c r="M232" i="1"/>
  <c r="P232" i="1" s="1"/>
  <c r="M233" i="1"/>
  <c r="P233" i="1" s="1"/>
  <c r="M234" i="1"/>
  <c r="P234" i="1" s="1"/>
  <c r="M235" i="1"/>
  <c r="P235" i="1" s="1"/>
  <c r="M236" i="1"/>
  <c r="P236" i="1" s="1"/>
  <c r="M237" i="1"/>
  <c r="P237" i="1" s="1"/>
  <c r="M238" i="1"/>
  <c r="P238" i="1" s="1"/>
  <c r="M239" i="1"/>
  <c r="P239" i="1" s="1"/>
  <c r="M240" i="1"/>
  <c r="P240" i="1" s="1"/>
  <c r="M241" i="1"/>
  <c r="P241" i="1" s="1"/>
  <c r="M242" i="1"/>
  <c r="P242" i="1" s="1"/>
  <c r="M243" i="1"/>
  <c r="P243" i="1" s="1"/>
  <c r="M244" i="1"/>
  <c r="P244" i="1" s="1"/>
  <c r="M245" i="1"/>
  <c r="P245" i="1" s="1"/>
  <c r="M246" i="1"/>
  <c r="P246" i="1" s="1"/>
  <c r="M247" i="1"/>
  <c r="P247" i="1" s="1"/>
  <c r="M248" i="1"/>
  <c r="P248" i="1" s="1"/>
  <c r="M249" i="1"/>
  <c r="P249" i="1" s="1"/>
  <c r="M250" i="1"/>
  <c r="P250" i="1" s="1"/>
  <c r="M251" i="1"/>
  <c r="P251" i="1" s="1"/>
  <c r="M252" i="1"/>
  <c r="P252" i="1" s="1"/>
  <c r="M253" i="1"/>
  <c r="P253" i="1" s="1"/>
  <c r="M254" i="1"/>
  <c r="P254" i="1" s="1"/>
  <c r="M255" i="1"/>
  <c r="P255" i="1" s="1"/>
  <c r="M256" i="1"/>
  <c r="P256" i="1" s="1"/>
  <c r="M257" i="1"/>
  <c r="P257" i="1" s="1"/>
  <c r="M258" i="1"/>
  <c r="P258" i="1" s="1"/>
  <c r="M259" i="1"/>
  <c r="P259" i="1" s="1"/>
  <c r="M260" i="1"/>
  <c r="P260" i="1" s="1"/>
  <c r="M261" i="1"/>
  <c r="P261" i="1" s="1"/>
  <c r="M262" i="1"/>
  <c r="P262" i="1" s="1"/>
  <c r="M263" i="1"/>
  <c r="P263" i="1" s="1"/>
  <c r="M264" i="1"/>
  <c r="P264" i="1" s="1"/>
  <c r="M265" i="1"/>
  <c r="P265" i="1" s="1"/>
  <c r="M266" i="1"/>
  <c r="P266" i="1" s="1"/>
  <c r="M267" i="1"/>
  <c r="P267" i="1" s="1"/>
  <c r="M268" i="1"/>
  <c r="P268" i="1" s="1"/>
  <c r="M269" i="1"/>
  <c r="P269" i="1" s="1"/>
  <c r="M270" i="1"/>
  <c r="P270" i="1" s="1"/>
  <c r="M271" i="1"/>
  <c r="P271" i="1" s="1"/>
  <c r="M272" i="1"/>
  <c r="P272" i="1" s="1"/>
  <c r="M273" i="1"/>
  <c r="P273" i="1" s="1"/>
  <c r="M274" i="1"/>
  <c r="P274" i="1" s="1"/>
  <c r="M275" i="1"/>
  <c r="P275" i="1" s="1"/>
  <c r="M276" i="1"/>
  <c r="P276" i="1" s="1"/>
  <c r="M277" i="1"/>
  <c r="P277" i="1" s="1"/>
  <c r="M278" i="1"/>
  <c r="P278" i="1" s="1"/>
  <c r="M279" i="1"/>
  <c r="P279" i="1" s="1"/>
  <c r="M280" i="1"/>
  <c r="P280" i="1" s="1"/>
  <c r="M281" i="1"/>
  <c r="P281" i="1" s="1"/>
  <c r="M282" i="1"/>
  <c r="P282" i="1" s="1"/>
  <c r="M283" i="1"/>
  <c r="P283" i="1" s="1"/>
  <c r="M284" i="1"/>
  <c r="P284" i="1" s="1"/>
  <c r="M285" i="1"/>
  <c r="P285" i="1" s="1"/>
  <c r="M286" i="1"/>
  <c r="P286" i="1" s="1"/>
  <c r="M287" i="1"/>
  <c r="P287" i="1" s="1"/>
  <c r="M288" i="1"/>
  <c r="P288" i="1" s="1"/>
  <c r="M289" i="1"/>
  <c r="P289" i="1" s="1"/>
  <c r="M290" i="1"/>
  <c r="P290" i="1" s="1"/>
  <c r="M291" i="1"/>
  <c r="P291" i="1" s="1"/>
  <c r="M292" i="1"/>
  <c r="P292" i="1" s="1"/>
  <c r="M293" i="1"/>
  <c r="P293" i="1" s="1"/>
  <c r="M294" i="1"/>
  <c r="P294" i="1" s="1"/>
  <c r="M295" i="1"/>
  <c r="P295" i="1" s="1"/>
  <c r="M296" i="1"/>
  <c r="P296" i="1" s="1"/>
  <c r="M297" i="1"/>
  <c r="P297" i="1" s="1"/>
  <c r="M298" i="1"/>
  <c r="P298" i="1" s="1"/>
  <c r="M299" i="1"/>
  <c r="P299" i="1" s="1"/>
  <c r="M300" i="1"/>
  <c r="P300" i="1" s="1"/>
  <c r="M301" i="1"/>
  <c r="P301" i="1" s="1"/>
  <c r="M302" i="1"/>
  <c r="P302" i="1" s="1"/>
  <c r="M303" i="1"/>
  <c r="P303" i="1" s="1"/>
  <c r="M304" i="1"/>
  <c r="P304" i="1" s="1"/>
  <c r="M305" i="1"/>
  <c r="P305" i="1" s="1"/>
  <c r="M306" i="1"/>
  <c r="P306" i="1" s="1"/>
  <c r="M307" i="1"/>
  <c r="P307" i="1" s="1"/>
  <c r="M308" i="1"/>
  <c r="P308" i="1" s="1"/>
  <c r="M309" i="1"/>
  <c r="P309" i="1" s="1"/>
  <c r="M310" i="1"/>
  <c r="P310" i="1" s="1"/>
  <c r="M311" i="1"/>
  <c r="P311" i="1" s="1"/>
  <c r="M312" i="1"/>
  <c r="P312" i="1" s="1"/>
  <c r="M313" i="1"/>
  <c r="P313" i="1" s="1"/>
  <c r="M314" i="1"/>
  <c r="P314" i="1" s="1"/>
  <c r="M315" i="1"/>
  <c r="P315" i="1" s="1"/>
  <c r="M316" i="1"/>
  <c r="P316" i="1" s="1"/>
  <c r="M317" i="1"/>
  <c r="P317" i="1" s="1"/>
  <c r="M318" i="1"/>
  <c r="P318" i="1" s="1"/>
  <c r="M319" i="1"/>
  <c r="P319" i="1" s="1"/>
  <c r="M320" i="1"/>
  <c r="P320" i="1" s="1"/>
  <c r="M321" i="1"/>
  <c r="P321" i="1" s="1"/>
  <c r="M322" i="1"/>
  <c r="P322" i="1" s="1"/>
  <c r="M323" i="1"/>
  <c r="P323" i="1" s="1"/>
  <c r="M324" i="1"/>
  <c r="P324" i="1" s="1"/>
  <c r="M325" i="1"/>
  <c r="P325" i="1" s="1"/>
  <c r="M326" i="1"/>
  <c r="P326" i="1" s="1"/>
  <c r="M327" i="1"/>
  <c r="P327" i="1" s="1"/>
  <c r="M328" i="1"/>
  <c r="P328" i="1" s="1"/>
  <c r="M329" i="1"/>
  <c r="P329" i="1" s="1"/>
  <c r="M330" i="1"/>
  <c r="P330" i="1" s="1"/>
  <c r="M331" i="1"/>
  <c r="P331" i="1" s="1"/>
  <c r="M332" i="1"/>
  <c r="P332" i="1" s="1"/>
  <c r="M333" i="1"/>
  <c r="P333" i="1" s="1"/>
  <c r="M334" i="1"/>
  <c r="P334" i="1" s="1"/>
  <c r="M335" i="1"/>
  <c r="P335" i="1" s="1"/>
  <c r="M336" i="1"/>
  <c r="P336" i="1" s="1"/>
  <c r="M337" i="1"/>
  <c r="P337" i="1" s="1"/>
  <c r="M338" i="1"/>
  <c r="P338" i="1" s="1"/>
  <c r="M339" i="1"/>
  <c r="P339" i="1" s="1"/>
  <c r="M340" i="1"/>
  <c r="P340" i="1" s="1"/>
  <c r="M341" i="1"/>
  <c r="P341" i="1" s="1"/>
  <c r="M342" i="1"/>
  <c r="P342" i="1" s="1"/>
  <c r="M343" i="1"/>
  <c r="P343" i="1" s="1"/>
  <c r="M344" i="1"/>
  <c r="P344" i="1" s="1"/>
  <c r="M345" i="1"/>
  <c r="P345" i="1" s="1"/>
  <c r="M346" i="1"/>
  <c r="P346" i="1" s="1"/>
  <c r="M347" i="1"/>
  <c r="P347" i="1" s="1"/>
  <c r="M348" i="1"/>
  <c r="P348" i="1" s="1"/>
  <c r="M349" i="1"/>
  <c r="P349" i="1" s="1"/>
  <c r="M350" i="1"/>
  <c r="P350" i="1" s="1"/>
  <c r="M351" i="1"/>
  <c r="P351" i="1" s="1"/>
  <c r="M352" i="1"/>
  <c r="P352" i="1" s="1"/>
  <c r="M353" i="1"/>
  <c r="P353" i="1" s="1"/>
  <c r="M354" i="1"/>
  <c r="P354" i="1" s="1"/>
  <c r="M355" i="1"/>
  <c r="P355" i="1" s="1"/>
  <c r="M356" i="1"/>
  <c r="P356" i="1" s="1"/>
  <c r="M357" i="1"/>
  <c r="P357" i="1" s="1"/>
  <c r="M358" i="1"/>
  <c r="P358" i="1" s="1"/>
  <c r="M359" i="1"/>
  <c r="P359" i="1" s="1"/>
  <c r="M360" i="1"/>
  <c r="P360" i="1" s="1"/>
  <c r="M361" i="1"/>
  <c r="P361" i="1" s="1"/>
  <c r="M362" i="1"/>
  <c r="P362" i="1" s="1"/>
  <c r="M363" i="1"/>
  <c r="P363" i="1" s="1"/>
  <c r="M364" i="1"/>
  <c r="P364" i="1" s="1"/>
  <c r="M365" i="1"/>
  <c r="P365" i="1" s="1"/>
  <c r="M366" i="1"/>
  <c r="P366" i="1" s="1"/>
  <c r="M367" i="1"/>
  <c r="P367" i="1" s="1"/>
  <c r="M368" i="1"/>
  <c r="P368" i="1" s="1"/>
  <c r="M369" i="1"/>
  <c r="P369" i="1" s="1"/>
  <c r="M370" i="1"/>
  <c r="P370" i="1" s="1"/>
  <c r="M371" i="1"/>
  <c r="P371" i="1" s="1"/>
  <c r="M372" i="1"/>
  <c r="P372" i="1" s="1"/>
  <c r="M373" i="1"/>
  <c r="P373" i="1" s="1"/>
  <c r="M374" i="1"/>
  <c r="P374" i="1" s="1"/>
  <c r="M375" i="1"/>
  <c r="P375" i="1" s="1"/>
  <c r="M376" i="1"/>
  <c r="P376" i="1" s="1"/>
  <c r="M377" i="1"/>
  <c r="P377" i="1" s="1"/>
  <c r="M378" i="1"/>
  <c r="P378" i="1" s="1"/>
  <c r="M379" i="1"/>
  <c r="P379" i="1" s="1"/>
  <c r="M380" i="1"/>
  <c r="P380" i="1" s="1"/>
  <c r="M381" i="1"/>
  <c r="P381" i="1" s="1"/>
  <c r="M382" i="1"/>
  <c r="P382" i="1" s="1"/>
  <c r="M383" i="1"/>
  <c r="P383" i="1" s="1"/>
  <c r="M384" i="1"/>
  <c r="P384" i="1" s="1"/>
  <c r="M385" i="1"/>
  <c r="P385" i="1" s="1"/>
  <c r="M386" i="1"/>
  <c r="P386" i="1" s="1"/>
  <c r="M387" i="1"/>
  <c r="P387" i="1" s="1"/>
  <c r="M388" i="1"/>
  <c r="P388" i="1" s="1"/>
  <c r="M389" i="1"/>
  <c r="P389" i="1" s="1"/>
  <c r="M390" i="1"/>
  <c r="P390" i="1" s="1"/>
  <c r="M391" i="1"/>
  <c r="P391" i="1" s="1"/>
  <c r="M392" i="1"/>
  <c r="P392" i="1" s="1"/>
  <c r="M393" i="1"/>
  <c r="P393" i="1" s="1"/>
  <c r="M394" i="1"/>
  <c r="P394" i="1" s="1"/>
  <c r="M395" i="1"/>
  <c r="P395" i="1" s="1"/>
  <c r="M396" i="1"/>
  <c r="P396" i="1" s="1"/>
  <c r="M397" i="1"/>
  <c r="P397" i="1" s="1"/>
  <c r="M398" i="1"/>
  <c r="P398" i="1" s="1"/>
  <c r="M399" i="1"/>
  <c r="P399" i="1" s="1"/>
  <c r="M400" i="1"/>
  <c r="P400" i="1" s="1"/>
  <c r="M401" i="1"/>
  <c r="P401" i="1" s="1"/>
  <c r="M402" i="1"/>
  <c r="P402" i="1" s="1"/>
  <c r="M403" i="1"/>
  <c r="P403" i="1" s="1"/>
  <c r="M404" i="1"/>
  <c r="P404" i="1" s="1"/>
  <c r="M405" i="1"/>
  <c r="P405" i="1" s="1"/>
  <c r="M406" i="1"/>
  <c r="P406" i="1" s="1"/>
  <c r="M407" i="1"/>
  <c r="P407" i="1" s="1"/>
  <c r="M408" i="1"/>
  <c r="P408" i="1" s="1"/>
  <c r="M409" i="1"/>
  <c r="P409" i="1" s="1"/>
  <c r="M410" i="1"/>
  <c r="P410" i="1" s="1"/>
  <c r="M411" i="1"/>
  <c r="P411" i="1" s="1"/>
  <c r="M412" i="1"/>
  <c r="P412" i="1" s="1"/>
  <c r="M413" i="1"/>
  <c r="P413" i="1" s="1"/>
  <c r="M414" i="1"/>
  <c r="P414" i="1" s="1"/>
  <c r="M415" i="1"/>
  <c r="P415" i="1" s="1"/>
  <c r="M416" i="1"/>
  <c r="P416" i="1" s="1"/>
  <c r="M417" i="1"/>
  <c r="P417" i="1" s="1"/>
  <c r="M418" i="1"/>
  <c r="P418" i="1" s="1"/>
  <c r="M419" i="1"/>
  <c r="P419" i="1" s="1"/>
  <c r="M420" i="1"/>
  <c r="P420" i="1" s="1"/>
  <c r="M421" i="1"/>
  <c r="P421" i="1" s="1"/>
  <c r="M422" i="1"/>
  <c r="P422" i="1" s="1"/>
  <c r="M423" i="1"/>
  <c r="P423" i="1" s="1"/>
  <c r="M424" i="1"/>
  <c r="P424" i="1" s="1"/>
  <c r="M425" i="1"/>
  <c r="P425" i="1" s="1"/>
  <c r="M426" i="1"/>
  <c r="P426" i="1" s="1"/>
  <c r="M427" i="1"/>
  <c r="P427" i="1" s="1"/>
  <c r="M428" i="1"/>
  <c r="P428" i="1" s="1"/>
  <c r="M429" i="1"/>
  <c r="P429" i="1" s="1"/>
  <c r="M430" i="1"/>
  <c r="P430" i="1" s="1"/>
  <c r="M431" i="1"/>
  <c r="P431" i="1" s="1"/>
  <c r="M432" i="1"/>
  <c r="P432" i="1" s="1"/>
  <c r="M433" i="1"/>
  <c r="P433" i="1" s="1"/>
  <c r="M434" i="1"/>
  <c r="P434" i="1" s="1"/>
  <c r="M435" i="1"/>
  <c r="P435" i="1" s="1"/>
  <c r="M436" i="1"/>
  <c r="P436" i="1" s="1"/>
  <c r="M437" i="1"/>
  <c r="P437" i="1" s="1"/>
  <c r="M438" i="1"/>
  <c r="P438" i="1" s="1"/>
  <c r="M439" i="1"/>
  <c r="P439" i="1" s="1"/>
  <c r="M440" i="1"/>
  <c r="P440" i="1" s="1"/>
  <c r="M441" i="1"/>
  <c r="P441" i="1" s="1"/>
  <c r="M442" i="1"/>
  <c r="P442" i="1" s="1"/>
  <c r="M443" i="1"/>
  <c r="P443" i="1" s="1"/>
  <c r="M444" i="1"/>
  <c r="P444" i="1" s="1"/>
  <c r="M445" i="1"/>
  <c r="P445" i="1" s="1"/>
  <c r="M446" i="1"/>
  <c r="P446" i="1" s="1"/>
  <c r="M447" i="1"/>
  <c r="P447" i="1" s="1"/>
  <c r="M448" i="1"/>
  <c r="P448" i="1" s="1"/>
  <c r="M449" i="1"/>
  <c r="P449" i="1" s="1"/>
  <c r="M450" i="1"/>
  <c r="P450" i="1" s="1"/>
  <c r="M451" i="1"/>
  <c r="P451" i="1" s="1"/>
  <c r="M452" i="1"/>
  <c r="P452" i="1" s="1"/>
  <c r="M453" i="1"/>
  <c r="P453" i="1" s="1"/>
  <c r="M454" i="1"/>
  <c r="P454" i="1" s="1"/>
  <c r="M455" i="1"/>
  <c r="P455" i="1" s="1"/>
  <c r="M456" i="1"/>
  <c r="P456" i="1" s="1"/>
  <c r="M457" i="1"/>
  <c r="P457" i="1" s="1"/>
  <c r="M458" i="1"/>
  <c r="P458" i="1" s="1"/>
  <c r="M459" i="1"/>
  <c r="P459" i="1" s="1"/>
  <c r="M460" i="1"/>
  <c r="P460" i="1" s="1"/>
  <c r="M461" i="1"/>
  <c r="P461" i="1" s="1"/>
  <c r="M462" i="1"/>
  <c r="P462" i="1" s="1"/>
  <c r="M463" i="1"/>
  <c r="P463" i="1" s="1"/>
  <c r="M464" i="1"/>
  <c r="P464" i="1" s="1"/>
  <c r="M465" i="1"/>
  <c r="P465" i="1" s="1"/>
  <c r="M466" i="1"/>
  <c r="P466" i="1" s="1"/>
  <c r="M467" i="1"/>
  <c r="P467" i="1" s="1"/>
  <c r="M468" i="1"/>
  <c r="P468" i="1" s="1"/>
  <c r="M469" i="1"/>
  <c r="P469" i="1" s="1"/>
  <c r="M470" i="1"/>
  <c r="P470" i="1" s="1"/>
  <c r="M471" i="1"/>
  <c r="P471" i="1" s="1"/>
  <c r="M472" i="1"/>
  <c r="P472" i="1" s="1"/>
  <c r="M473" i="1"/>
  <c r="P473" i="1" s="1"/>
  <c r="M474" i="1"/>
  <c r="P474" i="1" s="1"/>
  <c r="M475" i="1"/>
  <c r="P475" i="1" s="1"/>
  <c r="M476" i="1"/>
  <c r="P476" i="1" s="1"/>
  <c r="M477" i="1"/>
  <c r="P477" i="1" s="1"/>
  <c r="M478" i="1"/>
  <c r="P478" i="1" s="1"/>
  <c r="M479" i="1"/>
  <c r="P479" i="1" s="1"/>
  <c r="M480" i="1"/>
  <c r="P480" i="1" s="1"/>
  <c r="M481" i="1"/>
  <c r="P481" i="1" s="1"/>
  <c r="M482" i="1"/>
  <c r="P482" i="1" s="1"/>
  <c r="M483" i="1"/>
  <c r="P483" i="1" s="1"/>
  <c r="M484" i="1"/>
  <c r="P484" i="1" s="1"/>
  <c r="M485" i="1"/>
  <c r="P485" i="1" s="1"/>
  <c r="M486" i="1"/>
  <c r="P486" i="1" s="1"/>
  <c r="M487" i="1"/>
  <c r="P487" i="1" s="1"/>
  <c r="M488" i="1"/>
  <c r="P488" i="1" s="1"/>
  <c r="M489" i="1"/>
  <c r="P489" i="1" s="1"/>
  <c r="M490" i="1"/>
  <c r="P490" i="1" s="1"/>
  <c r="M491" i="1"/>
  <c r="P491" i="1" s="1"/>
  <c r="M492" i="1"/>
  <c r="P492" i="1" s="1"/>
  <c r="M493" i="1"/>
  <c r="P493" i="1" s="1"/>
  <c r="M494" i="1"/>
  <c r="P494" i="1" s="1"/>
  <c r="M495" i="1"/>
  <c r="P495" i="1" s="1"/>
  <c r="M496" i="1"/>
  <c r="P496" i="1" s="1"/>
  <c r="M497" i="1"/>
  <c r="P497" i="1" s="1"/>
  <c r="M498" i="1"/>
  <c r="P498" i="1" s="1"/>
  <c r="M499" i="1"/>
  <c r="P499" i="1" s="1"/>
  <c r="M500" i="1"/>
  <c r="P500" i="1" s="1"/>
  <c r="M501" i="1"/>
  <c r="P501" i="1" s="1"/>
  <c r="M502" i="1"/>
  <c r="P502" i="1" s="1"/>
  <c r="M503" i="1"/>
  <c r="P503" i="1" s="1"/>
  <c r="M504" i="1"/>
  <c r="P504" i="1" s="1"/>
  <c r="M505" i="1"/>
  <c r="P505" i="1" s="1"/>
  <c r="M506" i="1"/>
  <c r="P506" i="1" s="1"/>
  <c r="M507" i="1"/>
  <c r="P507" i="1" s="1"/>
  <c r="M508" i="1"/>
  <c r="P508" i="1" s="1"/>
  <c r="M509" i="1"/>
  <c r="P509" i="1" s="1"/>
  <c r="M510" i="1"/>
  <c r="P510" i="1" s="1"/>
  <c r="M511" i="1"/>
  <c r="P511" i="1" s="1"/>
  <c r="M512" i="1"/>
  <c r="P512" i="1" s="1"/>
  <c r="M513" i="1"/>
  <c r="P513" i="1" s="1"/>
  <c r="M514" i="1"/>
  <c r="P514" i="1" s="1"/>
  <c r="M515" i="1"/>
  <c r="P515" i="1" s="1"/>
  <c r="M516" i="1"/>
  <c r="P516" i="1" s="1"/>
  <c r="M517" i="1"/>
  <c r="P517" i="1" s="1"/>
  <c r="M518" i="1"/>
  <c r="P518" i="1" s="1"/>
  <c r="M519" i="1"/>
  <c r="P519" i="1" s="1"/>
  <c r="M520" i="1"/>
  <c r="P520" i="1" s="1"/>
  <c r="M521" i="1"/>
  <c r="P521" i="1" s="1"/>
  <c r="M522" i="1"/>
  <c r="P522" i="1" s="1"/>
  <c r="M523" i="1"/>
  <c r="P523" i="1" s="1"/>
  <c r="M524" i="1"/>
  <c r="P524" i="1" s="1"/>
  <c r="M525" i="1"/>
  <c r="P525" i="1" s="1"/>
  <c r="M526" i="1"/>
  <c r="P526" i="1" s="1"/>
  <c r="M527" i="1"/>
  <c r="P527" i="1" s="1"/>
  <c r="M528" i="1"/>
  <c r="P528" i="1" s="1"/>
  <c r="M529" i="1"/>
  <c r="P529" i="1" s="1"/>
  <c r="M530" i="1"/>
  <c r="P530" i="1" s="1"/>
  <c r="M531" i="1"/>
  <c r="P531" i="1" s="1"/>
  <c r="M532" i="1"/>
  <c r="P532" i="1" s="1"/>
  <c r="M533" i="1"/>
  <c r="P533" i="1" s="1"/>
  <c r="M534" i="1"/>
  <c r="P534" i="1" s="1"/>
  <c r="M535" i="1"/>
  <c r="P535" i="1" s="1"/>
  <c r="M536" i="1"/>
  <c r="P536" i="1" s="1"/>
  <c r="M537" i="1"/>
  <c r="P537" i="1" s="1"/>
  <c r="M538" i="1"/>
  <c r="P538" i="1" s="1"/>
  <c r="M539" i="1"/>
  <c r="P539" i="1" s="1"/>
  <c r="M540" i="1"/>
  <c r="P540" i="1" s="1"/>
  <c r="M541" i="1"/>
  <c r="P541" i="1" s="1"/>
  <c r="M542" i="1"/>
  <c r="P542" i="1" s="1"/>
  <c r="M543" i="1"/>
  <c r="P543" i="1" s="1"/>
  <c r="M544" i="1"/>
  <c r="P544" i="1" s="1"/>
  <c r="M545" i="1"/>
  <c r="P545" i="1" s="1"/>
  <c r="M546" i="1"/>
  <c r="P546" i="1" s="1"/>
  <c r="M547" i="1"/>
  <c r="P547" i="1" s="1"/>
  <c r="M548" i="1"/>
  <c r="P548" i="1" s="1"/>
  <c r="M549" i="1"/>
  <c r="P549" i="1" s="1"/>
  <c r="M550" i="1"/>
  <c r="P550" i="1" s="1"/>
  <c r="M551" i="1"/>
  <c r="P551" i="1" s="1"/>
  <c r="M552" i="1"/>
  <c r="P552" i="1" s="1"/>
  <c r="M553" i="1"/>
  <c r="P553" i="1" s="1"/>
  <c r="M554" i="1"/>
  <c r="P554" i="1" s="1"/>
  <c r="M555" i="1"/>
  <c r="P555" i="1" s="1"/>
  <c r="M556" i="1"/>
  <c r="P556" i="1" s="1"/>
  <c r="M557" i="1"/>
  <c r="P557" i="1" s="1"/>
  <c r="M558" i="1"/>
  <c r="P558" i="1" s="1"/>
  <c r="M559" i="1"/>
  <c r="P559" i="1" s="1"/>
  <c r="M560" i="1"/>
  <c r="P560" i="1" s="1"/>
  <c r="M561" i="1"/>
  <c r="P561" i="1" s="1"/>
  <c r="M562" i="1"/>
  <c r="P562" i="1" s="1"/>
  <c r="M563" i="1"/>
  <c r="P563" i="1" s="1"/>
  <c r="M564" i="1"/>
  <c r="P564" i="1" s="1"/>
  <c r="M565" i="1"/>
  <c r="P565" i="1" s="1"/>
  <c r="M566" i="1"/>
  <c r="P566" i="1" s="1"/>
  <c r="M567" i="1"/>
  <c r="P567" i="1" s="1"/>
  <c r="M568" i="1"/>
  <c r="P568" i="1" s="1"/>
  <c r="M569" i="1"/>
  <c r="P569" i="1" s="1"/>
  <c r="M570" i="1"/>
  <c r="P570" i="1" s="1"/>
  <c r="M571" i="1"/>
  <c r="P571" i="1" s="1"/>
  <c r="M572" i="1"/>
  <c r="P572" i="1" s="1"/>
  <c r="M573" i="1"/>
  <c r="P573" i="1" s="1"/>
  <c r="M574" i="1"/>
  <c r="P574" i="1" s="1"/>
  <c r="M575" i="1"/>
  <c r="P575" i="1" s="1"/>
  <c r="M576" i="1"/>
  <c r="P576" i="1" s="1"/>
  <c r="M577" i="1"/>
  <c r="P577" i="1" s="1"/>
  <c r="M578" i="1"/>
  <c r="P578" i="1" s="1"/>
  <c r="M579" i="1"/>
  <c r="P579" i="1" s="1"/>
  <c r="M580" i="1"/>
  <c r="P580" i="1" s="1"/>
  <c r="M581" i="1"/>
  <c r="P581" i="1" s="1"/>
  <c r="M582" i="1"/>
  <c r="P582" i="1" s="1"/>
  <c r="M583" i="1"/>
  <c r="P583" i="1" s="1"/>
  <c r="M584" i="1"/>
  <c r="P584" i="1" s="1"/>
  <c r="M585" i="1"/>
  <c r="P585" i="1" s="1"/>
  <c r="M586" i="1"/>
  <c r="P586" i="1" s="1"/>
  <c r="M587" i="1"/>
  <c r="P587" i="1" s="1"/>
  <c r="M588" i="1"/>
  <c r="P588" i="1" s="1"/>
  <c r="M589" i="1"/>
  <c r="P589" i="1" s="1"/>
  <c r="M590" i="1"/>
  <c r="P590" i="1" s="1"/>
  <c r="M591" i="1"/>
  <c r="P591" i="1" s="1"/>
  <c r="M592" i="1"/>
  <c r="P592" i="1" s="1"/>
  <c r="M593" i="1"/>
  <c r="P593" i="1" s="1"/>
  <c r="M594" i="1"/>
  <c r="P594" i="1" s="1"/>
  <c r="M595" i="1"/>
  <c r="P595" i="1" s="1"/>
  <c r="M596" i="1"/>
  <c r="P596" i="1" s="1"/>
  <c r="M597" i="1"/>
  <c r="P597" i="1" s="1"/>
  <c r="M598" i="1"/>
  <c r="P598" i="1" s="1"/>
  <c r="M599" i="1"/>
  <c r="P599" i="1" s="1"/>
  <c r="M600" i="1"/>
  <c r="P600" i="1" s="1"/>
  <c r="M601" i="1"/>
  <c r="P601" i="1" s="1"/>
  <c r="M602" i="1"/>
  <c r="P602" i="1" s="1"/>
  <c r="M603" i="1"/>
  <c r="P603" i="1" s="1"/>
  <c r="M604" i="1"/>
  <c r="P604" i="1" s="1"/>
  <c r="M605" i="1"/>
  <c r="P605" i="1" s="1"/>
  <c r="M606" i="1"/>
  <c r="P606" i="1" s="1"/>
  <c r="M607" i="1"/>
  <c r="P607" i="1" s="1"/>
  <c r="M608" i="1"/>
  <c r="P608" i="1" s="1"/>
  <c r="M609" i="1"/>
  <c r="P609" i="1" s="1"/>
  <c r="M610" i="1"/>
  <c r="P610" i="1" s="1"/>
  <c r="M611" i="1"/>
  <c r="P611" i="1" s="1"/>
  <c r="M612" i="1"/>
  <c r="P612" i="1" s="1"/>
  <c r="M613" i="1"/>
  <c r="P613" i="1" s="1"/>
  <c r="M614" i="1"/>
  <c r="P614" i="1" s="1"/>
  <c r="M615" i="1"/>
  <c r="P615" i="1" s="1"/>
  <c r="M616" i="1"/>
  <c r="P616" i="1" s="1"/>
  <c r="M617" i="1"/>
  <c r="P617" i="1" s="1"/>
  <c r="M618" i="1"/>
  <c r="P618" i="1" s="1"/>
  <c r="M619" i="1"/>
  <c r="P619" i="1" s="1"/>
  <c r="M620" i="1"/>
  <c r="P620" i="1" s="1"/>
  <c r="M621" i="1"/>
  <c r="P621" i="1" s="1"/>
  <c r="M622" i="1"/>
  <c r="P622" i="1" s="1"/>
  <c r="M623" i="1"/>
  <c r="P623" i="1" s="1"/>
  <c r="M624" i="1"/>
  <c r="P624" i="1" s="1"/>
  <c r="M625" i="1"/>
  <c r="P625" i="1" s="1"/>
  <c r="M626" i="1"/>
  <c r="P626" i="1" s="1"/>
  <c r="M627" i="1"/>
  <c r="P627" i="1" s="1"/>
  <c r="M628" i="1"/>
  <c r="P628" i="1" s="1"/>
  <c r="M629" i="1"/>
  <c r="P629" i="1" s="1"/>
  <c r="M630" i="1"/>
  <c r="P630" i="1" s="1"/>
  <c r="M631" i="1"/>
  <c r="P631" i="1" s="1"/>
  <c r="M632" i="1"/>
  <c r="P632" i="1" s="1"/>
  <c r="M633" i="1"/>
  <c r="P633" i="1" s="1"/>
  <c r="M634" i="1"/>
  <c r="P634" i="1" s="1"/>
  <c r="M635" i="1"/>
  <c r="P635" i="1" s="1"/>
  <c r="M636" i="1"/>
  <c r="P636" i="1" s="1"/>
  <c r="M637" i="1"/>
  <c r="P637" i="1" s="1"/>
  <c r="M638" i="1"/>
  <c r="P638" i="1" s="1"/>
  <c r="M639" i="1"/>
  <c r="P639" i="1" s="1"/>
  <c r="M640" i="1"/>
  <c r="P640" i="1" s="1"/>
  <c r="M641" i="1"/>
  <c r="P641" i="1" s="1"/>
  <c r="M642" i="1"/>
  <c r="P642" i="1" s="1"/>
  <c r="M643" i="1"/>
  <c r="P643" i="1" s="1"/>
  <c r="M644" i="1"/>
  <c r="P644" i="1" s="1"/>
  <c r="M645" i="1"/>
  <c r="P645" i="1" s="1"/>
  <c r="M646" i="1"/>
  <c r="P646" i="1" s="1"/>
  <c r="M647" i="1"/>
  <c r="P647" i="1" s="1"/>
  <c r="M648" i="1"/>
  <c r="P648" i="1" s="1"/>
  <c r="M649" i="1"/>
  <c r="P649" i="1" s="1"/>
  <c r="M650" i="1"/>
  <c r="P650" i="1" s="1"/>
  <c r="M651" i="1"/>
  <c r="P651" i="1" s="1"/>
  <c r="M652" i="1"/>
  <c r="P652" i="1" s="1"/>
  <c r="M653" i="1"/>
  <c r="P653" i="1" s="1"/>
  <c r="M654" i="1"/>
  <c r="P654" i="1" s="1"/>
  <c r="M655" i="1"/>
  <c r="P655" i="1" s="1"/>
  <c r="M656" i="1"/>
  <c r="P656" i="1" s="1"/>
  <c r="M657" i="1"/>
  <c r="P657" i="1" s="1"/>
  <c r="M658" i="1"/>
  <c r="P658" i="1" s="1"/>
  <c r="M659" i="1"/>
  <c r="P659" i="1" s="1"/>
  <c r="M660" i="1"/>
  <c r="P660" i="1" s="1"/>
  <c r="M661" i="1"/>
  <c r="P661" i="1" s="1"/>
  <c r="M662" i="1"/>
  <c r="P662" i="1" s="1"/>
  <c r="M663" i="1"/>
  <c r="P663" i="1" s="1"/>
  <c r="M664" i="1"/>
  <c r="P664" i="1" s="1"/>
  <c r="M665" i="1"/>
  <c r="P665" i="1" s="1"/>
  <c r="M666" i="1"/>
  <c r="P666" i="1" s="1"/>
  <c r="M667" i="1"/>
  <c r="P667" i="1" s="1"/>
  <c r="M668" i="1"/>
  <c r="P668" i="1" s="1"/>
  <c r="M669" i="1"/>
  <c r="P669" i="1" s="1"/>
  <c r="M670" i="1"/>
  <c r="P670" i="1" s="1"/>
  <c r="M671" i="1"/>
  <c r="P671" i="1" s="1"/>
  <c r="M672" i="1"/>
  <c r="P672" i="1" s="1"/>
  <c r="M673" i="1"/>
  <c r="P673" i="1" s="1"/>
  <c r="M674" i="1"/>
  <c r="P674" i="1" s="1"/>
  <c r="M675" i="1"/>
  <c r="P675" i="1" s="1"/>
  <c r="M676" i="1"/>
  <c r="P676" i="1" s="1"/>
  <c r="M677" i="1"/>
  <c r="P677" i="1" s="1"/>
  <c r="M678" i="1"/>
  <c r="P678" i="1" s="1"/>
  <c r="M679" i="1"/>
  <c r="P679" i="1" s="1"/>
  <c r="M680" i="1"/>
  <c r="P680" i="1" s="1"/>
  <c r="M681" i="1"/>
  <c r="P681" i="1" s="1"/>
  <c r="M682" i="1"/>
  <c r="P682" i="1" s="1"/>
  <c r="M683" i="1"/>
  <c r="P683" i="1" s="1"/>
  <c r="M684" i="1"/>
  <c r="P684" i="1" s="1"/>
  <c r="M685" i="1"/>
  <c r="P685" i="1" s="1"/>
  <c r="M686" i="1"/>
  <c r="P686" i="1" s="1"/>
  <c r="M687" i="1"/>
  <c r="P687" i="1" s="1"/>
  <c r="M688" i="1"/>
  <c r="P688" i="1" s="1"/>
  <c r="M689" i="1"/>
  <c r="P689" i="1" s="1"/>
  <c r="M690" i="1"/>
  <c r="P690" i="1" s="1"/>
  <c r="M691" i="1"/>
  <c r="P691" i="1" s="1"/>
  <c r="M692" i="1"/>
  <c r="P692" i="1" s="1"/>
  <c r="M693" i="1"/>
  <c r="P693" i="1" s="1"/>
  <c r="M694" i="1"/>
  <c r="P694" i="1" s="1"/>
  <c r="M695" i="1"/>
  <c r="P695" i="1" s="1"/>
  <c r="M696" i="1"/>
  <c r="P696" i="1" s="1"/>
  <c r="M697" i="1"/>
  <c r="P697" i="1" s="1"/>
  <c r="M698" i="1"/>
  <c r="P698" i="1" s="1"/>
  <c r="M699" i="1"/>
  <c r="P699" i="1" s="1"/>
  <c r="M700" i="1"/>
  <c r="P700" i="1" s="1"/>
  <c r="M701" i="1"/>
  <c r="P701" i="1" s="1"/>
  <c r="M702" i="1"/>
  <c r="P702" i="1" s="1"/>
  <c r="M703" i="1"/>
  <c r="P703" i="1" s="1"/>
  <c r="M704" i="1"/>
  <c r="P704" i="1" s="1"/>
  <c r="M705" i="1"/>
  <c r="P705" i="1" s="1"/>
  <c r="M706" i="1"/>
  <c r="P706" i="1" s="1"/>
  <c r="M707" i="1"/>
  <c r="P707" i="1" s="1"/>
  <c r="M708" i="1"/>
  <c r="P708" i="1" s="1"/>
  <c r="M709" i="1"/>
  <c r="P709" i="1" s="1"/>
  <c r="M710" i="1"/>
  <c r="P710" i="1" s="1"/>
  <c r="M711" i="1"/>
  <c r="P711" i="1" s="1"/>
  <c r="M712" i="1"/>
  <c r="P712" i="1" s="1"/>
  <c r="M713" i="1"/>
  <c r="P713" i="1" s="1"/>
  <c r="M714" i="1"/>
  <c r="P714" i="1" s="1"/>
  <c r="M715" i="1"/>
  <c r="P715" i="1" s="1"/>
  <c r="M716" i="1"/>
  <c r="P716" i="1" s="1"/>
  <c r="M717" i="1"/>
  <c r="P717" i="1" s="1"/>
  <c r="M718" i="1"/>
  <c r="P718" i="1" s="1"/>
  <c r="M719" i="1"/>
  <c r="P719" i="1" s="1"/>
  <c r="M720" i="1"/>
  <c r="P720" i="1" s="1"/>
  <c r="M721" i="1"/>
  <c r="P721" i="1" s="1"/>
  <c r="M722" i="1"/>
  <c r="P722" i="1" s="1"/>
  <c r="M723" i="1"/>
  <c r="P723" i="1" s="1"/>
  <c r="M724" i="1"/>
  <c r="P724" i="1" s="1"/>
  <c r="M725" i="1"/>
  <c r="P725" i="1" s="1"/>
  <c r="M726" i="1"/>
  <c r="P726" i="1" s="1"/>
  <c r="M727" i="1"/>
  <c r="P727" i="1" s="1"/>
  <c r="M728" i="1"/>
  <c r="P728" i="1" s="1"/>
  <c r="M729" i="1"/>
  <c r="P729" i="1" s="1"/>
  <c r="M730" i="1"/>
  <c r="P730" i="1" s="1"/>
  <c r="M731" i="1"/>
  <c r="P731" i="1" s="1"/>
  <c r="M732" i="1"/>
  <c r="P732" i="1" s="1"/>
  <c r="M733" i="1"/>
  <c r="P733" i="1" s="1"/>
  <c r="M734" i="1"/>
  <c r="P734" i="1" s="1"/>
  <c r="M735" i="1"/>
  <c r="P735" i="1" s="1"/>
  <c r="M736" i="1"/>
  <c r="P736" i="1" s="1"/>
  <c r="M737" i="1"/>
  <c r="P737" i="1" s="1"/>
  <c r="M738" i="1"/>
  <c r="P738" i="1" s="1"/>
  <c r="M739" i="1"/>
  <c r="P739" i="1" s="1"/>
  <c r="M740" i="1"/>
  <c r="P740" i="1" s="1"/>
  <c r="M741" i="1"/>
  <c r="P741" i="1" s="1"/>
  <c r="M742" i="1"/>
  <c r="P742" i="1" s="1"/>
  <c r="M743" i="1"/>
  <c r="P743" i="1" s="1"/>
  <c r="M744" i="1"/>
  <c r="P744" i="1" s="1"/>
  <c r="M745" i="1"/>
  <c r="P745" i="1" s="1"/>
  <c r="M746" i="1"/>
  <c r="P746" i="1" s="1"/>
  <c r="M747" i="1"/>
  <c r="P747" i="1" s="1"/>
  <c r="M748" i="1"/>
  <c r="P748" i="1" s="1"/>
  <c r="M749" i="1"/>
  <c r="P749" i="1" s="1"/>
  <c r="M750" i="1"/>
  <c r="P750" i="1" s="1"/>
  <c r="M751" i="1"/>
  <c r="P751" i="1" s="1"/>
  <c r="M752" i="1"/>
  <c r="P752" i="1" s="1"/>
  <c r="M753" i="1"/>
  <c r="P753" i="1" s="1"/>
  <c r="M754" i="1"/>
  <c r="P754" i="1" s="1"/>
  <c r="M755" i="1"/>
  <c r="P755" i="1" s="1"/>
  <c r="M756" i="1"/>
  <c r="P756" i="1" s="1"/>
  <c r="M757" i="1"/>
  <c r="P757" i="1" s="1"/>
  <c r="M758" i="1"/>
  <c r="P758" i="1" s="1"/>
  <c r="M759" i="1"/>
  <c r="P759" i="1" s="1"/>
  <c r="M760" i="1"/>
  <c r="P760" i="1" s="1"/>
  <c r="M761" i="1"/>
  <c r="P761" i="1" s="1"/>
  <c r="M762" i="1"/>
  <c r="P762" i="1" s="1"/>
  <c r="M763" i="1"/>
  <c r="P763" i="1" s="1"/>
  <c r="M764" i="1"/>
  <c r="P764" i="1" s="1"/>
  <c r="M765" i="1"/>
  <c r="P765" i="1" s="1"/>
  <c r="M766" i="1"/>
  <c r="P766" i="1" s="1"/>
  <c r="M767" i="1"/>
  <c r="P767" i="1" s="1"/>
  <c r="M768" i="1"/>
  <c r="P768" i="1" s="1"/>
  <c r="M769" i="1"/>
  <c r="P769" i="1" s="1"/>
  <c r="M770" i="1"/>
  <c r="P770" i="1" s="1"/>
  <c r="M771" i="1"/>
  <c r="P771" i="1" s="1"/>
  <c r="M772" i="1"/>
  <c r="P772" i="1" s="1"/>
  <c r="M773" i="1"/>
  <c r="P773" i="1" s="1"/>
  <c r="M774" i="1"/>
  <c r="P774" i="1" s="1"/>
  <c r="M775" i="1"/>
  <c r="P775" i="1" s="1"/>
  <c r="M776" i="1"/>
  <c r="P776" i="1" s="1"/>
  <c r="M777" i="1"/>
  <c r="P777" i="1" s="1"/>
  <c r="M778" i="1"/>
  <c r="P778" i="1" s="1"/>
  <c r="M779" i="1"/>
  <c r="P779" i="1" s="1"/>
  <c r="M780" i="1"/>
  <c r="P780" i="1" s="1"/>
  <c r="M781" i="1"/>
  <c r="P781" i="1" s="1"/>
  <c r="M782" i="1"/>
  <c r="P782" i="1" s="1"/>
  <c r="M783" i="1"/>
  <c r="P783" i="1" s="1"/>
  <c r="M784" i="1"/>
  <c r="P784" i="1" s="1"/>
  <c r="M785" i="1"/>
  <c r="P785" i="1" s="1"/>
  <c r="M786" i="1"/>
  <c r="P786" i="1" s="1"/>
  <c r="M787" i="1"/>
  <c r="P787" i="1" s="1"/>
  <c r="M788" i="1"/>
  <c r="P788" i="1" s="1"/>
  <c r="M789" i="1"/>
  <c r="P789" i="1" s="1"/>
  <c r="M790" i="1"/>
  <c r="P790" i="1" s="1"/>
  <c r="M791" i="1"/>
  <c r="P791" i="1" s="1"/>
  <c r="M792" i="1"/>
  <c r="P792" i="1" s="1"/>
  <c r="M793" i="1"/>
  <c r="P793" i="1" s="1"/>
  <c r="M794" i="1"/>
  <c r="P794" i="1" s="1"/>
  <c r="M795" i="1"/>
  <c r="P795" i="1" s="1"/>
  <c r="M796" i="1"/>
  <c r="P796" i="1" s="1"/>
  <c r="M797" i="1"/>
  <c r="P797" i="1" s="1"/>
  <c r="M798" i="1"/>
  <c r="P798" i="1" s="1"/>
  <c r="M799" i="1"/>
  <c r="P799" i="1" s="1"/>
  <c r="M800" i="1"/>
  <c r="P800" i="1" s="1"/>
  <c r="M801" i="1"/>
  <c r="P801" i="1" s="1"/>
  <c r="M802" i="1"/>
  <c r="P802" i="1" s="1"/>
  <c r="M803" i="1"/>
  <c r="P803" i="1" s="1"/>
  <c r="M804" i="1"/>
  <c r="P804" i="1" s="1"/>
  <c r="M805" i="1"/>
  <c r="P805" i="1" s="1"/>
  <c r="M806" i="1"/>
  <c r="P806" i="1" s="1"/>
  <c r="M807" i="1"/>
  <c r="P807" i="1" s="1"/>
  <c r="M808" i="1"/>
  <c r="P808" i="1" s="1"/>
  <c r="M809" i="1"/>
  <c r="P809" i="1" s="1"/>
  <c r="M810" i="1"/>
  <c r="P810" i="1" s="1"/>
  <c r="M811" i="1"/>
  <c r="P811" i="1" s="1"/>
  <c r="M812" i="1"/>
  <c r="P812" i="1" s="1"/>
  <c r="M813" i="1"/>
  <c r="P813" i="1" s="1"/>
  <c r="M814" i="1"/>
  <c r="P814" i="1" s="1"/>
  <c r="M815" i="1"/>
  <c r="P815" i="1" s="1"/>
  <c r="M816" i="1"/>
  <c r="P816" i="1" s="1"/>
  <c r="M817" i="1"/>
  <c r="P817" i="1" s="1"/>
  <c r="M818" i="1"/>
  <c r="P818" i="1" s="1"/>
  <c r="M819" i="1"/>
  <c r="P819" i="1" s="1"/>
  <c r="M820" i="1"/>
  <c r="P820" i="1" s="1"/>
  <c r="M821" i="1"/>
  <c r="P821" i="1" s="1"/>
  <c r="M822" i="1"/>
  <c r="P822" i="1" s="1"/>
  <c r="M823" i="1"/>
  <c r="P823" i="1" s="1"/>
  <c r="M824" i="1"/>
  <c r="P824" i="1" s="1"/>
  <c r="M825" i="1"/>
  <c r="P825" i="1" s="1"/>
  <c r="M826" i="1"/>
  <c r="P826" i="1" s="1"/>
  <c r="M827" i="1"/>
  <c r="P827" i="1" s="1"/>
  <c r="M828" i="1"/>
  <c r="P828" i="1" s="1"/>
  <c r="M829" i="1"/>
  <c r="P829" i="1" s="1"/>
  <c r="M830" i="1"/>
  <c r="P830" i="1" s="1"/>
  <c r="M831" i="1"/>
  <c r="P831" i="1" s="1"/>
  <c r="M832" i="1"/>
  <c r="P832" i="1" s="1"/>
  <c r="M833" i="1"/>
  <c r="P833" i="1" s="1"/>
  <c r="M834" i="1"/>
  <c r="P834" i="1" s="1"/>
  <c r="M835" i="1"/>
  <c r="P835" i="1" s="1"/>
  <c r="M836" i="1"/>
  <c r="P836" i="1" s="1"/>
  <c r="M837" i="1"/>
  <c r="P837" i="1" s="1"/>
  <c r="M838" i="1"/>
  <c r="P838" i="1" s="1"/>
  <c r="M839" i="1"/>
  <c r="P839" i="1" s="1"/>
  <c r="M840" i="1"/>
  <c r="P840" i="1" s="1"/>
  <c r="M841" i="1"/>
  <c r="P841" i="1" s="1"/>
  <c r="M842" i="1"/>
  <c r="P842" i="1" s="1"/>
  <c r="M843" i="1"/>
  <c r="P843" i="1" s="1"/>
  <c r="M844" i="1"/>
  <c r="P844" i="1" s="1"/>
  <c r="M845" i="1"/>
  <c r="P845" i="1" s="1"/>
  <c r="M846" i="1"/>
  <c r="P846" i="1" s="1"/>
  <c r="M847" i="1"/>
  <c r="P847" i="1" s="1"/>
  <c r="M848" i="1"/>
  <c r="P848" i="1" s="1"/>
  <c r="M849" i="1"/>
  <c r="P849" i="1" s="1"/>
  <c r="M850" i="1"/>
  <c r="P850" i="1" s="1"/>
  <c r="M851" i="1"/>
  <c r="P851" i="1" s="1"/>
  <c r="M852" i="1"/>
  <c r="P852" i="1" s="1"/>
  <c r="M853" i="1"/>
  <c r="P853" i="1" s="1"/>
  <c r="M854" i="1"/>
  <c r="P854" i="1" s="1"/>
  <c r="M855" i="1"/>
  <c r="P855" i="1" s="1"/>
  <c r="M856" i="1"/>
  <c r="P856" i="1" s="1"/>
  <c r="M857" i="1"/>
  <c r="P857" i="1" s="1"/>
  <c r="M858" i="1"/>
  <c r="P858" i="1" s="1"/>
  <c r="M859" i="1"/>
  <c r="P859" i="1" s="1"/>
  <c r="M860" i="1"/>
  <c r="P860" i="1" s="1"/>
  <c r="M861" i="1"/>
  <c r="P861" i="1" s="1"/>
  <c r="M862" i="1"/>
  <c r="P862" i="1" s="1"/>
  <c r="M863" i="1"/>
  <c r="P863" i="1" s="1"/>
  <c r="M864" i="1"/>
  <c r="P864" i="1" s="1"/>
  <c r="M865" i="1"/>
  <c r="P865" i="1" s="1"/>
  <c r="M866" i="1"/>
  <c r="P866" i="1" s="1"/>
  <c r="M867" i="1"/>
  <c r="P867" i="1" s="1"/>
  <c r="M868" i="1"/>
  <c r="P868" i="1" s="1"/>
  <c r="M869" i="1"/>
  <c r="P869" i="1" s="1"/>
  <c r="M870" i="1"/>
  <c r="P870" i="1" s="1"/>
  <c r="M871" i="1"/>
  <c r="P871" i="1" s="1"/>
  <c r="M872" i="1"/>
  <c r="P872" i="1" s="1"/>
  <c r="M873" i="1"/>
  <c r="P873" i="1" s="1"/>
  <c r="M874" i="1"/>
  <c r="P874" i="1" s="1"/>
  <c r="M875" i="1"/>
  <c r="P875" i="1" s="1"/>
  <c r="M876" i="1"/>
  <c r="P876" i="1" s="1"/>
  <c r="M877" i="1"/>
  <c r="P877" i="1" s="1"/>
  <c r="M878" i="1"/>
  <c r="P878" i="1" s="1"/>
  <c r="M879" i="1"/>
  <c r="P879" i="1" s="1"/>
  <c r="M880" i="1"/>
  <c r="P880" i="1" s="1"/>
  <c r="M881" i="1"/>
  <c r="P881" i="1" s="1"/>
  <c r="M882" i="1"/>
  <c r="P882" i="1" s="1"/>
  <c r="M883" i="1"/>
  <c r="P883" i="1" s="1"/>
  <c r="M884" i="1"/>
  <c r="P884" i="1" s="1"/>
  <c r="M885" i="1"/>
  <c r="P885" i="1" s="1"/>
  <c r="M886" i="1"/>
  <c r="P886" i="1" s="1"/>
  <c r="M887" i="1"/>
  <c r="P887" i="1" s="1"/>
  <c r="M888" i="1"/>
  <c r="P888" i="1" s="1"/>
  <c r="M889" i="1"/>
  <c r="P889" i="1" s="1"/>
  <c r="M890" i="1"/>
  <c r="P890" i="1" s="1"/>
  <c r="M891" i="1"/>
  <c r="P891" i="1" s="1"/>
  <c r="M892" i="1"/>
  <c r="P892" i="1" s="1"/>
  <c r="M893" i="1"/>
  <c r="P893" i="1" s="1"/>
  <c r="M894" i="1"/>
  <c r="P894" i="1" s="1"/>
  <c r="M895" i="1"/>
  <c r="P895" i="1" s="1"/>
  <c r="M896" i="1"/>
  <c r="P896" i="1" s="1"/>
  <c r="M897" i="1"/>
  <c r="P897" i="1" s="1"/>
  <c r="M898" i="1"/>
  <c r="P898" i="1" s="1"/>
  <c r="M899" i="1"/>
  <c r="P899" i="1" s="1"/>
  <c r="M900" i="1"/>
  <c r="P900" i="1" s="1"/>
  <c r="M901" i="1"/>
  <c r="P901" i="1" s="1"/>
  <c r="M902" i="1"/>
  <c r="P902" i="1" s="1"/>
  <c r="M903" i="1"/>
  <c r="P903" i="1" s="1"/>
  <c r="M904" i="1"/>
  <c r="P904" i="1" s="1"/>
  <c r="M905" i="1"/>
  <c r="P905" i="1" s="1"/>
  <c r="M906" i="1"/>
  <c r="P906" i="1" s="1"/>
  <c r="M907" i="1"/>
  <c r="P907" i="1" s="1"/>
  <c r="M908" i="1"/>
  <c r="P908" i="1" s="1"/>
  <c r="M909" i="1"/>
  <c r="P909" i="1" s="1"/>
  <c r="M910" i="1"/>
  <c r="P910" i="1" s="1"/>
  <c r="M911" i="1"/>
  <c r="P911" i="1" s="1"/>
  <c r="M912" i="1"/>
  <c r="P912" i="1" s="1"/>
  <c r="M913" i="1"/>
  <c r="P913" i="1" s="1"/>
  <c r="M914" i="1"/>
  <c r="P914" i="1" s="1"/>
  <c r="M915" i="1"/>
  <c r="P915" i="1" s="1"/>
  <c r="M916" i="1"/>
  <c r="P916" i="1" s="1"/>
  <c r="M917" i="1"/>
  <c r="P917" i="1" s="1"/>
  <c r="M918" i="1"/>
  <c r="P918" i="1" s="1"/>
  <c r="M919" i="1"/>
  <c r="P919" i="1" s="1"/>
  <c r="M920" i="1"/>
  <c r="P920" i="1" s="1"/>
  <c r="M921" i="1"/>
  <c r="P921" i="1" s="1"/>
  <c r="M922" i="1"/>
  <c r="P922" i="1" s="1"/>
  <c r="M923" i="1"/>
  <c r="P923" i="1" s="1"/>
  <c r="M924" i="1"/>
  <c r="P924" i="1" s="1"/>
  <c r="M925" i="1"/>
  <c r="P925" i="1" s="1"/>
  <c r="M926" i="1"/>
  <c r="P926" i="1" s="1"/>
  <c r="M927" i="1"/>
  <c r="P927" i="1" s="1"/>
  <c r="M928" i="1"/>
  <c r="P928" i="1" s="1"/>
  <c r="M929" i="1"/>
  <c r="P929" i="1" s="1"/>
  <c r="M930" i="1"/>
  <c r="P930" i="1" s="1"/>
  <c r="M931" i="1"/>
  <c r="P931" i="1" s="1"/>
  <c r="M932" i="1"/>
  <c r="P932" i="1" s="1"/>
  <c r="M933" i="1"/>
  <c r="P933" i="1" s="1"/>
  <c r="M934" i="1"/>
  <c r="P934" i="1" s="1"/>
  <c r="M935" i="1"/>
  <c r="P935" i="1" s="1"/>
  <c r="M936" i="1"/>
  <c r="P936" i="1" s="1"/>
  <c r="M937" i="1"/>
  <c r="P937" i="1" s="1"/>
  <c r="M938" i="1"/>
  <c r="P938" i="1" s="1"/>
  <c r="M939" i="1"/>
  <c r="P939" i="1" s="1"/>
  <c r="M940" i="1"/>
  <c r="P940" i="1" s="1"/>
  <c r="M941" i="1"/>
  <c r="P941" i="1" s="1"/>
  <c r="M942" i="1"/>
  <c r="P942" i="1" s="1"/>
  <c r="M943" i="1"/>
  <c r="P943" i="1" s="1"/>
  <c r="M944" i="1"/>
  <c r="P944" i="1" s="1"/>
  <c r="M945" i="1"/>
  <c r="P945" i="1" s="1"/>
  <c r="M946" i="1"/>
  <c r="P946" i="1" s="1"/>
  <c r="M947" i="1"/>
  <c r="P947" i="1" s="1"/>
  <c r="M948" i="1"/>
  <c r="P948" i="1" s="1"/>
  <c r="M949" i="1"/>
  <c r="P949" i="1" s="1"/>
  <c r="M950" i="1"/>
  <c r="P950" i="1" s="1"/>
  <c r="M951" i="1"/>
  <c r="P951" i="1" s="1"/>
  <c r="M952" i="1"/>
  <c r="P952" i="1" s="1"/>
  <c r="M953" i="1"/>
  <c r="P953" i="1" s="1"/>
  <c r="M954" i="1"/>
  <c r="P954" i="1" s="1"/>
  <c r="M955" i="1"/>
  <c r="P955" i="1" s="1"/>
  <c r="M956" i="1"/>
  <c r="P956" i="1" s="1"/>
  <c r="M957" i="1"/>
  <c r="P957" i="1" s="1"/>
  <c r="M958" i="1"/>
  <c r="P958" i="1" s="1"/>
  <c r="M959" i="1"/>
  <c r="P959" i="1" s="1"/>
  <c r="M960" i="1"/>
  <c r="P960" i="1" s="1"/>
  <c r="M961" i="1"/>
  <c r="P961" i="1" s="1"/>
  <c r="M962" i="1"/>
  <c r="P962" i="1" s="1"/>
  <c r="M963" i="1"/>
  <c r="P963" i="1" s="1"/>
  <c r="M964" i="1"/>
  <c r="P964" i="1" s="1"/>
  <c r="M965" i="1"/>
  <c r="P965" i="1" s="1"/>
  <c r="M966" i="1"/>
  <c r="P966" i="1" s="1"/>
  <c r="M967" i="1"/>
  <c r="P967" i="1" s="1"/>
  <c r="M968" i="1"/>
  <c r="P968" i="1" s="1"/>
  <c r="M969" i="1"/>
  <c r="P969" i="1" s="1"/>
  <c r="M970" i="1"/>
  <c r="P970" i="1" s="1"/>
  <c r="M971" i="1"/>
  <c r="P971" i="1" s="1"/>
  <c r="M972" i="1"/>
  <c r="P972" i="1" s="1"/>
  <c r="M973" i="1"/>
  <c r="P973" i="1" s="1"/>
  <c r="M974" i="1"/>
  <c r="P974" i="1" s="1"/>
  <c r="M975" i="1"/>
  <c r="P975" i="1" s="1"/>
  <c r="M976" i="1"/>
  <c r="P976" i="1" s="1"/>
  <c r="M977" i="1"/>
  <c r="P977" i="1" s="1"/>
  <c r="M978" i="1"/>
  <c r="P978" i="1" s="1"/>
  <c r="M979" i="1"/>
  <c r="P979" i="1" s="1"/>
  <c r="M980" i="1"/>
  <c r="P980" i="1" s="1"/>
  <c r="M981" i="1"/>
  <c r="P981" i="1" s="1"/>
  <c r="M982" i="1"/>
  <c r="P982" i="1" s="1"/>
  <c r="M983" i="1"/>
  <c r="P983" i="1" s="1"/>
  <c r="M984" i="1"/>
  <c r="P984" i="1" s="1"/>
  <c r="M985" i="1"/>
  <c r="P985" i="1" s="1"/>
  <c r="M986" i="1"/>
  <c r="P986" i="1" s="1"/>
  <c r="M987" i="1"/>
  <c r="P987" i="1" s="1"/>
  <c r="M988" i="1"/>
  <c r="P988" i="1" s="1"/>
  <c r="M989" i="1"/>
  <c r="P989" i="1" s="1"/>
  <c r="M990" i="1"/>
  <c r="P990" i="1" s="1"/>
  <c r="M991" i="1"/>
  <c r="P991" i="1" s="1"/>
  <c r="M992" i="1"/>
  <c r="P992" i="1" s="1"/>
  <c r="M993" i="1"/>
  <c r="P993" i="1" s="1"/>
  <c r="M994" i="1"/>
  <c r="P994" i="1" s="1"/>
  <c r="M995" i="1"/>
  <c r="P995" i="1" s="1"/>
  <c r="M996" i="1"/>
  <c r="P996" i="1" s="1"/>
  <c r="M997" i="1"/>
  <c r="P997" i="1" s="1"/>
  <c r="M998" i="1"/>
  <c r="P998" i="1" s="1"/>
  <c r="M999" i="1"/>
  <c r="P999" i="1" s="1"/>
  <c r="M1000" i="1"/>
  <c r="P1000" i="1" s="1"/>
  <c r="M1001" i="1"/>
  <c r="P1001" i="1" s="1"/>
  <c r="N2" i="1" l="1"/>
  <c r="M2" i="1"/>
  <c r="P2" i="1" s="1"/>
</calcChain>
</file>

<file path=xl/sharedStrings.xml><?xml version="1.0" encoding="utf-8"?>
<sst xmlns="http://schemas.openxmlformats.org/spreadsheetml/2006/main" count="16136" uniqueCount="2581">
  <si>
    <t>Customer_ID</t>
  </si>
  <si>
    <t>Age</t>
  </si>
  <si>
    <t>Gender</t>
  </si>
  <si>
    <t>City</t>
  </si>
  <si>
    <t>Category</t>
  </si>
  <si>
    <t>Product_Name</t>
  </si>
  <si>
    <t>Purchase_Date</t>
  </si>
  <si>
    <t>Purchase_Amount</t>
  </si>
  <si>
    <t>Profit</t>
  </si>
  <si>
    <t>Discount_Applied</t>
  </si>
  <si>
    <t>Repeat_Customer</t>
  </si>
  <si>
    <t>Total Amount</t>
  </si>
  <si>
    <t>Payment_Method</t>
  </si>
  <si>
    <t>Rating</t>
  </si>
  <si>
    <t>Customer Feedback</t>
  </si>
  <si>
    <t>1c448148-e403-42a4-91dc-802f705841fb</t>
  </si>
  <si>
    <t>Female</t>
  </si>
  <si>
    <t>San Francisco</t>
  </si>
  <si>
    <t>Clothing</t>
  </si>
  <si>
    <t>Jeans</t>
  </si>
  <si>
    <t>2024-04-05</t>
  </si>
  <si>
    <t>Yes</t>
  </si>
  <si>
    <t>PayPal</t>
  </si>
  <si>
    <t>6b4e2b64-c925-4fdd-bde0-3379da8ef0ea</t>
  </si>
  <si>
    <t>Toys</t>
  </si>
  <si>
    <t>Board Game</t>
  </si>
  <si>
    <t>2024-11-26</t>
  </si>
  <si>
    <t>Credit Card</t>
  </si>
  <si>
    <t>c7b917a4-98b7-45e3-9043-2e32f4d40f71</t>
  </si>
  <si>
    <t>Male</t>
  </si>
  <si>
    <t>Chicago</t>
  </si>
  <si>
    <t>Home &amp; Kitchen</t>
  </si>
  <si>
    <t>Vacuum Cleaner</t>
  </si>
  <si>
    <t>2024-07-20</t>
  </si>
  <si>
    <t>No</t>
  </si>
  <si>
    <t>Cash on Delivery</t>
  </si>
  <si>
    <t>192a0409-dcca-4237-a6e1-8ddeb6c740fd</t>
  </si>
  <si>
    <t>Electronics</t>
  </si>
  <si>
    <t>Laptop</t>
  </si>
  <si>
    <t>2024-11-23</t>
  </si>
  <si>
    <t>a9676e50-2111-4dee-af11-83d493858e2e</t>
  </si>
  <si>
    <t>Houston</t>
  </si>
  <si>
    <t>Beauty</t>
  </si>
  <si>
    <t>Skincare Set</t>
  </si>
  <si>
    <t>2024-08-02</t>
  </si>
  <si>
    <t>583783d5-bb33-42b5-be2a-c40a5a07266f</t>
  </si>
  <si>
    <t>2024-05-02</t>
  </si>
  <si>
    <t>Debit Card</t>
  </si>
  <si>
    <t>76a37141-a4fb-4d2f-9b45-f0dc6610f13f</t>
  </si>
  <si>
    <t>Los Angeles</t>
  </si>
  <si>
    <t>2024-10-17</t>
  </si>
  <si>
    <t>1ecab704-565f-4375-917f-224216609bcd</t>
  </si>
  <si>
    <t>Makeup Kit</t>
  </si>
  <si>
    <t>2025-03-22</t>
  </si>
  <si>
    <t>160a5941-df78-4f00-9897-49efdb9dce10</t>
  </si>
  <si>
    <t>Sports</t>
  </si>
  <si>
    <t>Cycling Helmet</t>
  </si>
  <si>
    <t>2024-05-29</t>
  </si>
  <si>
    <t>7a5cba55-66dd-416d-b31a-cee1ca2de2e6</t>
  </si>
  <si>
    <t>T-Shirt</t>
  </si>
  <si>
    <t>2024-10-09</t>
  </si>
  <si>
    <t>eff09a2c-4682-4208-ac25-04149fb59a79</t>
  </si>
  <si>
    <t>2024-08-04</t>
  </si>
  <si>
    <t>35f30f02-e865-4b88-b823-4af7902c291b</t>
  </si>
  <si>
    <t>Dumbbells</t>
  </si>
  <si>
    <t>2025-03-05</t>
  </si>
  <si>
    <t>7b5ef052-2792-4adf-8e30-a1a827d509c7</t>
  </si>
  <si>
    <t>Treadmill</t>
  </si>
  <si>
    <t>788d2376-8b1e-463b-82b6-61934b07df27</t>
  </si>
  <si>
    <t>2024-12-04</t>
  </si>
  <si>
    <t>0fd3d40a-ddcf-4693-904d-b63a9ec90f34</t>
  </si>
  <si>
    <t>2024-07-10</t>
  </si>
  <si>
    <t>b952bcc1-cba8-4261-9f22-3a616f48c712</t>
  </si>
  <si>
    <t>Automotive</t>
  </si>
  <si>
    <t>Seat Covers</t>
  </si>
  <si>
    <t>2025-02-24</t>
  </si>
  <si>
    <t>370ae611-95e4-440d-8a4c-3d9a745a9e34</t>
  </si>
  <si>
    <t>Jacket</t>
  </si>
  <si>
    <t>2024-07-01</t>
  </si>
  <si>
    <t>ca3d05d5-7b92-47f7-aaf7-867286db7bf3</t>
  </si>
  <si>
    <t>2025-02-06</t>
  </si>
  <si>
    <t>b2b8d5ba-5089-4602-bd36-714371f078ac</t>
  </si>
  <si>
    <t>Smartphone</t>
  </si>
  <si>
    <t>2024-04-28</t>
  </si>
  <si>
    <t>faba4dd0-5e3d-42f7-bfd9-d3bf159ac62f</t>
  </si>
  <si>
    <t>2025-01-06</t>
  </si>
  <si>
    <t>c17621f4-8d38-4224-84cc-ca4946ea9b45</t>
  </si>
  <si>
    <t>2024-09-12</t>
  </si>
  <si>
    <t>d85ce615-06ae-454f-b619-98a43e0437b7</t>
  </si>
  <si>
    <t>2024-06-12</t>
  </si>
  <si>
    <t>2e2ac41b-c2e3-4142-a750-4690cd1c7de1</t>
  </si>
  <si>
    <t>Dash Cam</t>
  </si>
  <si>
    <t>2024-05-26</t>
  </si>
  <si>
    <t>74ab1b49-20ab-48d7-bbba-c2814fbb26f5</t>
  </si>
  <si>
    <t>Jump Starter</t>
  </si>
  <si>
    <t>2024-12-25</t>
  </si>
  <si>
    <t>e32b0f0a-0a12-4ab6-9128-87c49ae296b7</t>
  </si>
  <si>
    <t>Smartwatch</t>
  </si>
  <si>
    <t>2024-08-18</t>
  </si>
  <si>
    <t>76ca1e8d-320d-4d6d-95b4-b4f62ffb7a29</t>
  </si>
  <si>
    <t>Yoga Mat</t>
  </si>
  <si>
    <t>2025-02-17</t>
  </si>
  <si>
    <t>07ee55a0-5bef-4e61-abe9-63db35ac4527</t>
  </si>
  <si>
    <t>Perfume</t>
  </si>
  <si>
    <t>2025-03-15</t>
  </si>
  <si>
    <t>483110a6-2f7d-4b97-8a2d-484d4048c9b4</t>
  </si>
  <si>
    <t>2024-04-07</t>
  </si>
  <si>
    <t>5886f8ba-2ebb-4b48-a84e-a863b44d6601</t>
  </si>
  <si>
    <t>2024-08-14</t>
  </si>
  <si>
    <t>41b4880d-4b05-419a-a516-c841df0f4e16</t>
  </si>
  <si>
    <t>2025-02-26</t>
  </si>
  <si>
    <t>729f5f17-62a5-4aff-a2f5-1ea6d9e75de4</t>
  </si>
  <si>
    <t>Blender</t>
  </si>
  <si>
    <t>2024-11-27</t>
  </si>
  <si>
    <t>8bebd040-0b45-4627-af0c-cf644cefab2e</t>
  </si>
  <si>
    <t>2024-11-11</t>
  </si>
  <si>
    <t>36b9edea-a2c8-4245-89ba-237e2e7e60fc</t>
  </si>
  <si>
    <t>Headphones</t>
  </si>
  <si>
    <t>2024-06-11</t>
  </si>
  <si>
    <t>87e7f4df-f932-4153-97a3-9d43e2d01d01</t>
  </si>
  <si>
    <t>Hair Dryer</t>
  </si>
  <si>
    <t>fc530a6b-6bbc-47c0-9727-41499e5a33bb</t>
  </si>
  <si>
    <t>2024-07-17</t>
  </si>
  <si>
    <t>57097d67-3a3e-4901-9f1c-b08303a81415</t>
  </si>
  <si>
    <t>2025-02-02</t>
  </si>
  <si>
    <t>06d7733c-cb49-40bb-825e-41269baee0f1</t>
  </si>
  <si>
    <t>2024-10-05</t>
  </si>
  <si>
    <t>718b3460-8ddb-47b2-9b67-7e609dda1237</t>
  </si>
  <si>
    <t>2024-07-28</t>
  </si>
  <si>
    <t>ade6096b-9767-4598-ba14-adf02b534743</t>
  </si>
  <si>
    <t>2024-11-18</t>
  </si>
  <si>
    <t>c7c0cd9e-ac9d-43fa-8edb-6df0197f5bd5</t>
  </si>
  <si>
    <t>2024-07-26</t>
  </si>
  <si>
    <t>290ac72d-29d7-4b64-9dcb-a530f0c0de7f</t>
  </si>
  <si>
    <t>2024-05-05</t>
  </si>
  <si>
    <t>c7266b10-3d85-4b77-bfbd-7de84a2a1cda</t>
  </si>
  <si>
    <t>2024-09-03</t>
  </si>
  <si>
    <t>cad81686-9699-4c12-b7ed-651dd2aa0027</t>
  </si>
  <si>
    <t>Car Vacuum</t>
  </si>
  <si>
    <t>9a24fb6e-9d4e-4573-aa63-282d59d615a9</t>
  </si>
  <si>
    <t>2025-03-02</t>
  </si>
  <si>
    <t>4a2f76f4-a8a7-4424-a009-2c1d1f2e9c3d</t>
  </si>
  <si>
    <t>Shoes</t>
  </si>
  <si>
    <t>2024-12-26</t>
  </si>
  <si>
    <t>1fd0a5f5-1449-4267-8590-c65f3366844d</t>
  </si>
  <si>
    <t>2024-06-03</t>
  </si>
  <si>
    <t>2ca8ccd9-c160-4a7f-8a91-d2a7018e3b9e</t>
  </si>
  <si>
    <t>2024-04-27</t>
  </si>
  <si>
    <t>8cc288eb-50f3-406e-b50b-0c1b6050af25</t>
  </si>
  <si>
    <t>2024-10-31</t>
  </si>
  <si>
    <t>bd0af87c-172c-4c60-8cf7-f22289ffcf78</t>
  </si>
  <si>
    <t>2024-05-13</t>
  </si>
  <si>
    <t>d649722a-6e46-4ca9-9df1-d0450774cec4</t>
  </si>
  <si>
    <t>2024-12-05</t>
  </si>
  <si>
    <t>42c669e1-9263-4ce0-9452-58e4fbb8a0b0</t>
  </si>
  <si>
    <t>2024-09-21</t>
  </si>
  <si>
    <t>f0f50f5f-68c5-4f5b-b524-2ea3125c899f</t>
  </si>
  <si>
    <t>2024-06-24</t>
  </si>
  <si>
    <t>f636b2d7-53be-4fb5-9bd7-c6ad48fcd953</t>
  </si>
  <si>
    <t>d54b3c02-29d9-493a-8ffb-82316962702b</t>
  </si>
  <si>
    <t>2024-10-15</t>
  </si>
  <si>
    <t>34875ad5-a5e5-4fa8-8329-c3192bdfcd9f</t>
  </si>
  <si>
    <t>Doll</t>
  </si>
  <si>
    <t>2024-11-29</t>
  </si>
  <si>
    <t>c23de11c-5df4-4473-a611-56e6e5c9d0e0</t>
  </si>
  <si>
    <t>2024-10-22</t>
  </si>
  <si>
    <t>b93d7ae1-7080-42d5-a3db-f38e30217feb</t>
  </si>
  <si>
    <t>2025-01-27</t>
  </si>
  <si>
    <t>adb0ae0e-1adc-4415-b97d-9f9a1494f006</t>
  </si>
  <si>
    <t>Cookware Set</t>
  </si>
  <si>
    <t>e787a34a-ca2a-451a-bb5f-ae10f6ffb63b</t>
  </si>
  <si>
    <t>2024-11-05</t>
  </si>
  <si>
    <t>5cb83918-bec9-478d-8c72-27e6e262474c</t>
  </si>
  <si>
    <t>4b4e1e48-9d91-4530-835b-c34ddc7aa0f3</t>
  </si>
  <si>
    <t>2024-12-22</t>
  </si>
  <si>
    <t>56f235bb-d7f2-4363-b677-269e0fe44580</t>
  </si>
  <si>
    <t>2024-10-26</t>
  </si>
  <si>
    <t>fc941fbc-db51-431a-9475-65395da6ba7c</t>
  </si>
  <si>
    <t>af9ad884-9633-4cb0-b220-46ba6a0076d5</t>
  </si>
  <si>
    <t>2024-06-08</t>
  </si>
  <si>
    <t>f2375f1f-d64d-4e95-9e0d-f65a59451412</t>
  </si>
  <si>
    <t>2024-10-19</t>
  </si>
  <si>
    <t>3752ac82-e1b6-421c-b976-9a2d160a4f7e</t>
  </si>
  <si>
    <t>2024-05-30</t>
  </si>
  <si>
    <t>c2894311-6cb4-4f3d-94ba-db33ccf721b3</t>
  </si>
  <si>
    <t>baf66752-fd8b-432c-abb5-401950123fe0</t>
  </si>
  <si>
    <t>Lego Set</t>
  </si>
  <si>
    <t>2024-12-14</t>
  </si>
  <si>
    <t>4252fb38-627b-4cc1-adff-9e0c7eb946e3</t>
  </si>
  <si>
    <t>2024-06-29</t>
  </si>
  <si>
    <t>56db86ed-e9c5-4230-818a-9bdcd1dd269f</t>
  </si>
  <si>
    <t>2024-04-29</t>
  </si>
  <si>
    <t>8866eb8e-d60a-4c6a-ad18-9dba76dc6e6a</t>
  </si>
  <si>
    <t>2024-05-23</t>
  </si>
  <si>
    <t>e39c866e-7480-4a9b-be75-ee116571689d</t>
  </si>
  <si>
    <t>2025-02-27</t>
  </si>
  <si>
    <t>24a9f98c-7cc7-47ce-9c3f-b79254990e1d</t>
  </si>
  <si>
    <t>2025-02-12</t>
  </si>
  <si>
    <t>ea171c5f-0029-4fa3-a8e1-d810e0b18823</t>
  </si>
  <si>
    <t>2024-05-12</t>
  </si>
  <si>
    <t>48bf0a11-719e-4257-ab36-40f63786ad53</t>
  </si>
  <si>
    <t>2024-08-17</t>
  </si>
  <si>
    <t>7b57d516-6ad5-4362-bdc5-f531bec0fe7b</t>
  </si>
  <si>
    <t>2024-03-28</t>
  </si>
  <si>
    <t>7bd59a4a-1976-411f-8b37-4ef5768d4eaa</t>
  </si>
  <si>
    <t>2024-11-04</t>
  </si>
  <si>
    <t>2eab9751-5871-4da1-abf5-5a497a944d95</t>
  </si>
  <si>
    <t>2024-08-21</t>
  </si>
  <si>
    <t>16aa0f6f-abfd-4d4d-8812-11f43e62f782</t>
  </si>
  <si>
    <t>Action Figure</t>
  </si>
  <si>
    <t>2024-06-13</t>
  </si>
  <si>
    <t>7a1ed397-7d49-4db0-9106-2eb500b89242</t>
  </si>
  <si>
    <t>2024-08-03</t>
  </si>
  <si>
    <t>07902b96-e26e-4f9c-b1b6-b27ed76dae8a</t>
  </si>
  <si>
    <t>a5835a87-ba26-417e-b642-de2dbd40516e</t>
  </si>
  <si>
    <t>2025-02-03</t>
  </si>
  <si>
    <t>6e68b2e1-5072-4e7e-a825-957fe4728653</t>
  </si>
  <si>
    <t>2024-11-12</t>
  </si>
  <si>
    <t>30dbb79d-e9c2-44e3-bf1b-81deda78998c</t>
  </si>
  <si>
    <t>2024-08-08</t>
  </si>
  <si>
    <t>1df22d35-e982-4d0d-a7ed-d1745e034471</t>
  </si>
  <si>
    <t>2024-12-27</t>
  </si>
  <si>
    <t>770da663-bdf5-4f2d-b924-ea3a5fa0da71</t>
  </si>
  <si>
    <t>db667548-8324-4425-bf14-f8b96c219b7a</t>
  </si>
  <si>
    <t>2025-03-06</t>
  </si>
  <si>
    <t>6f03ac2f-a0cb-4e8c-9f7d-0f6c7b3113c5</t>
  </si>
  <si>
    <t>2025-01-07</t>
  </si>
  <si>
    <t>067f1e0d-f4bc-4d95-996d-2dfae6fbe72a</t>
  </si>
  <si>
    <t>46c8717d-59ba-406b-916e-320e2d0f174c</t>
  </si>
  <si>
    <t>2024-09-06</t>
  </si>
  <si>
    <t>5d86f3f1-4127-44f7-bf3d-9a7b5ffbd7ee</t>
  </si>
  <si>
    <t>2024-10-10</t>
  </si>
  <si>
    <t>7f04513c-449a-41a6-868e-7281463bc1d2</t>
  </si>
  <si>
    <t>3dd80a37-c0b1-4166-a577-a6f6fa5c1f91</t>
  </si>
  <si>
    <t>2024-07-12</t>
  </si>
  <si>
    <t>94be25b7-4a04-4461-9228-77ef4cf4989d</t>
  </si>
  <si>
    <t>2024-12-11</t>
  </si>
  <si>
    <t>5fa05c17-cdc1-4fee-8db5-342454342d2e</t>
  </si>
  <si>
    <t>2024-04-03</t>
  </si>
  <si>
    <t>b910e054-e2f4-4e42-8734-1f4a09bdb808</t>
  </si>
  <si>
    <t>2024-04-22</t>
  </si>
  <si>
    <t>bf49f830-3c05-4e53-bb8d-7d0a370c7962</t>
  </si>
  <si>
    <t>2024-11-08</t>
  </si>
  <si>
    <t>65c8742e-6832-42b5-b88c-27ea20da9ee3</t>
  </si>
  <si>
    <t>2025-02-08</t>
  </si>
  <si>
    <t>27b9b936-79c0-4a63-aa8f-382e15b1cf0f</t>
  </si>
  <si>
    <t>2024-04-30</t>
  </si>
  <si>
    <t>f3c41dbc-5426-41a1-85a7-17ca33edc575</t>
  </si>
  <si>
    <t>2024-04-02</t>
  </si>
  <si>
    <t>54c9dbee-4c4b-48a2-8d71-e98ba45f1dcd</t>
  </si>
  <si>
    <t>2024-07-21</t>
  </si>
  <si>
    <t>87a7b742-dd21-42b5-a1e9-921ca56056d2</t>
  </si>
  <si>
    <t>2024-06-25</t>
  </si>
  <si>
    <t>097f8a83-6664-4675-aa22-05c43ffd0ed7</t>
  </si>
  <si>
    <t>2025-03-14</t>
  </si>
  <si>
    <t>e911ea98-94a1-45a6-b5d6-3e93e46728a9</t>
  </si>
  <si>
    <t>2024-05-04</t>
  </si>
  <si>
    <t>f2a9e17b-3560-4fbf-bc0d-1881ab47918e</t>
  </si>
  <si>
    <t>2024-10-18</t>
  </si>
  <si>
    <t>5fa7aac3-81d5-45ab-b9ac-d7e7f6b0f73a</t>
  </si>
  <si>
    <t>2025-03-20</t>
  </si>
  <si>
    <t>d15eafd3-5160-44c0-b072-ccca3ced7c88</t>
  </si>
  <si>
    <t>2024-09-18</t>
  </si>
  <si>
    <t>c2d3de44-a0a3-450f-ac88-bef9bbc293fa</t>
  </si>
  <si>
    <t>691cb53e-7f4f-40ae-83bc-b12573a1267f</t>
  </si>
  <si>
    <t>070da6ad-74bb-4444-bcd0-11ac272b13a4</t>
  </si>
  <si>
    <t>2025-02-07</t>
  </si>
  <si>
    <t>05425190-d4dc-4334-a497-65e97f33ed29</t>
  </si>
  <si>
    <t>2024-10-11</t>
  </si>
  <si>
    <t>80ce360d-3cde-4071-af57-ca1b327713d3</t>
  </si>
  <si>
    <t>2024-12-28</t>
  </si>
  <si>
    <t>0f01c2d6-d283-4c3a-895d-89f86bbf02fe</t>
  </si>
  <si>
    <t>2025-01-13</t>
  </si>
  <si>
    <t>8de032e7-b47b-4f8e-8880-29638a26a014</t>
  </si>
  <si>
    <t>993b40fd-6292-40c9-8c85-560a8577b06d</t>
  </si>
  <si>
    <t>2024-06-01</t>
  </si>
  <si>
    <t>87a840b7-b09e-4dd0-be4b-dc603fffd421</t>
  </si>
  <si>
    <t>2024-04-25</t>
  </si>
  <si>
    <t>bb95927e-d412-41de-8dfc-5f50689f8502</t>
  </si>
  <si>
    <t>2024-07-18</t>
  </si>
  <si>
    <t>d7aefb33-28c8-4d50-a7a3-540ebaae80d8</t>
  </si>
  <si>
    <t>c2741120-7562-42a6-acbb-85b8b63ea663</t>
  </si>
  <si>
    <t>81707df5-e722-430a-94cf-40249900eda2</t>
  </si>
  <si>
    <t>2025-01-24</t>
  </si>
  <si>
    <t>f84f6afe-a157-441d-9bf4-b3ee0f7ccb10</t>
  </si>
  <si>
    <t>2025-02-09</t>
  </si>
  <si>
    <t>c25c03f9-983e-4d51-a053-c748351a5e15</t>
  </si>
  <si>
    <t>2024-07-14</t>
  </si>
  <si>
    <t>a4ffd645-17ee-46c8-864d-cc655f0588b4</t>
  </si>
  <si>
    <t>2024-09-28</t>
  </si>
  <si>
    <t>bf47e860-e543-43d3-b262-edfddc353ca4</t>
  </si>
  <si>
    <t>2024-09-27</t>
  </si>
  <si>
    <t>1fb7fda9-587d-401b-9561-d16e7d6afd5f</t>
  </si>
  <si>
    <t>2024-05-01</t>
  </si>
  <si>
    <t>083532a9-38e0-4034-83f8-45aa7c625ec1</t>
  </si>
  <si>
    <t>2025-03-09</t>
  </si>
  <si>
    <t>ab0cbb21-4e4a-4ad9-8e4a-05e0fd29b1e0</t>
  </si>
  <si>
    <t>61bfdc90-a5b8-4a09-94dc-4a0ba7d570ac</t>
  </si>
  <si>
    <t>fd8305de-a04e-4651-80bd-13a999db3678</t>
  </si>
  <si>
    <t>f90b0126-4599-45d3-bf46-ade6e0c6a8a1</t>
  </si>
  <si>
    <t>Microwave</t>
  </si>
  <si>
    <t>d065c1d4-8938-4efe-8abf-5031d04b7cf4</t>
  </si>
  <si>
    <t>2025-03-23</t>
  </si>
  <si>
    <t>05aa8e02-8f04-4d2b-b01b-6759ddcd3881</t>
  </si>
  <si>
    <t>2024-08-28</t>
  </si>
  <si>
    <t>3859ad56-e38f-43ef-9153-d35d6d77a30b</t>
  </si>
  <si>
    <t>2024-12-07</t>
  </si>
  <si>
    <t>d5d3e1df-22ca-40f6-886c-2cc391d96078</t>
  </si>
  <si>
    <t>b822e562-08f2-4d68-8fb6-96fb9dfbf3bc</t>
  </si>
  <si>
    <t>6b24daa5-7cc4-4e0d-83db-783aa4159213</t>
  </si>
  <si>
    <t>9460f4d9-97a3-4798-931c-54ac188aafbe</t>
  </si>
  <si>
    <t>2025-03-24</t>
  </si>
  <si>
    <t>71d29644-ee8a-41b6-b739-c1defcbb88b5</t>
  </si>
  <si>
    <t>2024-08-23</t>
  </si>
  <si>
    <t>3ffb8157-b359-4e72-b8d5-47c6f7cab760</t>
  </si>
  <si>
    <t>2024-04-01</t>
  </si>
  <si>
    <t>b6eb5450-e0b2-4321-b5ff-e0cce09bb21d</t>
  </si>
  <si>
    <t>2024-08-05</t>
  </si>
  <si>
    <t>0fe0264e-4f18-4309-809c-501df7c81a6a</t>
  </si>
  <si>
    <t>2024-05-14</t>
  </si>
  <si>
    <t>f01c791c-2935-4d7e-8df1-7c8a9bb0e538</t>
  </si>
  <si>
    <t>2024-12-17</t>
  </si>
  <si>
    <t>c0dbc287-cabb-431e-a006-3ccaedf82a65</t>
  </si>
  <si>
    <t>2025-02-04</t>
  </si>
  <si>
    <t>39f90945-be31-4908-b5e1-e5a01deefd4d</t>
  </si>
  <si>
    <t>2024-06-22</t>
  </si>
  <si>
    <t>78ff1300-94df-4a46-9757-e9e4660b78d1</t>
  </si>
  <si>
    <t>d91d55a2-c4b8-4852-a03d-b564d484682c</t>
  </si>
  <si>
    <t>5993a299-9157-4ba2-b14c-63d5cccffe25</t>
  </si>
  <si>
    <t>2025-01-03</t>
  </si>
  <si>
    <t>4febc070-db60-4adb-88ea-0a2d740c7cd2</t>
  </si>
  <si>
    <t>38d123d6-e914-4bb7-a3fa-57aca8b1d0ff</t>
  </si>
  <si>
    <t>59d92417-0067-4d6b-9bee-f413317f7eac</t>
  </si>
  <si>
    <t>2024-07-27</t>
  </si>
  <si>
    <t>d320a7d4-d543-4f46-8748-ecf9246550d4</t>
  </si>
  <si>
    <t>eab064e5-e3ec-40ec-8c90-890c4fadea4a</t>
  </si>
  <si>
    <t>2024-07-15</t>
  </si>
  <si>
    <t>ae8e8d1e-79ad-48c2-a16e-5a4b67c24568</t>
  </si>
  <si>
    <t>2024-10-01</t>
  </si>
  <si>
    <t>cbd11c00-1475-4fbe-afb6-3087a820b39f</t>
  </si>
  <si>
    <t>2024-06-27</t>
  </si>
  <si>
    <t>cc067bc5-ed72-48c0-8deb-258cef5ef98d</t>
  </si>
  <si>
    <t>2024-04-15</t>
  </si>
  <si>
    <t>bc5ca70e-925e-406e-8b8f-b3cae8afc36b</t>
  </si>
  <si>
    <t>2024-10-04</t>
  </si>
  <si>
    <t>246847bc-6d13-4b85-b4c9-0cc3247b2c54</t>
  </si>
  <si>
    <t>2024-08-30</t>
  </si>
  <si>
    <t>340ac4ec-1bfa-4f17-ab9b-fc31778b2f08</t>
  </si>
  <si>
    <t>cd4a54c5-197b-4dc8-984a-0c095eca22c0</t>
  </si>
  <si>
    <t>2024-12-19</t>
  </si>
  <si>
    <t>1f1dc70c-4c68-4f53-a5a1-ee41d6f146e1</t>
  </si>
  <si>
    <t>2024-04-23</t>
  </si>
  <si>
    <t>2ed002e1-f60f-4a42-a5a2-8fb18c7685a8</t>
  </si>
  <si>
    <t>2024-07-02</t>
  </si>
  <si>
    <t>f288ea78-855b-40bc-9a77-2125510427b9</t>
  </si>
  <si>
    <t>2024-11-01</t>
  </si>
  <si>
    <t>0d76e68b-11c7-45ff-9904-0adc8e05b51f</t>
  </si>
  <si>
    <t>2024-11-22</t>
  </si>
  <si>
    <t>fec6aae2-8c2f-4925-aa33-729e9de0cbc3</t>
  </si>
  <si>
    <t>27dff3d4-1865-4cf9-8de1-157ee5f583a6</t>
  </si>
  <si>
    <t>5a690547-5eb0-4636-9696-fda81db4bc5a</t>
  </si>
  <si>
    <t>2024-07-13</t>
  </si>
  <si>
    <t>7c64cc36-671f-40c6-acd6-ab8a54a9b2fe</t>
  </si>
  <si>
    <t>2024-08-27</t>
  </si>
  <si>
    <t>94df65f9-d5b5-47a4-9dbf-0046401db53e</t>
  </si>
  <si>
    <t>b7efd9b8-6c28-4938-9a74-f41ccf83e3f9</t>
  </si>
  <si>
    <t>2024-04-26</t>
  </si>
  <si>
    <t>b7ffef8e-b78a-4bfd-87f0-7a49602cb598</t>
  </si>
  <si>
    <t>815b8121-48c9-4672-a52d-aaea2664bc87</t>
  </si>
  <si>
    <t>2024-08-09</t>
  </si>
  <si>
    <t>0baab046-990a-46db-aa1b-b7bbefc7ffd7</t>
  </si>
  <si>
    <t>2024-07-22</t>
  </si>
  <si>
    <t>485dd1b2-3889-435e-a999-c3144a2fe213</t>
  </si>
  <si>
    <t>2024-12-21</t>
  </si>
  <si>
    <t>24acab12-d69a-4970-acc8-30b65f72a0d5</t>
  </si>
  <si>
    <t>d269299a-7bc5-4464-a0a2-9350d6638ed9</t>
  </si>
  <si>
    <t>2024-10-06</t>
  </si>
  <si>
    <t>a70169ff-cd34-43b5-a5d2-ce0352f827ca</t>
  </si>
  <si>
    <t>2024-06-15</t>
  </si>
  <si>
    <t>1513cab0-6581-40d9-891d-88eb4fbdccfb</t>
  </si>
  <si>
    <t>2024-06-16</t>
  </si>
  <si>
    <t>3e7fd9f1-d7e4-4b4a-a2ce-0130ddcc5e03</t>
  </si>
  <si>
    <t>ede06645-d2b3-4e20-abc1-4a786fd89c14</t>
  </si>
  <si>
    <t>2024-06-17</t>
  </si>
  <si>
    <t>06357ff2-18a4-4f0b-bf1b-cd71c99e0e81</t>
  </si>
  <si>
    <t>2024-04-17</t>
  </si>
  <si>
    <t>ec276a0a-f7d5-4aca-8131-09de0bfde4a4</t>
  </si>
  <si>
    <t>fb446f69-3e22-4492-871c-bb61c56b3278</t>
  </si>
  <si>
    <t>2024-11-24</t>
  </si>
  <si>
    <t>8b9a8b96-6f7e-4e0b-b385-23929489e005</t>
  </si>
  <si>
    <t>b576031d-a7ff-41e7-80d6-8e9e66e41931</t>
  </si>
  <si>
    <t>2025-02-20</t>
  </si>
  <si>
    <t>efbe51b5-3a81-4bd6-83e3-c2f55b119e9e</t>
  </si>
  <si>
    <t>2024-10-28</t>
  </si>
  <si>
    <t>c6134b20-e155-4d74-aee1-994290f1d202</t>
  </si>
  <si>
    <t>2025-02-16</t>
  </si>
  <si>
    <t>2dcfc30f-5578-437c-ba5a-230495fb43bb</t>
  </si>
  <si>
    <t>2024-05-15</t>
  </si>
  <si>
    <t>54c64915-398e-4f1c-8c98-673cb1b440c1</t>
  </si>
  <si>
    <t>2025-02-19</t>
  </si>
  <si>
    <t>cee521f0-29aa-4d16-b6d1-11ee3e1b6f8d</t>
  </si>
  <si>
    <t>2024-03-27</t>
  </si>
  <si>
    <t>97d59b17-299c-4bb2-aff1-7ec3096f1dcd</t>
  </si>
  <si>
    <t>546fce77-feba-4b7f-ac35-f3191fa2e9ba</t>
  </si>
  <si>
    <t>f959edb2-ad90-49e9-aad1-91c256af92a2</t>
  </si>
  <si>
    <t>2024-09-17</t>
  </si>
  <si>
    <t>16eb0b60-c15c-45f1-8465-731d36d1ce8d</t>
  </si>
  <si>
    <t>2024-07-09</t>
  </si>
  <si>
    <t>69f9b1cf-f719-4ce6-8668-f396000bd345</t>
  </si>
  <si>
    <t>2024-07-31</t>
  </si>
  <si>
    <t>584f3324-01a7-4913-aa11-659e8725d610</t>
  </si>
  <si>
    <t>2024-04-24</t>
  </si>
  <si>
    <t>b6bca141-6ebc-4475-80c0-966cb65237c0</t>
  </si>
  <si>
    <t>6a22c482-b12e-47df-9baa-2c7476155232</t>
  </si>
  <si>
    <t>2024-06-06</t>
  </si>
  <si>
    <t>aa9cbbec-04e4-4097-a7ae-2bb121f366c6</t>
  </si>
  <si>
    <t>2025-03-18</t>
  </si>
  <si>
    <t>5fc93d33-c262-4dbe-8df2-bb89d8b9b8f6</t>
  </si>
  <si>
    <t>2025-01-11</t>
  </si>
  <si>
    <t>decc5dcb-745f-457d-8e60-27e78de142e0</t>
  </si>
  <si>
    <t>f40a9a95-7f36-4f8b-a93d-f927efcbec04</t>
  </si>
  <si>
    <t>2024-08-16</t>
  </si>
  <si>
    <t>8854bac1-5744-4a35-8403-4ff9af8af9d1</t>
  </si>
  <si>
    <t>2024-06-23</t>
  </si>
  <si>
    <t>3091f743-1c47-4eae-a4a5-a06e74cb0398</t>
  </si>
  <si>
    <t>ecf04ac3-8275-4c3d-be97-8aa57ee7082a</t>
  </si>
  <si>
    <t>dcb2c77f-d3aa-4cae-b6bd-789aeb7fb6d8</t>
  </si>
  <si>
    <t>caffdb53-edf8-495c-8f89-29462a4118e9</t>
  </si>
  <si>
    <t>2024-05-08</t>
  </si>
  <si>
    <t>5a72a09b-1154-4746-9387-1c67cb85a937</t>
  </si>
  <si>
    <t>5037931c-7224-4414-b444-984a4682946a</t>
  </si>
  <si>
    <t>3b470241-823c-40fe-8fc9-ecc3fdce0993</t>
  </si>
  <si>
    <t>2024-11-15</t>
  </si>
  <si>
    <t>1b689d3d-c049-454a-97ca-870e5175425c</t>
  </si>
  <si>
    <t>2024-04-20</t>
  </si>
  <si>
    <t>9ecab6ba-cfad-4adb-a2de-41b6fbd4e55c</t>
  </si>
  <si>
    <t>d3de0038-dc0e-47d4-89e0-884e07aa578e</t>
  </si>
  <si>
    <t>2024-07-06</t>
  </si>
  <si>
    <t>9c0f7844-bfde-4997-9f4b-64b0d1796299</t>
  </si>
  <si>
    <t>2024-08-24</t>
  </si>
  <si>
    <t>5182390c-c20b-458a-999d-c56d0d358e49</t>
  </si>
  <si>
    <t>2024-04-09</t>
  </si>
  <si>
    <t>89a4c68d-1c35-4581-80ae-983ec37c7506</t>
  </si>
  <si>
    <t>c831b7f6-7ffb-4630-a5e7-874c1fe0f3e9</t>
  </si>
  <si>
    <t>19c2bfc5-3a53-464e-bb03-b8e07083d46b</t>
  </si>
  <si>
    <t>2024-08-13</t>
  </si>
  <si>
    <t>a650bf1e-ab94-4e9d-ad64-283627e48a1e</t>
  </si>
  <si>
    <t>2024-11-02</t>
  </si>
  <si>
    <t>126fda63-37bf-4a3a-bf25-5679baea702f</t>
  </si>
  <si>
    <t>2024-08-06</t>
  </si>
  <si>
    <t>4f46bb2c-e73e-4924-bd78-2e49d3f6e95c</t>
  </si>
  <si>
    <t>25abb86f-6e03-4650-9f3b-d54d9baac1d8</t>
  </si>
  <si>
    <t>d7f80161-f922-4dc5-a0ba-bed9be85239f</t>
  </si>
  <si>
    <t>72d8d1b1-eba1-4356-b18f-c9707556e68d</t>
  </si>
  <si>
    <t>36d8c61a-3d27-4c54-afb1-95d3fb3d2311</t>
  </si>
  <si>
    <t>a1f9c6c1-75ff-483f-b879-49c62c7e786c</t>
  </si>
  <si>
    <t>0e9e78ba-1239-4660-abbe-f1b965f61345</t>
  </si>
  <si>
    <t>2024-04-11</t>
  </si>
  <si>
    <t>6b82ec2e-5060-4ae2-8500-3bf42b314944</t>
  </si>
  <si>
    <t>2024-08-20</t>
  </si>
  <si>
    <t>2ec251ce-8dc0-4c1d-85a2-ecfe77cb7067</t>
  </si>
  <si>
    <t>2025-03-13</t>
  </si>
  <si>
    <t>53c92334-6238-40de-ab72-2f705d5a3382</t>
  </si>
  <si>
    <t>2025-03-10</t>
  </si>
  <si>
    <t>151dd460-1c78-4033-aab9-e5438bb57d16</t>
  </si>
  <si>
    <t>2025-02-25</t>
  </si>
  <si>
    <t>6fc392a5-b27f-4889-b029-31756a5efd8f</t>
  </si>
  <si>
    <t>2024-04-12</t>
  </si>
  <si>
    <t>a16a4874-95b4-4322-beee-90964a6cc8f2</t>
  </si>
  <si>
    <t>78918639-c4b3-4759-bfd1-ab2375026ed7</t>
  </si>
  <si>
    <t>2024-09-15</t>
  </si>
  <si>
    <t>cf01e8a7-cf45-4a74-becf-1203ff2d4aae</t>
  </si>
  <si>
    <t>c5c89def-27ae-492e-b9f7-b479b8b97ded</t>
  </si>
  <si>
    <t>845fc3c3-4d32-4b64-9b80-bc9115100914</t>
  </si>
  <si>
    <t>2024-06-19</t>
  </si>
  <si>
    <t>8eddbc28-2421-4432-81dd-e7755ae9d707</t>
  </si>
  <si>
    <t>2025-03-21</t>
  </si>
  <si>
    <t>a81e3d1b-6dfe-4e70-8bac-6011ddc14f4a</t>
  </si>
  <si>
    <t>2024-09-24</t>
  </si>
  <si>
    <t>121dc45f-1271-4afa-8d95-d745979fc9d6</t>
  </si>
  <si>
    <t>2024-10-14</t>
  </si>
  <si>
    <t>28b02891-cc71-431f-ad99-d3e86222d277</t>
  </si>
  <si>
    <t>2024-05-31</t>
  </si>
  <si>
    <t>e93bcf6b-db3b-4388-8f00-044eff373515</t>
  </si>
  <si>
    <t>2025-01-15</t>
  </si>
  <si>
    <t>a067faf9-5b3d-4944-8140-37935b6a9fe8</t>
  </si>
  <si>
    <t>2025-03-19</t>
  </si>
  <si>
    <t>e27938ee-f066-4389-ab39-41539b9b2227</t>
  </si>
  <si>
    <t>2025-03-26</t>
  </si>
  <si>
    <t>249ba4b9-3cc0-447a-b307-b1d6ee358ea6</t>
  </si>
  <si>
    <t>2024-12-30</t>
  </si>
  <si>
    <t>6bf94f44-0c99-4c6d-aa95-d1fe72367630</t>
  </si>
  <si>
    <t>2024-10-03</t>
  </si>
  <si>
    <t>b5c75ff9-a914-4813-84c2-0b750f626fa0</t>
  </si>
  <si>
    <t>04039de3-5bb6-4a8f-9ff1-736529e30c50</t>
  </si>
  <si>
    <t>135230b9-5f90-42e2-be65-b5bc10e97a25</t>
  </si>
  <si>
    <t>2024-07-03</t>
  </si>
  <si>
    <t>c4aa0d6f-143b-4e55-868b-713e2e58ef9b</t>
  </si>
  <si>
    <t>2025-01-14</t>
  </si>
  <si>
    <t>b5178b4a-e51c-4da1-8409-2e62fdf704c3</t>
  </si>
  <si>
    <t>a08f5798-d3dc-44e9-92d5-030281eaf9c4</t>
  </si>
  <si>
    <t>acbb2a9f-1642-48f7-af74-9b43fb5d7ca7</t>
  </si>
  <si>
    <t>2024-07-04</t>
  </si>
  <si>
    <t>d62cf0aa-a404-4e95-830b-9b9e93a66a21</t>
  </si>
  <si>
    <t>1c6555f5-bed4-4292-81f9-66e2ef0f66bc</t>
  </si>
  <si>
    <t>2024-10-29</t>
  </si>
  <si>
    <t>28bdbb57-5790-4911-9dea-22ac5cf7fc0f</t>
  </si>
  <si>
    <t>ea712342-6cc5-4f70-aeb7-8419350c528e</t>
  </si>
  <si>
    <t>2024-07-11</t>
  </si>
  <si>
    <t>9cba27d1-02af-4471-bb07-46c542472954</t>
  </si>
  <si>
    <t>2025-02-11</t>
  </si>
  <si>
    <t>df0ade44-8335-41bd-982b-21f4e0feac8d</t>
  </si>
  <si>
    <t>2024-08-07</t>
  </si>
  <si>
    <t>fe1ca214-7b0f-4698-a942-c6d446fb0aa8</t>
  </si>
  <si>
    <t>2025-02-01</t>
  </si>
  <si>
    <t>e76d44bd-eb92-4e12-8070-a62bfd54a182</t>
  </si>
  <si>
    <t>67241884-3d28-4eba-b35c-98da6e99d58f</t>
  </si>
  <si>
    <t>bb42fe39-6323-4336-82e0-a2ddcc0c118a</t>
  </si>
  <si>
    <t>8ff3c411-848b-445f-8370-70599d362612</t>
  </si>
  <si>
    <t>8d4b020b-b4fd-4dab-badb-63c506a24378</t>
  </si>
  <si>
    <t>2025-03-07</t>
  </si>
  <si>
    <t>1edcf703-a492-42aa-a222-0db0292521f8</t>
  </si>
  <si>
    <t>1ab11ee0-555b-43fb-bbc4-448fcea51dcf</t>
  </si>
  <si>
    <t>2024-10-25</t>
  </si>
  <si>
    <t>5e973d7c-2f80-40c8-8571-6926f199a760</t>
  </si>
  <si>
    <t>2024-10-21</t>
  </si>
  <si>
    <t>c8eb5699-6056-4052-bae4-2886cbdf744e</t>
  </si>
  <si>
    <t>29c8e050-bd4d-49f5-8990-18ae10b7fdd2</t>
  </si>
  <si>
    <t>c4858d84-4075-44dc-8220-3a5b941b9314</t>
  </si>
  <si>
    <t>2025-01-31</t>
  </si>
  <si>
    <t>c237b4f7-6e9e-4cd7-a298-6fbd02242a9d</t>
  </si>
  <si>
    <t>2024-11-28</t>
  </si>
  <si>
    <t>aa7d5d1d-9948-4d5a-8730-af9a974b5a1a</t>
  </si>
  <si>
    <t>a22b3e01-597f-417c-a734-5a33c80b0e41</t>
  </si>
  <si>
    <t>2025-02-18</t>
  </si>
  <si>
    <t>e4b5ba60-2987-40b7-8923-7dfe0a07afe7</t>
  </si>
  <si>
    <t>2024-07-16</t>
  </si>
  <si>
    <t>349c6def-c21c-47e2-92f8-620d824534cd</t>
  </si>
  <si>
    <t>2024-05-27</t>
  </si>
  <si>
    <t>96256efe-9f9f-48d1-893c-732b09f43d77</t>
  </si>
  <si>
    <t>2025-02-23</t>
  </si>
  <si>
    <t>aef7f9f9-7748-4813-9f58-ad3ec8359a76</t>
  </si>
  <si>
    <t>c7b5c068-ea71-4858-bf0b-7812b204ce54</t>
  </si>
  <si>
    <t>68aa8075-6c3b-400e-aa09-4fa7027e35b2</t>
  </si>
  <si>
    <t>85f7c92f-903b-4555-a217-ea87900f9ac7</t>
  </si>
  <si>
    <t>2025-02-05</t>
  </si>
  <si>
    <t>21945bb4-4555-4b94-8c53-6855a1900542</t>
  </si>
  <si>
    <t>2024-05-24</t>
  </si>
  <si>
    <t>10d2680d-c397-4011-9bfa-7fb8511b5d13</t>
  </si>
  <si>
    <t>11eed2b8-42db-43b2-8e0c-c64ca5d6b6e9</t>
  </si>
  <si>
    <t>2024-05-19</t>
  </si>
  <si>
    <t>e71445e3-f757-4b75-824d-a18025d4f1ce</t>
  </si>
  <si>
    <t>1d944b0e-a2b8-4fc7-84d6-eaffdb4f8648</t>
  </si>
  <si>
    <t>2025-01-23</t>
  </si>
  <si>
    <t>c4628343-f88d-4cf5-899e-3ed738ed1bf3</t>
  </si>
  <si>
    <t>2024-09-30</t>
  </si>
  <si>
    <t>798040f8-2f4f-41e4-98ec-075174158c24</t>
  </si>
  <si>
    <t>93d46abd-b10c-4c0a-9cd2-7a1b72a6df10</t>
  </si>
  <si>
    <t>2024-12-24</t>
  </si>
  <si>
    <t>eea11611-c8e8-42dd-b14b-8096d17930e3</t>
  </si>
  <si>
    <t>2024-09-04</t>
  </si>
  <si>
    <t>8c32c306-9547-41f6-9c6c-2ab7ccfd5df9</t>
  </si>
  <si>
    <t>4f34d8d2-265d-4c87-a138-a7d753c4eec8</t>
  </si>
  <si>
    <t>99f1807f-b85e-4e1d-af52-3242d8840464</t>
  </si>
  <si>
    <t>6c353d87-5be2-4154-bdd4-690949b4919b</t>
  </si>
  <si>
    <t>055b4cf8-3f7a-41cb-bb4b-6283864bf1cf</t>
  </si>
  <si>
    <t>2024-10-16</t>
  </si>
  <si>
    <t>b36b7e06-95da-496a-b4a4-355b025e4c78</t>
  </si>
  <si>
    <t>2024-10-13</t>
  </si>
  <si>
    <t>d7931c68-83b8-42f0-b85e-51b3071e3e01</t>
  </si>
  <si>
    <t>2024-06-18</t>
  </si>
  <si>
    <t>f51259d7-bc27-4d17-8300-f614f5ada2e4</t>
  </si>
  <si>
    <t>18710a08-7456-47cb-9338-2d22722f6a67</t>
  </si>
  <si>
    <t>2024-10-07</t>
  </si>
  <si>
    <t>13c0e4c7-9314-403f-983a-2bf6ec3cd6c8</t>
  </si>
  <si>
    <t>12c7d952-0f08-490f-b121-522d2958c46e</t>
  </si>
  <si>
    <t>2024-09-09</t>
  </si>
  <si>
    <t>d3465d83-3183-4de0-824a-898c3588aeaf</t>
  </si>
  <si>
    <t>67f09fc0-a987-44ce-80be-d474d7103078</t>
  </si>
  <si>
    <t>2024-08-10</t>
  </si>
  <si>
    <t>3e73598f-99a5-4189-80b0-5dc30672ef71</t>
  </si>
  <si>
    <t>dbd44c38-ae4c-402c-9ca4-8a957273bc1f</t>
  </si>
  <si>
    <t>7a3808f7-33e8-411e-b216-92c7f4f29e6b</t>
  </si>
  <si>
    <t>66e18795-4f89-4afb-a0e6-31a4eb228917</t>
  </si>
  <si>
    <t>2025-03-01</t>
  </si>
  <si>
    <t>a7b4e797-4a95-4e25-bd94-cccd3169d2a2</t>
  </si>
  <si>
    <t>2025-02-28</t>
  </si>
  <si>
    <t>86c00be7-38f3-4374-a496-2e8fe8c76f32</t>
  </si>
  <si>
    <t>2025-03-17</t>
  </si>
  <si>
    <t>4decdad0-d6de-4aaa-8956-a8e5bf7eaf10</t>
  </si>
  <si>
    <t>2024-08-11</t>
  </si>
  <si>
    <t>416303ea-ab94-40cf-aa17-5be206f8c586</t>
  </si>
  <si>
    <t>2025-01-30</t>
  </si>
  <si>
    <t>cc24421c-42e9-4c03-a02f-df8bec6e1b39</t>
  </si>
  <si>
    <t>2024-11-07</t>
  </si>
  <si>
    <t>78f5c6af-da3b-4f20-9428-5a518979298e</t>
  </si>
  <si>
    <t>6be3b336-1d73-49d0-a90c-4c1e10731ced</t>
  </si>
  <si>
    <t>2024-10-08</t>
  </si>
  <si>
    <t>9effd0f9-bb2b-48d2-aa83-fd03c836682a</t>
  </si>
  <si>
    <t>e92e6c3f-5f06-4f5e-b674-89c954893d59</t>
  </si>
  <si>
    <t>2024-12-01</t>
  </si>
  <si>
    <t>200d40c9-4ee3-4f24-8b91-6c2d0d56c0a0</t>
  </si>
  <si>
    <t>2024-06-28</t>
  </si>
  <si>
    <t>23e7647d-c5e6-4a81-bd6f-e54e3b0cffe5</t>
  </si>
  <si>
    <t>a486f905-07c4-49ba-b349-40cfec15aec2</t>
  </si>
  <si>
    <t>2025-03-16</t>
  </si>
  <si>
    <t>49dd5d09-9eaa-4760-a60b-33c73c5c16b4</t>
  </si>
  <si>
    <t>2024-10-30</t>
  </si>
  <si>
    <t>2424cddd-b872-41ee-882c-6c734ce69052</t>
  </si>
  <si>
    <t>2024-09-14</t>
  </si>
  <si>
    <t>aee6e354-476b-48a1-9be9-380549e4887e</t>
  </si>
  <si>
    <t>ae6e52f9-c4d7-485c-956b-023bed62e563</t>
  </si>
  <si>
    <t>2024-04-19</t>
  </si>
  <si>
    <t>10d5eeaa-cdb0-4ef4-9ccc-e6db3ab7019c</t>
  </si>
  <si>
    <t>79ce73e1-01c6-4e7b-a82e-df9fa70678ac</t>
  </si>
  <si>
    <t>9a5fe8ac-5cf5-4754-9964-fc7889cdd06f</t>
  </si>
  <si>
    <t>0ed5db01-9d19-4bdd-8ba5-e8d266c5e2e8</t>
  </si>
  <si>
    <t>2024-07-08</t>
  </si>
  <si>
    <t>c7a975b6-bd8b-42f7-a60e-d0bca2c87f26</t>
  </si>
  <si>
    <t>2024-05-28</t>
  </si>
  <si>
    <t>00adc675-d125-4deb-8bee-b7db294be748</t>
  </si>
  <si>
    <t>13149cc1-5529-4857-80dd-a7d4d028e80c</t>
  </si>
  <si>
    <t>2024-12-09</t>
  </si>
  <si>
    <t>898866ba-5842-4fda-b25a-5995e5dbea26</t>
  </si>
  <si>
    <t>607aa4f4-3d1d-4d13-b3c3-b25efc29ae1c</t>
  </si>
  <si>
    <t>2024-09-11</t>
  </si>
  <si>
    <t>8f7e28d0-669b-4201-8e42-88992862a7e4</t>
  </si>
  <si>
    <t>22f7973b-cdcd-411e-9cdf-b9356bf99d66</t>
  </si>
  <si>
    <t>2024-11-06</t>
  </si>
  <si>
    <t>2bc225bd-6d19-4206-9d87-0534462765d4</t>
  </si>
  <si>
    <t>2025-03-11</t>
  </si>
  <si>
    <t>42888ee5-a772-4040-9114-8a39ba066812</t>
  </si>
  <si>
    <t>2025-01-22</t>
  </si>
  <si>
    <t>80c1d209-d53d-4399-9939-5066d07fe1f3</t>
  </si>
  <si>
    <t>3f891cd2-1592-4309-b44d-b6f71511b25f</t>
  </si>
  <si>
    <t>397c2c12-2b11-4384-bdd2-3ae48962b7b0</t>
  </si>
  <si>
    <t>5fedfd08-f863-480c-81d6-b62ef3ac149e</t>
  </si>
  <si>
    <t>2024-08-26</t>
  </si>
  <si>
    <t>fe0b19e4-c57d-4676-806f-d77358343ec5</t>
  </si>
  <si>
    <t>2024-06-14</t>
  </si>
  <si>
    <t>6e2d7924-b19f-4402-b9d5-c36463873b17</t>
  </si>
  <si>
    <t>2024-11-10</t>
  </si>
  <si>
    <t>342bab6b-c9d6-4baf-a231-2f9d87b89518</t>
  </si>
  <si>
    <t>2d1ddf61-3ebe-421f-81a3-f4c7dbe5e4e3</t>
  </si>
  <si>
    <t>2025-01-17</t>
  </si>
  <si>
    <t>1b6ad33b-b84b-48fa-9610-8d28bc715cb0</t>
  </si>
  <si>
    <t>a757bbe0-5923-4ef9-ab6d-3cbff1774f19</t>
  </si>
  <si>
    <t>2024-10-02</t>
  </si>
  <si>
    <t>4e24153d-4e82-4ffb-ba94-81a32acbfe2a</t>
  </si>
  <si>
    <t>0fd55d87-6cb7-49ee-a291-df19ea1c0143</t>
  </si>
  <si>
    <t>55af2bbe-a04b-417d-a1cb-904e264036b1</t>
  </si>
  <si>
    <t>2024-11-25</t>
  </si>
  <si>
    <t>51d58bc2-ffdb-4f4b-a6e9-df369d1634d2</t>
  </si>
  <si>
    <t>31e6c4b4-73ff-404a-9e35-fd082c5a5c91</t>
  </si>
  <si>
    <t>c3b21ecb-63c0-4f5e-9626-25a9be38bb32</t>
  </si>
  <si>
    <t>c6f1a83e-6b55-47a1-b3f1-f7212a758fb6</t>
  </si>
  <si>
    <t>2024-12-31</t>
  </si>
  <si>
    <t>95d29376-8d68-479e-9aeb-f94dbceb7c16</t>
  </si>
  <si>
    <t>2024-06-21</t>
  </si>
  <si>
    <t>5a3dd640-e365-4bc8-ac74-45e585cf263e</t>
  </si>
  <si>
    <t>bc7aac80-98e9-4b69-a6ea-c7e3ac782600</t>
  </si>
  <si>
    <t>5fd3090f-8d75-4648-b7d1-61ce4f639d20</t>
  </si>
  <si>
    <t>2024-05-25</t>
  </si>
  <si>
    <t>e44fe4d5-073e-4169-8310-3f6cb0f38f6e</t>
  </si>
  <si>
    <t>657f244a-4e89-49c6-a755-0f89fb3010f1</t>
  </si>
  <si>
    <t>08426aee-44e3-497f-9bdd-7147f2c8c196</t>
  </si>
  <si>
    <t>d04f02ac-c811-4047-a52b-c3b407dfc211</t>
  </si>
  <si>
    <t>37cc834b-5a00-4ba5-a938-cbcb521984fe</t>
  </si>
  <si>
    <t>16bfbe47-8b4c-4e8c-bcbe-98edde060915</t>
  </si>
  <si>
    <t>0fd42f7b-2a6d-46b0-86dc-431fd7ad50ac</t>
  </si>
  <si>
    <t>2024-09-25</t>
  </si>
  <si>
    <t>0c5fe39d-496e-4154-a08a-dce6048b7a17</t>
  </si>
  <si>
    <t>2025-02-15</t>
  </si>
  <si>
    <t>f136a07e-07e5-4a03-8a33-8a568cc02282</t>
  </si>
  <si>
    <t>5b142b21-213a-4e3c-8d0d-61f67ac31c2f</t>
  </si>
  <si>
    <t>afac6bf3-f1a9-4197-a66e-a152b557a3b0</t>
  </si>
  <si>
    <t>9f0d6afa-ca78-4bd2-935c-9e256a06c150</t>
  </si>
  <si>
    <t>220cb6cf-6179-42d8-8ba1-ea07c5623870</t>
  </si>
  <si>
    <t>4f8dba7b-8b4a-4773-aecd-3ad4ecfecf0a</t>
  </si>
  <si>
    <t>783d294a-96fa-4877-a6ae-e801d82d7a9e</t>
  </si>
  <si>
    <t>d45f6c96-07aa-449d-bb68-4d0ed60a9419</t>
  </si>
  <si>
    <t>2024-06-09</t>
  </si>
  <si>
    <t>bbddd2cd-42dd-48c2-9a77-f3a07736b02b</t>
  </si>
  <si>
    <t>9ec13166-e5c7-4d8c-9350-d589255c1fc9</t>
  </si>
  <si>
    <t>417a2f17-36fe-45d0-8616-37a6036e719a</t>
  </si>
  <si>
    <t>2024-05-17</t>
  </si>
  <si>
    <t>376a677c-8f9c-4175-b5bf-318453ed6145</t>
  </si>
  <si>
    <t>6d495ab9-439f-40aa-b4f9-7582f85c95fd</t>
  </si>
  <si>
    <t>4df182fc-996b-4153-a13c-5fadf0fdc8a1</t>
  </si>
  <si>
    <t>6c9ecb67-79e7-4991-8ef2-17af5a1adfb5</t>
  </si>
  <si>
    <t>fd3dac3a-9e9c-46d7-919c-dabd25a82441</t>
  </si>
  <si>
    <t>97fa9833-65b8-4ece-923d-6dd4dad6be16</t>
  </si>
  <si>
    <t>2024-03-31</t>
  </si>
  <si>
    <t>c43236ec-080f-4777-89f4-b572e64e7482</t>
  </si>
  <si>
    <t>2024-12-12</t>
  </si>
  <si>
    <t>5016420d-a62b-4aa5-92f0-b4ebde0c6670</t>
  </si>
  <si>
    <t>2024-11-21</t>
  </si>
  <si>
    <t>6fcd9280-3e2e-4301-8fd9-31c4617fb51c</t>
  </si>
  <si>
    <t>b5c39820-d067-4815-93fc-e7e05a6ef8d2</t>
  </si>
  <si>
    <t>24ff8436-f98c-48af-be07-253d90f4c8b5</t>
  </si>
  <si>
    <t>3c3fbd74-4f0b-4aff-97ab-783466f7c750</t>
  </si>
  <si>
    <t>470f10ac-c575-47f5-a811-8a2e385e361d</t>
  </si>
  <si>
    <t>26d9d546-73d3-4b99-bdd4-f0945469dc7c</t>
  </si>
  <si>
    <t>a850a6d3-b783-44ce-9228-0f3bdf192f09</t>
  </si>
  <si>
    <t>2024-07-24</t>
  </si>
  <si>
    <t>30ce20c3-c5fa-4674-a77c-c5b9b67e6161</t>
  </si>
  <si>
    <t>00c71314-3a44-4430-8572-40b019ab5c69</t>
  </si>
  <si>
    <t>bffcee1b-aa5d-48b6-951d-7b56c282929a</t>
  </si>
  <si>
    <t>2025-02-10</t>
  </si>
  <si>
    <t>023789a3-811e-4206-9574-a761b0f9ed40</t>
  </si>
  <si>
    <t>2024-08-25</t>
  </si>
  <si>
    <t>74406658-08a0-4402-89ab-1035d5833d00</t>
  </si>
  <si>
    <t>2024-05-09</t>
  </si>
  <si>
    <t>ebe36f2c-c365-4c0b-9994-323670c98e08</t>
  </si>
  <si>
    <t>2025-01-12</t>
  </si>
  <si>
    <t>f76f37af-5eba-40d3-a2fb-f23d235e89f6</t>
  </si>
  <si>
    <t>4e790336-0545-4015-b8d3-ac4d78eaddc3</t>
  </si>
  <si>
    <t>7234b87a-cf88-4c69-b877-e78c56db0637</t>
  </si>
  <si>
    <t>2025-01-09</t>
  </si>
  <si>
    <t>055de305-bc98-4652-af33-bc8f76778913</t>
  </si>
  <si>
    <t>ecb08676-2553-46e4-b031-096965fe0d48</t>
  </si>
  <si>
    <t>d0eb75b3-21ed-4d0d-ba21-bde0c1129491</t>
  </si>
  <si>
    <t>2024-09-02</t>
  </si>
  <si>
    <t>84fdef78-c9f6-46f6-a504-0384ca907c4a</t>
  </si>
  <si>
    <t>6508fedf-94d5-4e0d-9bde-f129e568ad91</t>
  </si>
  <si>
    <t>739cc263-9e9d-4329-bb2f-b9da61512680</t>
  </si>
  <si>
    <t>283f7458-9290-4122-b568-5354c2286618</t>
  </si>
  <si>
    <t>21889635-7849-43ac-a289-87cab022abb9</t>
  </si>
  <si>
    <t>875d7cd1-b750-4b53-ac8f-f131479dbc39</t>
  </si>
  <si>
    <t>180b18bf-8c5a-4e8c-8ac4-cba98939b6a5</t>
  </si>
  <si>
    <t>2025-01-28</t>
  </si>
  <si>
    <t>0c8b9c20-8fc2-47a6-8f8e-0474c35a84c7</t>
  </si>
  <si>
    <t>d1a0da5b-71eb-4283-a095-f3c5a4b4cce6</t>
  </si>
  <si>
    <t>2024-12-20</t>
  </si>
  <si>
    <t>759c6212-8a12-4454-b7b5-95b139ce2fc1</t>
  </si>
  <si>
    <t>15d189b4-628a-4332-b991-ec24bcf4cf39</t>
  </si>
  <si>
    <t>13b56da1-b4a1-4082-8457-39193b58ed38</t>
  </si>
  <si>
    <t>26b74880-c1fb-4157-820c-ea3f96ad5781</t>
  </si>
  <si>
    <t>162c4b79-50db-470d-be22-c683ff07fe9c</t>
  </si>
  <si>
    <t>25742766-2a8e-4fe2-b2f4-73c0065e7d20</t>
  </si>
  <si>
    <t>2493a11a-22b6-42a8-abb3-c3a844e42e78</t>
  </si>
  <si>
    <t>2024-09-23</t>
  </si>
  <si>
    <t>5cc6082c-c67d-4578-b86f-d707761a6541</t>
  </si>
  <si>
    <t>5f03338c-9be9-4d56-81dd-0d8f216372d7</t>
  </si>
  <si>
    <t>a4c2157e-16ef-433a-a337-a21cd4802706</t>
  </si>
  <si>
    <t>04305ec1-21e6-4661-8a33-2d953935da76</t>
  </si>
  <si>
    <t>2024-12-10</t>
  </si>
  <si>
    <t>428f1dd9-a7e4-4571-9ac1-95688d8bec82</t>
  </si>
  <si>
    <t>7ec9c3f1-9be1-4002-8aab-cf894ca95014</t>
  </si>
  <si>
    <t>2024-09-20</t>
  </si>
  <si>
    <t>b1026999-8e84-4374-8945-d40fdf7a37e6</t>
  </si>
  <si>
    <t>e8b5532a-4573-48fd-9f67-e0ccd5f19c93</t>
  </si>
  <si>
    <t>c6c989ab-654f-4eb6-8c24-0e267f1cd26d</t>
  </si>
  <si>
    <t>c1a980fc-b1cf-4d9c-8c2a-0d24b05bf90b</t>
  </si>
  <si>
    <t>b79f8ed1-1121-4209-8077-70c062503e00</t>
  </si>
  <si>
    <t>4653b361-321b-47a0-bb02-bfd03d850ea6</t>
  </si>
  <si>
    <t>166040e0-cef7-4d8a-833b-7cb973cc7147</t>
  </si>
  <si>
    <t>320fdcc0-8b29-4e25-9bb8-c4ac657e7c66</t>
  </si>
  <si>
    <t>3dac0bfd-6eac-4006-b844-62e023e085df</t>
  </si>
  <si>
    <t>2024-12-15</t>
  </si>
  <si>
    <t>d36549e8-5205-4804-ac1c-fea6394b7898</t>
  </si>
  <si>
    <t>0c22c4a8-f7d4-444f-8b66-1c7d8b56f35d</t>
  </si>
  <si>
    <t>2024-06-07</t>
  </si>
  <si>
    <t>5ebaee64-6b3e-48f7-a0a8-6920dae6be38</t>
  </si>
  <si>
    <t>2024-04-14</t>
  </si>
  <si>
    <t>bee7f3fb-e68d-4f87-a26b-c56460c24c87</t>
  </si>
  <si>
    <t>2024-09-13</t>
  </si>
  <si>
    <t>963971b0-0dbe-406c-8541-83ff62716906</t>
  </si>
  <si>
    <t>0fc3c290-08a1-44ea-9b2a-6361d17afd49</t>
  </si>
  <si>
    <t>f8e5080d-58fe-44a0-ad57-47db0ebc28f9</t>
  </si>
  <si>
    <t>634a9e24-f99b-4c81-b968-e04146537cda</t>
  </si>
  <si>
    <t>6a2d8519-fc5f-48c9-a375-68e7dbca2c2d</t>
  </si>
  <si>
    <t>2024-03-30</t>
  </si>
  <si>
    <t>d04b215b-a258-4262-b57a-142b1f3a1dc0</t>
  </si>
  <si>
    <t>c830775d-fdb9-4fba-bd7c-c857850c9545</t>
  </si>
  <si>
    <t>f105de0a-9119-4291-85c0-efeeb618d2fb</t>
  </si>
  <si>
    <t>b35e8e2a-a62b-4137-ae13-0aadd73f34fe</t>
  </si>
  <si>
    <t>bae8e3a2-e685-4581-aa83-fc5da80e6a6d</t>
  </si>
  <si>
    <t>b66a5f41-f66c-441e-96e0-a6e100c29fd3</t>
  </si>
  <si>
    <t>f4a3ebf1-e726-46b3-b346-b56f2820a762</t>
  </si>
  <si>
    <t>e91410b6-02c9-4a52-936c-2da4c0bdefb5</t>
  </si>
  <si>
    <t>8336c841-f722-4c3c-821a-9a12aaa85bee</t>
  </si>
  <si>
    <t>2024-09-05</t>
  </si>
  <si>
    <t>4f7bde93-b94b-4af3-9cc8-035c0bfb2ed4</t>
  </si>
  <si>
    <t>36b5cbda-ce58-48b7-badc-9b01bf07bb69</t>
  </si>
  <si>
    <t>2024-04-06</t>
  </si>
  <si>
    <t>eb785e83-b0ba-49d1-aa98-6e89bfccde33</t>
  </si>
  <si>
    <t>14e99172-7913-4752-8a98-7ea839e1d920</t>
  </si>
  <si>
    <t>9d837bd6-7e6a-4bd3-bbd0-057211adbfa8</t>
  </si>
  <si>
    <t>c90a89dd-6a46-4c84-91b8-285cf9bb2bf0</t>
  </si>
  <si>
    <t>9ec461c0-b476-4f95-82b7-1e4da37f634d</t>
  </si>
  <si>
    <t>2024-09-26</t>
  </si>
  <si>
    <t>21730938-7939-49cc-a0e5-ad04435a1738</t>
  </si>
  <si>
    <t>d8e3afb2-6a49-431c-bf8f-455fa11c1f78</t>
  </si>
  <si>
    <t>2025-01-08</t>
  </si>
  <si>
    <t>fc10a554-8883-443f-8c26-14fbf03b3c59</t>
  </si>
  <si>
    <t>b7616a37-9af2-4d29-b434-49064193aa7e</t>
  </si>
  <si>
    <t>400c6cdf-9ca5-4881-a072-b2ea1b5bb091</t>
  </si>
  <si>
    <t>4415db36-ece4-495e-816f-d060713352d7</t>
  </si>
  <si>
    <t>3f21b05d-8445-42ee-96d3-3a5bc26a3e71</t>
  </si>
  <si>
    <t>be6a6d45-d5de-4ded-b37b-5e561c554d02</t>
  </si>
  <si>
    <t>2025-01-04</t>
  </si>
  <si>
    <t>2b378485-9781-4f33-a311-3c91d23d7b12</t>
  </si>
  <si>
    <t>2024-05-10</t>
  </si>
  <si>
    <t>a9e07945-f40e-43b4-9fcb-b7f0b9b8928d</t>
  </si>
  <si>
    <t>2024-04-18</t>
  </si>
  <si>
    <t>d6dba64c-a5bb-4209-a169-eade6b128cc8</t>
  </si>
  <si>
    <t>966f8b11-ce11-4a2a-a4c5-e8e149c931b3</t>
  </si>
  <si>
    <t>7f8159b9-3180-4759-9fc3-17412f4a58cc</t>
  </si>
  <si>
    <t>84aff56b-389e-44b7-8211-ecdb46a0c0f4</t>
  </si>
  <si>
    <t>6bb2938d-6b16-4782-af7d-aa8ef6e636d1</t>
  </si>
  <si>
    <t>2024-09-01</t>
  </si>
  <si>
    <t>0d5c0c69-eb6e-4c7e-9d20-7bd1b9623ea9</t>
  </si>
  <si>
    <t>335c3627-62ed-40b7-bf80-63d2032b441e</t>
  </si>
  <si>
    <t>2024-04-04</t>
  </si>
  <si>
    <t>4f217faa-305e-4945-a3dc-ac357f40194b</t>
  </si>
  <si>
    <t>fb3b2bb5-6eb1-4752-a32a-7c3eeea5f3bf</t>
  </si>
  <si>
    <t>733576d8-5b62-4169-8687-a7800b40acbd</t>
  </si>
  <si>
    <t>cf890675-e53b-411e-8775-161312f89de1</t>
  </si>
  <si>
    <t>4d480a8e-c6e4-42d8-b617-d659a535f67c</t>
  </si>
  <si>
    <t>4bdf2513-e541-4d2a-a980-6319a19920f2</t>
  </si>
  <si>
    <t>189dd37a-31ab-4546-bcb9-b4e58e4cc022</t>
  </si>
  <si>
    <t>13706152-b363-44d6-a360-f90f05a549a5</t>
  </si>
  <si>
    <t>33708c9c-0baf-417d-801e-3c55ad2bf2fe</t>
  </si>
  <si>
    <t>9dd6e3ba-29d2-41cb-bbad-b8f29a396290</t>
  </si>
  <si>
    <t>2024-04-13</t>
  </si>
  <si>
    <t>9b1a3b69-ee6d-4ea6-b9b9-35945c486862</t>
  </si>
  <si>
    <t>2024-12-02</t>
  </si>
  <si>
    <t>c6b0feae-1f6b-48bd-b307-cad307d28b0f</t>
  </si>
  <si>
    <t>2024-12-08</t>
  </si>
  <si>
    <t>aa5f2daf-1f67-435c-8b11-fea419248e74</t>
  </si>
  <si>
    <t>64cc963d-a866-4835-ac8e-8ac974201d03</t>
  </si>
  <si>
    <t>d953c287-d054-4008-9af8-c9b08936cc5e</t>
  </si>
  <si>
    <t>6c1d2179-b49f-42fa-974b-6f889f126f83</t>
  </si>
  <si>
    <t>2024-05-03</t>
  </si>
  <si>
    <t>396eb1d7-2ae8-4ba1-965e-54755ea81883</t>
  </si>
  <si>
    <t>8646b416-24dd-4afb-a106-d45facc127a4</t>
  </si>
  <si>
    <t>eed097e3-1ff0-4d33-af75-2cf707f7edbe</t>
  </si>
  <si>
    <t>8c54363c-aa76-4b4e-9056-270df054f052</t>
  </si>
  <si>
    <t>90d5a7d1-661b-4606-800d-4b297f492543</t>
  </si>
  <si>
    <t>2024-08-12</t>
  </si>
  <si>
    <t>753902bf-ea15-495e-9eb9-b55708fe42aa</t>
  </si>
  <si>
    <t>9e8bc170-3038-4c0d-a785-e3ba37c377d9</t>
  </si>
  <si>
    <t>dc1f96b8-fc2b-43fb-91ca-a5a2306ea5e9</t>
  </si>
  <si>
    <t>6485afbb-933d-4ae4-944a-26b52856b69f</t>
  </si>
  <si>
    <t>49b36a40-e02a-4bc5-b808-b45b2f9bda6d</t>
  </si>
  <si>
    <t>3745d7c0-8f78-4276-af85-871d774bc054</t>
  </si>
  <si>
    <t>6fdf44fb-ca16-4d23-9607-e37ce80229fb</t>
  </si>
  <si>
    <t>50510d8b-2f33-42f4-a0de-bf1d34e7baa6</t>
  </si>
  <si>
    <t>22b8ac0a-0bb9-4362-9b4c-437ff2dc62b9</t>
  </si>
  <si>
    <t>8518e67f-958e-40a5-8a29-238ecd210dd0</t>
  </si>
  <si>
    <t>75df50bd-6308-432d-9371-34ff52a27253</t>
  </si>
  <si>
    <t>ddd80a53-e814-43d9-9c8b-84aa739d3b31</t>
  </si>
  <si>
    <t>c4ab6bb5-4b6d-4421-8719-05ef16c2556a</t>
  </si>
  <si>
    <t>05d0d286-2de1-41d1-ba66-e3d0d38db5e6</t>
  </si>
  <si>
    <t>2024-11-14</t>
  </si>
  <si>
    <t>234dfd5e-05af-418c-a82a-0fa98f144757</t>
  </si>
  <si>
    <t>492e308f-1a06-48ea-ac1f-5d5001753beb</t>
  </si>
  <si>
    <t>69542273-4956-46ff-a4fb-2022d181bed2</t>
  </si>
  <si>
    <t>2024-06-04</t>
  </si>
  <si>
    <t>39e563fd-89e2-46e3-ad55-1c1bd40b9828</t>
  </si>
  <si>
    <t>c15d4611-2bbe-462e-a595-745c6055b9ad</t>
  </si>
  <si>
    <t>720eb248-24f5-4fdd-bc8c-c45c52cb6fc2</t>
  </si>
  <si>
    <t>a9a30bb2-41c3-4f55-b253-0cc9c4e0b78c</t>
  </si>
  <si>
    <t>feeb3dcd-1578-41de-8035-ecce3cae36a2</t>
  </si>
  <si>
    <t>e83a4a8f-3008-44bb-b6fc-c036451ef4ce</t>
  </si>
  <si>
    <t>ea9ffd64-11f1-4caa-9ad0-8eb1875e7ed8</t>
  </si>
  <si>
    <t>2168116f-f3ee-4da3-b2cd-43d2a84dd7ff</t>
  </si>
  <si>
    <t>13219bc6-84f5-4227-aa92-cf6b803510db</t>
  </si>
  <si>
    <t>8534aefc-ba75-435f-855e-b60489809595</t>
  </si>
  <si>
    <t>2024-06-20</t>
  </si>
  <si>
    <t>544605c5-ae0f-4c05-9e40-5b9ba9dae450</t>
  </si>
  <si>
    <t>13f42adf-548a-4158-8395-cec2285da022</t>
  </si>
  <si>
    <t>551f5024-a0f6-4ee6-9e91-0e64fc443d8b</t>
  </si>
  <si>
    <t>d996d48e-eb24-4c02-a4a8-45bad452beb2</t>
  </si>
  <si>
    <t>2024-07-19</t>
  </si>
  <si>
    <t>95fe685c-651c-472b-b037-48cf5147df46</t>
  </si>
  <si>
    <t>7c2fac43-bd51-42e5-941f-dbce8373443e</t>
  </si>
  <si>
    <t>e482af17-6968-4cc2-8214-edffbd172beb</t>
  </si>
  <si>
    <t>170d37f3-866c-49b0-9272-1906d11b1f25</t>
  </si>
  <si>
    <t>8a20ccfb-108f-4d91-92a4-e8bc38e6a9b9</t>
  </si>
  <si>
    <t>56c48d9c-fada-48eb-bef4-2e17c5c5f382</t>
  </si>
  <si>
    <t>2024-09-07</t>
  </si>
  <si>
    <t>1d7e0ccb-c8a2-43ac-b496-6c92ef780183</t>
  </si>
  <si>
    <t>dd1cde33-3627-45de-b161-a9c83a61d848</t>
  </si>
  <si>
    <t>7bbdc6c6-797a-4201-a7e6-f52a75ee16cf</t>
  </si>
  <si>
    <t>92ed29a7-06ae-4883-b218-16c7dab36eff</t>
  </si>
  <si>
    <t>f7e90235-fabf-4176-9e38-035459954126</t>
  </si>
  <si>
    <t>2024-09-10</t>
  </si>
  <si>
    <t>37089337-8bae-4a2a-b875-dea8777bacfb</t>
  </si>
  <si>
    <t>22337fa0-abd8-4a2b-a4c1-6523785be3a9</t>
  </si>
  <si>
    <t>d430c7db-bb69-4dc3-a8ae-f5a62d90c1d1</t>
  </si>
  <si>
    <t>71e1df9e-d826-4ae4-8f98-b014731cc2cc</t>
  </si>
  <si>
    <t>1766dcbc-02cf-49d7-bb48-982e4fa8eba9</t>
  </si>
  <si>
    <t>6ebbbfc9-c629-47b1-9c1d-55f48d3dadd5</t>
  </si>
  <si>
    <t>4c6a7631-06c7-443c-94f1-4524666824ad</t>
  </si>
  <si>
    <t>ff44c771-27a7-4a50-ac1d-3347ab87c27f</t>
  </si>
  <si>
    <t>8c35f137-7a4d-4d42-b166-ee4e68616dd6</t>
  </si>
  <si>
    <t>61705439-eaf6-4414-ba52-d223d62676d9</t>
  </si>
  <si>
    <t>02c66ef8-04fc-4dc3-abfd-fc7257b75e83</t>
  </si>
  <si>
    <t>781282af-527c-43b2-8e1c-47073272ae64</t>
  </si>
  <si>
    <t>e50a5719-7760-4e45-91a5-aacaf67d1c42</t>
  </si>
  <si>
    <t>2024-08-31</t>
  </si>
  <si>
    <t>5d943e0e-c431-42c4-aff7-f5e2feedb7ef</t>
  </si>
  <si>
    <t>403432f2-f834-4cbc-8b59-ff116cd734a8</t>
  </si>
  <si>
    <t>f2f6c064-182d-42d9-8cc2-1338244c9a7a</t>
  </si>
  <si>
    <t>ed84bc95-5b72-4bc1-a2f3-8f09187aa9f6</t>
  </si>
  <si>
    <t>b45596d7-d572-42a9-87fe-84bd4aab0f0e</t>
  </si>
  <si>
    <t>16c3a16b-0797-4a59-9053-35f4453fecbb</t>
  </si>
  <si>
    <t>2025-01-20</t>
  </si>
  <si>
    <t>7890a9c8-5dbb-4347-8aae-5fa1a55eb3a5</t>
  </si>
  <si>
    <t>b45bc8fc-4a60-4838-ae11-6bcbeba98380</t>
  </si>
  <si>
    <t>b9aa1d0d-0348-4bc2-815d-2f65b91fae35</t>
  </si>
  <si>
    <t>2025-01-16</t>
  </si>
  <si>
    <t>72b8acab-b2a1-418d-9f7a-87e93a0e5e2a</t>
  </si>
  <si>
    <t>7a8dc954-7095-407c-99ae-bb027407a9b7</t>
  </si>
  <si>
    <t>eaf80edb-ff54-4a72-bd3e-a2507d731753</t>
  </si>
  <si>
    <t>78ddc1dd-bb69-4809-8448-b736cff428ec</t>
  </si>
  <si>
    <t>f7fd4d3e-7fc6-4ea1-bc53-1ee3b8d2cffc</t>
  </si>
  <si>
    <t>01bd55b9-8852-46e9-a4d9-404ab46a2e1c</t>
  </si>
  <si>
    <t>2024-11-03</t>
  </si>
  <si>
    <t>f364bd25-0704-4aaf-a756-f690a4c47ab5</t>
  </si>
  <si>
    <t>1dfbdc60-6ace-4988-8882-b57641320afd</t>
  </si>
  <si>
    <t>16f81644-368e-43ad-bb0d-87f7dac7a260</t>
  </si>
  <si>
    <t>f9dfb84a-9e68-48ef-89e8-0ee73b6289c6</t>
  </si>
  <si>
    <t>2f827b83-1eac-430b-ae56-f654829d471b</t>
  </si>
  <si>
    <t>a1f9a29b-752c-4cac-9ac3-e117a4ec2654</t>
  </si>
  <si>
    <t>c7a039ad-9304-4413-9c6d-d1ca56ed97c8</t>
  </si>
  <si>
    <t>2024-09-19</t>
  </si>
  <si>
    <t>f6258b5c-1ccf-4320-be39-4689adff702c</t>
  </si>
  <si>
    <t>0f64e3db-6f64-4c19-8f1c-eb98235a7d10</t>
  </si>
  <si>
    <t>d2211cdd-c2b8-476d-9855-4e6e31854b22</t>
  </si>
  <si>
    <t>711f4c2e-3b5f-409a-b1ff-5f6ce4a19088</t>
  </si>
  <si>
    <t>74819316-8a17-4871-bf88-f197d3a0b731</t>
  </si>
  <si>
    <t>0f8a26d6-2f79-4d87-827f-6d1af929f72a</t>
  </si>
  <si>
    <t>83782f38-84c7-49da-896f-60c8cec863a7</t>
  </si>
  <si>
    <t>97dcc836-3523-4426-b45a-e4d1a6a79fb0</t>
  </si>
  <si>
    <t>91657511-8965-4fc9-8387-88fb1d2b98b1</t>
  </si>
  <si>
    <t>7b46e882-7e18-4e80-b836-a50b9f90f59e</t>
  </si>
  <si>
    <t>329fbe1c-857e-430f-bdc6-cac0480de76d</t>
  </si>
  <si>
    <t>a5ebf711-2cdd-4dc6-8ed7-ec6dd3dbc652</t>
  </si>
  <si>
    <t>91c1e36c-8dac-42c0-a545-4e15ba50e3b1</t>
  </si>
  <si>
    <t>5757577e-f462-4a2b-85f5-33534427df71</t>
  </si>
  <si>
    <t>d3883870-e131-4377-a41f-186434b2a2f8</t>
  </si>
  <si>
    <t>af5be90e-7819-409d-9a24-51cca3107f19</t>
  </si>
  <si>
    <t>7f7d2bc7-7fdf-4129-b4c7-d11b6c22ac2e</t>
  </si>
  <si>
    <t>17e63a13-4be3-4ba0-8399-d05b264663e6</t>
  </si>
  <si>
    <t>2024-05-18</t>
  </si>
  <si>
    <t>b95ab515-a567-4109-8644-34de4fb64359</t>
  </si>
  <si>
    <t>edf15c33-2c24-4b17-90c5-0bc0f1bd74ec</t>
  </si>
  <si>
    <t>2024-05-21</t>
  </si>
  <si>
    <t>1980b440-94c5-44a6-9e1d-69c4c18c0cf2</t>
  </si>
  <si>
    <t>2024-09-29</t>
  </si>
  <si>
    <t>2a028351-a7aa-450a-a62e-2a71c9742ead</t>
  </si>
  <si>
    <t>f5421696-a8a9-4da6-b7d3-7ff1ce21c3f7</t>
  </si>
  <si>
    <t>2024-06-02</t>
  </si>
  <si>
    <t>5847d790-8158-4f8f-ad78-a5f86ed7a5a8</t>
  </si>
  <si>
    <t>a965f481-3b74-436f-a6c6-cf4b80efcd04</t>
  </si>
  <si>
    <t>6bebc377-298c-4a97-b723-ea4fe6410ff1</t>
  </si>
  <si>
    <t>2024-12-16</t>
  </si>
  <si>
    <t>1d453d29-7ea1-4aa5-bc3e-c0d3d72c4646</t>
  </si>
  <si>
    <t>2024-07-07</t>
  </si>
  <si>
    <t>5df76df7-e062-41a8-83c1-8aa29bcdb00f</t>
  </si>
  <si>
    <t>e74d8af0-7b6d-4d33-89eb-98aedd563479</t>
  </si>
  <si>
    <t>adb6d9d5-7dd4-42f6-aa53-3fbb5245a2d0</t>
  </si>
  <si>
    <t>495f9ea2-f14c-49c9-9f4d-5428fe6f126c</t>
  </si>
  <si>
    <t>3ccd1a5b-7e20-4573-86a7-505c4abaa3fe</t>
  </si>
  <si>
    <t>bb7ff01a-02a1-45e4-be59-bb112cd86e87</t>
  </si>
  <si>
    <t>2025-01-18</t>
  </si>
  <si>
    <t>ae31449f-26d1-4a70-ba09-e5b765a05085</t>
  </si>
  <si>
    <t>05e79d00-55d7-4fa5-9d13-eb08e98f87c2</t>
  </si>
  <si>
    <t>6eec469a-1878-47db-a8b4-fadd5d00dd28</t>
  </si>
  <si>
    <t>5d88a2dc-3f6a-4bec-9197-d5ec5f6b58f4</t>
  </si>
  <si>
    <t>74306972-b470-446c-880b-ca97fcb54315</t>
  </si>
  <si>
    <t>e7cef76d-e1da-4d36-a9a4-41d838748c0c</t>
  </si>
  <si>
    <t>84bade59-1057-4ee4-a339-8792a568ae9e</t>
  </si>
  <si>
    <t>515208f6-2b4e-4bc3-9e71-d2bb42057a19</t>
  </si>
  <si>
    <t>d8fcdc45-9520-4232-bac1-2895801f8be4</t>
  </si>
  <si>
    <t>2024-06-30</t>
  </si>
  <si>
    <t>40e21c3c-a9a5-40b6-bf39-8ef9d4be08be</t>
  </si>
  <si>
    <t>f4b54c11-fb52-413c-9188-b38a027e0654</t>
  </si>
  <si>
    <t>2025-03-08</t>
  </si>
  <si>
    <t>9458b095-fa79-4627-8d36-79fdcff3cfb4</t>
  </si>
  <si>
    <t>2025-01-29</t>
  </si>
  <si>
    <t>a4940109-935c-4cab-9d6d-9f87ceb9965c</t>
  </si>
  <si>
    <t>cf12200c-5fc1-4f75-b276-c00e32e6c1c8</t>
  </si>
  <si>
    <t>85f4a5d0-15bf-4286-bd92-1e8829db1f9f</t>
  </si>
  <si>
    <t>82eccd0c-2b8c-4746-83d2-123ece774f3b</t>
  </si>
  <si>
    <t>6087efd8-4787-4cec-a00a-89194ee64e88</t>
  </si>
  <si>
    <t>3cfec97d-ec05-48e4-a01a-269cbe48fc17</t>
  </si>
  <si>
    <t>08f2b177-a2bd-464f-92c4-7e6844f5c930</t>
  </si>
  <si>
    <t>fc1bba83-f747-47a7-89e5-0d40a4009c2a</t>
  </si>
  <si>
    <t>5c336b82-fac1-478e-8f24-c5ab68f13c86</t>
  </si>
  <si>
    <t>adc53d5c-60e6-4e51-a9ea-228afce52238</t>
  </si>
  <si>
    <t>a74601a9-f386-4046-bd18-ef665bac2abe</t>
  </si>
  <si>
    <t>2024-07-05</t>
  </si>
  <si>
    <t>10f1b8ab-3d1e-4698-899c-8ae4759fa9e6</t>
  </si>
  <si>
    <t>7bc1c540-c7b9-48e3-8273-b864846d761d</t>
  </si>
  <si>
    <t>9bcfea5d-c828-4495-86c1-9ff1b48b5f0f</t>
  </si>
  <si>
    <t>7471fdae-0e40-411f-9625-856e9a1f7715</t>
  </si>
  <si>
    <t>38c21546-3a0f-49f4-97c4-4c5bf4220d71</t>
  </si>
  <si>
    <t>2024-08-29</t>
  </si>
  <si>
    <t>fe010fc1-fb73-4547-a9ff-8d43cba54652</t>
  </si>
  <si>
    <t>ac86456e-0395-49f4-a4c7-f291094c5dd4</t>
  </si>
  <si>
    <t>f4bc98f3-45e7-4b2e-b1fd-1170c0f14f0e</t>
  </si>
  <si>
    <t>84d73f86-6325-4d0f-aaba-0110d1390d4b</t>
  </si>
  <si>
    <t>41c42321-e1f8-4d32-8484-c9cd831be633</t>
  </si>
  <si>
    <t>0b6a468b-96bf-46fa-b1fc-df50bb8fa6d9</t>
  </si>
  <si>
    <t>510d5fe7-b9ef-4bef-9cb1-44128a1cd4ea</t>
  </si>
  <si>
    <t>f5f258b5-ff57-454a-a749-0bbacf75876e</t>
  </si>
  <si>
    <t>2024-08-19</t>
  </si>
  <si>
    <t>18dcb80c-8afe-4d2c-aaca-645399c9b856</t>
  </si>
  <si>
    <t>e6535363-0ff0-43d1-b0ac-f7d7da85442a</t>
  </si>
  <si>
    <t>51a633f4-e042-4cbc-b8d6-ad97810300b7</t>
  </si>
  <si>
    <t>9eb6539f-3706-409b-8a28-8fec2ed69bb4</t>
  </si>
  <si>
    <t>50369117-938f-49c1-a0cd-b20f34910fda</t>
  </si>
  <si>
    <t>aa67ea5b-a8eb-4637-a884-94a041fa9657</t>
  </si>
  <si>
    <t>38410a83-1f2f-4b4e-9d04-a9203a7971ce</t>
  </si>
  <si>
    <t>69a8db7d-0437-4fec-83f8-80b01380e50e</t>
  </si>
  <si>
    <t>2fcfcba0-bd72-4bf2-9cad-b4d540713ec0</t>
  </si>
  <si>
    <t>2bb4f075-1f13-4961-9364-f833dcd52417</t>
  </si>
  <si>
    <t>2024-04-10</t>
  </si>
  <si>
    <t>1979a079-8f41-42b6-a2b7-7be5de63ba5d</t>
  </si>
  <si>
    <t>f6626342-eb67-4be2-8203-ef42ef1082f8</t>
  </si>
  <si>
    <t>2024-05-22</t>
  </si>
  <si>
    <t>3021503a-c0d5-4684-946e-bff1b07accdf</t>
  </si>
  <si>
    <t>1f619d4c-52ed-45c8-8cfb-a860aae05669</t>
  </si>
  <si>
    <t>18dc064c-270e-4b6a-8f74-1efe85a656e4</t>
  </si>
  <si>
    <t>4dbabd53-569d-4ad4-a2f6-985dca626f21</t>
  </si>
  <si>
    <t>1875e380-7808-4dde-9ad0-ec641894d161</t>
  </si>
  <si>
    <t>e09a36ba-21ee-4501-a64a-68293455e7a6</t>
  </si>
  <si>
    <t>e655f3e0-0d0c-40a7-9987-218533de82fb</t>
  </si>
  <si>
    <t>76d75efd-2193-47aa-9d6a-a04a7f6726b5</t>
  </si>
  <si>
    <t>141643ce-9fc0-4c7f-8e7e-1f091e8cae38</t>
  </si>
  <si>
    <t>3c0e1ae3-c8f9-49a1-858c-70df9151ac16</t>
  </si>
  <si>
    <t>cd1011dd-c5ba-4eaf-a6ab-7c757badc444</t>
  </si>
  <si>
    <t>f2401876-97cc-4ae9-865e-8c642f136947</t>
  </si>
  <si>
    <t>78b04335-3fbc-4555-8110-a229ae248eab</t>
  </si>
  <si>
    <t>2025-01-26</t>
  </si>
  <si>
    <t>6bfa859e-eb70-4fd1-a5e8-613c4540feda</t>
  </si>
  <si>
    <t>fe2f9561-9bc8-4647-9655-58b179705e4b</t>
  </si>
  <si>
    <t>a4490f0e-85f1-4f0a-b5ce-cf00919376ef</t>
  </si>
  <si>
    <t>80d83b56-136a-4370-b727-e40f06604864</t>
  </si>
  <si>
    <t>2024-09-08</t>
  </si>
  <si>
    <t>09bee230-7f8c-42b7-8324-d9129c4a13a4</t>
  </si>
  <si>
    <t>51145eca-a183-4751-9a47-40fa400d71ec</t>
  </si>
  <si>
    <t>993613e6-f475-413e-9f0d-c5f161e27137</t>
  </si>
  <si>
    <t>3bf9c767-d485-412d-9118-4fb945bfe0e9</t>
  </si>
  <si>
    <t>66a79cb6-a346-4cfd-9646-1afed666aa50</t>
  </si>
  <si>
    <t>94bc84c4-b027-4c7b-b9db-f44b7ef03ebe</t>
  </si>
  <si>
    <t>d67b6841-49b7-4f6b-9bf5-ef529ff0f2c5</t>
  </si>
  <si>
    <t>e87cd331-0e5f-49cb-b881-1c4af2dce05d</t>
  </si>
  <si>
    <t>2024-07-23</t>
  </si>
  <si>
    <t>6e87aa51-cbb7-4f60-9575-31a00916e497</t>
  </si>
  <si>
    <t>52658855-ca47-47b4-9893-cd28ed34df47</t>
  </si>
  <si>
    <t>76b0244a-25e6-478e-a0bf-b9137145cce0</t>
  </si>
  <si>
    <t>25a1ef4e-0320-4c6d-8611-0f89817ff587</t>
  </si>
  <si>
    <t>317a9369-1236-4260-b9c3-fab7af0c3fe0</t>
  </si>
  <si>
    <t>b62beb56-68d5-42f4-9812-e27e3b7c468f</t>
  </si>
  <si>
    <t>118b1fdf-af9d-4c3c-b8c5-50fbc55c144e</t>
  </si>
  <si>
    <t>2024-12-13</t>
  </si>
  <si>
    <t>88406d30-4b5e-4762-b710-bddffa5d4581</t>
  </si>
  <si>
    <t>0aa64cab-abc7-4a05-a375-a461aa739120</t>
  </si>
  <si>
    <t>13e18565-89cd-456d-8888-d5302467a7a0</t>
  </si>
  <si>
    <t>e987c172-abb6-4469-9891-bfe545d96530</t>
  </si>
  <si>
    <t>3f99eee4-cef4-4a03-86cd-b1c37266d99c</t>
  </si>
  <si>
    <t>d30797fe-8f35-4898-9ae1-5783fc386836</t>
  </si>
  <si>
    <t>2025-02-21</t>
  </si>
  <si>
    <t>15de34c7-eedb-4081-b7c8-6febc70ce0bd</t>
  </si>
  <si>
    <t>33ac10e4-c2ca-4dd9-94cb-e75480326174</t>
  </si>
  <si>
    <t>bf29756e-b06a-4424-a680-1d9f9297a9b6</t>
  </si>
  <si>
    <t>c7cdf8eb-5b08-40da-9779-d8b16ca6c06c</t>
  </si>
  <si>
    <t>5ec9185f-ea60-40ca-a72d-6cc43da7fc03</t>
  </si>
  <si>
    <t>fc42f645-ed2b-47b6-9b2c-3fc9d2461ca4</t>
  </si>
  <si>
    <t>2025-01-10</t>
  </si>
  <si>
    <t>9e58b976-dcb2-4bd4-a110-ba59d770fd48</t>
  </si>
  <si>
    <t>beac9eb1-e81b-4c5f-82f1-b586c5971475</t>
  </si>
  <si>
    <t>2024-05-06</t>
  </si>
  <si>
    <t>96d666ab-d538-48fe-9040-46f4b6610fd4</t>
  </si>
  <si>
    <t>2024-05-20</t>
  </si>
  <si>
    <t>a7119fa0-c90b-4df0-9e06-9e48395508ff</t>
  </si>
  <si>
    <t>41683b88-b53d-41e3-877d-5a0d8586361e</t>
  </si>
  <si>
    <t>f6367814-912a-4d38-aec7-08e230f2f483</t>
  </si>
  <si>
    <t>a8ec2379-f344-440a-8664-c36604ceec98</t>
  </si>
  <si>
    <t>d3895a49-50a7-482c-84cf-826f08f086c0</t>
  </si>
  <si>
    <t>c2a88bf7-7fec-43ca-8722-f6a8d0541f13</t>
  </si>
  <si>
    <t>48f49e8f-6092-4cab-88fc-1407357f28d4</t>
  </si>
  <si>
    <t>ba405989-a7b7-4cf8-bca0-f469643d0edf</t>
  </si>
  <si>
    <t>17da611a-4f59-45b8-ab05-fd5fd7dee074</t>
  </si>
  <si>
    <t>2024-08-01</t>
  </si>
  <si>
    <t>d8b8a1e1-6d90-4a35-8d5d-16cb451011f7</t>
  </si>
  <si>
    <t>2024-08-22</t>
  </si>
  <si>
    <t>93669ee5-1f28-4231-985c-15d3058972be</t>
  </si>
  <si>
    <t>7e8504d5-a13e-44a7-bbd8-8e75f416a646</t>
  </si>
  <si>
    <t>d2e18eaa-bedf-4d24-88e4-543eda4e83fc</t>
  </si>
  <si>
    <t>20c3a703-f38b-4574-8c2c-baa18607bb37</t>
  </si>
  <si>
    <t>d5df04dd-db0b-4bdc-9b49-6037d0e32df3</t>
  </si>
  <si>
    <t>2024-11-20</t>
  </si>
  <si>
    <t>dddddd90-87f3-40d3-9b67-86f887b1ea9b</t>
  </si>
  <si>
    <t>c43943a2-2d8e-40f1-84bd-ee3e863e4e65</t>
  </si>
  <si>
    <t>dc994c57-004f-412a-b797-38e065fa3984</t>
  </si>
  <si>
    <t>2025-03-27</t>
  </si>
  <si>
    <t>7e2a3d15-2444-4067-871c-e803fa77f04f</t>
  </si>
  <si>
    <t>bc9b73f6-8984-4f4b-bd85-4c0d3c5ced39</t>
  </si>
  <si>
    <t>c7621d55-e9d3-4426-b216-3c51b374bb48</t>
  </si>
  <si>
    <t>769d024b-23de-49e6-8218-9818b8e96f8f</t>
  </si>
  <si>
    <t>006cb0ad-7b9f-403f-af85-e71a8e1c9cdd</t>
  </si>
  <si>
    <t>e5c6e594-6050-4226-9b5e-e3e9697dbf0a</t>
  </si>
  <si>
    <t>062115e6-373f-4eb7-9e05-045e8af72b6e</t>
  </si>
  <si>
    <t>2024-12-03</t>
  </si>
  <si>
    <t>0fef338b-09bf-4212-8a60-1101c9cb223c</t>
  </si>
  <si>
    <t>36450e3d-ec03-4def-943d-089bff145141</t>
  </si>
  <si>
    <t>cfabba54-10ae-4645-9e22-08178a822565</t>
  </si>
  <si>
    <t>c7e56a93-ed96-427a-8c6e-87dead3d4f1f</t>
  </si>
  <si>
    <t>905d1bc4-470c-41b1-857c-3a84dc0db31c</t>
  </si>
  <si>
    <t>7dac8cc9-78e9-4d43-a3d4-214f6104805d</t>
  </si>
  <si>
    <t>1ac5b027-b275-401f-9161-d58f01c4ec9f</t>
  </si>
  <si>
    <t>fef7a162-5ab4-44de-ac33-d14deb72654c</t>
  </si>
  <si>
    <t>0b6b7f9a-3d0b-49f2-9ec2-63b32d5425d9</t>
  </si>
  <si>
    <t>43932b6e-3c6f-40b0-bfa5-2a490af326e6</t>
  </si>
  <si>
    <t>aaf7d0db-d09b-454f-a381-d909fc0027d5</t>
  </si>
  <si>
    <t>1d9985be-eed3-4465-8249-f5e1d4565e8f</t>
  </si>
  <si>
    <t>8ab4757f-1973-4933-978f-c85355f98708</t>
  </si>
  <si>
    <t>d36dc53b-9b50-4e2c-91fe-3e56ec80ec5d</t>
  </si>
  <si>
    <t>e261e5a1-0118-4215-bdb3-f793cd8167b2</t>
  </si>
  <si>
    <t>2b0ff528-9aa1-419c-bb12-50edfe62a151</t>
  </si>
  <si>
    <t>2024-12-18</t>
  </si>
  <si>
    <t>c015c143-9218-41ab-be29-54b4ab0aae2b</t>
  </si>
  <si>
    <t>50fe7141-2dd5-49a5-97cd-932cb1f92220</t>
  </si>
  <si>
    <t>c29b16e9-e506-4dd6-a109-36b2c367b66e</t>
  </si>
  <si>
    <t>521754b0-7514-4e2d-a953-6937dc89e23a</t>
  </si>
  <si>
    <t>2025-01-25</t>
  </si>
  <si>
    <t>f682c064-9996-4cb2-ba23-d77dba2ec751</t>
  </si>
  <si>
    <t>ca71a0d7-8c86-45ea-a659-3481d13f7a23</t>
  </si>
  <si>
    <t>1cd9856d-83ca-4ef9-ada4-5ed0d32b1905</t>
  </si>
  <si>
    <t>7d3aae84-23dd-4cc3-a2a1-8167fef89208</t>
  </si>
  <si>
    <t>5696593b-2d96-46e3-a2f0-ccfd709282b5</t>
  </si>
  <si>
    <t>ca4b63b0-f969-48ec-8db9-7e486b5fb90f</t>
  </si>
  <si>
    <t>9295b918-d8b0-41bb-924e-e457071b99cf</t>
  </si>
  <si>
    <t>fe010b32-2102-4ba3-869d-a4c7ab9af1a5</t>
  </si>
  <si>
    <t>ce99be89-889b-4dd2-977f-15a81e8e7144</t>
  </si>
  <si>
    <t>2c9443c0-3822-45c2-b013-f664d08d1ad0</t>
  </si>
  <si>
    <t>4c1e72b5-5484-4566-81fb-3d8f706f0fd0</t>
  </si>
  <si>
    <t>2024-11-30</t>
  </si>
  <si>
    <t>508c533c-72cb-4728-a5d0-c1017f53c810</t>
  </si>
  <si>
    <t>cb33bb04-3d7b-46ee-a41b-207e857707f1</t>
  </si>
  <si>
    <t>875955df-27c5-43fd-9917-27afde2f43a7</t>
  </si>
  <si>
    <t>c681a8d8-53fd-437d-a6e2-26697fbfa875</t>
  </si>
  <si>
    <t>2af76e37-40d4-4141-aa5d-ba46f374e15b</t>
  </si>
  <si>
    <t>2e8bc39d-86a7-4fd7-83e7-333869d59a6a</t>
  </si>
  <si>
    <t>bbedb9ad-c117-4d5d-8838-aa6a654641bf</t>
  </si>
  <si>
    <t>751e076d-7d10-4716-bc37-794f7c3560a4</t>
  </si>
  <si>
    <t>07555b65-86fd-484a-8c86-f0c54448bc4f</t>
  </si>
  <si>
    <t>e2adc98a-9a35-45b7-a3be-3de413a94858</t>
  </si>
  <si>
    <t>bbba8a83-382c-4fd0-88dd-94a2a1cc929d</t>
  </si>
  <si>
    <t>6a1b3079-f571-41f4-9b42-54f8b5d65cf0</t>
  </si>
  <si>
    <t>b7cd6221-db48-4537-8afe-da1c3ba98812</t>
  </si>
  <si>
    <t>b3a161a9-2fe9-4990-b533-97597501bf1e</t>
  </si>
  <si>
    <t>dedb41d9-475d-4adb-beab-c3eabc4b2d7d</t>
  </si>
  <si>
    <t>14923b32-0ab9-404c-acad-609f6b25e8f0</t>
  </si>
  <si>
    <t>c8a86bf6-7445-48e7-8acd-33316c627fee</t>
  </si>
  <si>
    <t>db141523-800d-421d-a9a0-1d22121ea818</t>
  </si>
  <si>
    <t>fa659462-bd41-46f5-a506-2b8b168d2c89</t>
  </si>
  <si>
    <t>e470f6aa-0c54-4a20-bb53-f925c26e24f7</t>
  </si>
  <si>
    <t>ac3ee201-28dd-429a-a3aa-970a2eae63e9</t>
  </si>
  <si>
    <t>7cf5eac6-fb01-467f-9bb6-b14eae19b6f5</t>
  </si>
  <si>
    <t>7baf71e9-ed7e-47e3-8f5f-439d28af7ce9</t>
  </si>
  <si>
    <t>c4e10b7b-f48b-48fb-b58d-f0e5a9be7c9f</t>
  </si>
  <si>
    <t>97021d90-6be8-43b4-b137-acbffce6a5c7</t>
  </si>
  <si>
    <t>3c33f351-f08b-4bf9-9a75-4d25472cc533</t>
  </si>
  <si>
    <t>d267dd7d-fb9c-4dfc-8a5f-6f02b451d9c0</t>
  </si>
  <si>
    <t>24fd11de-7265-4a87-8f66-18d7eeda3eeb</t>
  </si>
  <si>
    <t>8ee31998-adbf-4b18-b9a9-37370342d0ca</t>
  </si>
  <si>
    <t>e9453397-c3d7-4013-9cb9-9407d9014019</t>
  </si>
  <si>
    <t>60b5362a-1d80-4cf6-9457-fd587b6be00f</t>
  </si>
  <si>
    <t>2024-06-10</t>
  </si>
  <si>
    <t>b2fe7e04-8d30-4343-a370-1fea0885ee3f</t>
  </si>
  <si>
    <t>ec02b1e2-0af5-4269-8ba2-cd72a03c39fb</t>
  </si>
  <si>
    <t>07f5cf10-82d5-40f8-9cf5-424a1e91fef3</t>
  </si>
  <si>
    <t>0ef3f4a0-7fd5-45eb-b680-567e36e337ae</t>
  </si>
  <si>
    <t>c00c8a75-c7cc-4d02-9761-af9d40fce8b7</t>
  </si>
  <si>
    <t>4d443701-36e4-499d-bd37-145e05fbc24a</t>
  </si>
  <si>
    <t>bc2c6bb5-44d1-45c9-abbc-7f853ecbccc3</t>
  </si>
  <si>
    <t>79c9d405-c0a1-48ec-823e-d567a19b96ec</t>
  </si>
  <si>
    <t>67a66e91-212d-4d17-addb-c12c7bc8921e</t>
  </si>
  <si>
    <t>b2f206fc-3c12-4be1-9553-f05e8e23e676</t>
  </si>
  <si>
    <t>769ca977-6ec5-4106-b5f0-1215460a937e</t>
  </si>
  <si>
    <t>d6f592e2-20e1-40c9-ad13-5bf567db3e05</t>
  </si>
  <si>
    <t>740e9d49-df9f-41c4-8a0f-ca48bee3faeb</t>
  </si>
  <si>
    <t>8b665ffc-3c1b-4bd1-9481-0ba138d742a0</t>
  </si>
  <si>
    <t>7c61e40f-b3f8-4198-bbae-2adaf0957014</t>
  </si>
  <si>
    <t>a34744e3-6a7c-4e8f-8038-599ebb1400ba</t>
  </si>
  <si>
    <t>930e4856-b8b0-4f8a-b5e2-b8a82e8e3a43</t>
  </si>
  <si>
    <t>38cf6f28-0f68-4e9a-bd2c-3b1009a0d160</t>
  </si>
  <si>
    <t>c36ab48c-52dd-4bfd-82c4-4e1b88878730</t>
  </si>
  <si>
    <t>cb54aae0-9ebf-4fc4-a509-a87920eefff0</t>
  </si>
  <si>
    <t>26a8c680-7429-49b6-b9ab-91cee7396e79</t>
  </si>
  <si>
    <t>bd724709-2cdf-43dd-bb2d-6a056e29bc26</t>
  </si>
  <si>
    <t>e89cecc2-01bb-441e-90dd-72313b7ae907</t>
  </si>
  <si>
    <t>3f535e8b-4501-4404-a9ec-a23e3fd8e7e7</t>
  </si>
  <si>
    <t>5811bf74-0383-43b9-aef8-00b7b72135ea</t>
  </si>
  <si>
    <t>bad334b5-cac7-4cd3-86c1-51bb35001164</t>
  </si>
  <si>
    <t>87f79a10-63d3-41dd-b38f-ba7e00c8a196</t>
  </si>
  <si>
    <t>2024-07-29</t>
  </si>
  <si>
    <t>c6f7bd2e-abdd-4314-a326-f814dfaa2a52</t>
  </si>
  <si>
    <t>6995b3de-11e7-44cf-bcaa-dc33d250a3ca</t>
  </si>
  <si>
    <t>290c88cf-532b-4718-984c-4a4818631723</t>
  </si>
  <si>
    <t>a49fe029-8e5e-4361-800d-5e3000c14599</t>
  </si>
  <si>
    <t>fcbe6a33-4d10-4618-bb98-ade8271453a5</t>
  </si>
  <si>
    <t>298ab500-220f-4e6a-9fcd-6dabe052b30c</t>
  </si>
  <si>
    <t>a5c5a7bf-ce40-4a2d-b0fc-0e952634e368</t>
  </si>
  <si>
    <t>4ab63118-a2e9-4a38-9425-393ebf303a8e</t>
  </si>
  <si>
    <t>708290b4-de22-4ef4-9232-70e8c0444646</t>
  </si>
  <si>
    <t>7d372187-b0d0-4fd5-a7a1-c2a9e17b77cd</t>
  </si>
  <si>
    <t>c5e338d5-14e8-49e4-841d-c717ca399cee</t>
  </si>
  <si>
    <t>9baa0684-6368-47ed-bbd9-e6526eb6bf47</t>
  </si>
  <si>
    <t>bf40e37f-fa30-411b-af8e-7b323ed28fce</t>
  </si>
  <si>
    <t>75a3bf64-3082-4d45-88ed-c75b14a6727a</t>
  </si>
  <si>
    <t>2024-05-16</t>
  </si>
  <si>
    <t>2ac160c9-39fd-49d1-b51f-0a529c5c2431</t>
  </si>
  <si>
    <t>eb3ac27f-0b72-4846-948d-47c7950940c5</t>
  </si>
  <si>
    <t>b512db50-72fc-4f42-badd-80dbbf0d6121</t>
  </si>
  <si>
    <t>d33ded92-ff70-44b5-ad90-e27036b1b864</t>
  </si>
  <si>
    <t>0e115b1d-83e3-48e6-a962-03a68bd92315</t>
  </si>
  <si>
    <t>2024-11-09</t>
  </si>
  <si>
    <t>ac0f2c2b-0602-4824-a663-7b0ebb7182eb</t>
  </si>
  <si>
    <t>cdeb60b7-07cc-4aa1-a4ed-f83c77c7043b</t>
  </si>
  <si>
    <t>fad1584d-7b7c-4cf2-9f18-653b1f352fc3</t>
  </si>
  <si>
    <t>ffef813b-70a5-40b3-a7c9-5b8701eca3b3</t>
  </si>
  <si>
    <t>6630d02f-77e8-415e-84bb-08bb3252e74d</t>
  </si>
  <si>
    <t>2024-05-11</t>
  </si>
  <si>
    <t>e4f8275c-8a6f-4cf1-83b9-9fbdf74f2195</t>
  </si>
  <si>
    <t>7e78b713-4749-4edd-8df4-116dfeb1cff2</t>
  </si>
  <si>
    <t>d752d358-b02e-4715-8f2d-7c9a3399c280</t>
  </si>
  <si>
    <t>74c3abe7-95e3-4449-a96b-2f233b04624b</t>
  </si>
  <si>
    <t>9931982c-0b0e-4fb4-aba4-cff97aa26e30</t>
  </si>
  <si>
    <t>2024-07-30</t>
  </si>
  <si>
    <t>1365f8c6-86ea-48d4-8919-d78a083e4dea</t>
  </si>
  <si>
    <t>27f2363c-1f3b-43c5-9283-8bbc78236f28</t>
  </si>
  <si>
    <t>2025-01-05</t>
  </si>
  <si>
    <t>ba72c9f2-d63c-4337-a6c8-0e9d9057201b</t>
  </si>
  <si>
    <t>0a2e0258-3d7d-4500-9945-420899a8dbe6</t>
  </si>
  <si>
    <t>ed0eb25f-9c96-4f94-ab45-95de1b42ee66</t>
  </si>
  <si>
    <t>91a87654-0866-4615-8e4d-1e022bff10ab</t>
  </si>
  <si>
    <t>703ce2ef-0048-41f2-b72b-4a3abbdd771e</t>
  </si>
  <si>
    <t>d3920e92-7ee4-48d9-8e3d-0f6ee89819e9</t>
  </si>
  <si>
    <t>d9d16584-4d5f-449d-b585-d8b318687b97</t>
  </si>
  <si>
    <t>9eade883-6f94-4be9-8bf8-52ef5a43d2e9</t>
  </si>
  <si>
    <t>6e5c8320-4921-4300-a44e-0e26977fd5f7</t>
  </si>
  <si>
    <t>55854310-5708-4cda-96e8-2e91d8025ec0</t>
  </si>
  <si>
    <t>652ec2dd-86d3-4c98-83af-c6c07e3a501f</t>
  </si>
  <si>
    <t>2025-03-12</t>
  </si>
  <si>
    <t>e843ef27-bfef-4430-b7d3-ea9a2d77aaea</t>
  </si>
  <si>
    <t>2025-02-13</t>
  </si>
  <si>
    <t>714edeea-0e2e-43bc-ab22-819d8b59e07d</t>
  </si>
  <si>
    <t>b923648e-66a1-4656-a9b1-cf065fbb9b4d</t>
  </si>
  <si>
    <t>ec6fedf1-8ac5-4494-8d7c-03e446c645a2</t>
  </si>
  <si>
    <t>7e0a120c-75a7-4194-b1ee-850f25bc8b69</t>
  </si>
  <si>
    <t>5387881e-e018-4c4d-85f0-804321d3d66b</t>
  </si>
  <si>
    <t>53d62278-a115-4339-8f88-42b43efbaf76</t>
  </si>
  <si>
    <t>1cdedaf1-9e63-4d70-b055-8a9514cb4827</t>
  </si>
  <si>
    <t>15162ca8-a611-4acb-9413-4135f631d89d</t>
  </si>
  <si>
    <t>78cf43cc-5768-4bd2-82c2-6e5a2cd0134f</t>
  </si>
  <si>
    <t>b9928afb-07af-4ce7-b87e-7faff6abd9d2</t>
  </si>
  <si>
    <t>d053cf18-a1de-4919-b83c-3091d32bf56f</t>
  </si>
  <si>
    <t>db567f99-a0c1-452a-9c12-0995a6d88a95</t>
  </si>
  <si>
    <t>2025-02-14</t>
  </si>
  <si>
    <t>a90ab12c-2993-43b9-b60c-b591e39d4651</t>
  </si>
  <si>
    <t>b4f378e9-1b51-4369-b963-f0e7a06e0cb9</t>
  </si>
  <si>
    <t>6d95c6f4-c05b-44a7-b1bc-85277d5c9712</t>
  </si>
  <si>
    <t>1612b080-f2e9-4c97-8cbd-27d6fad3b6fd</t>
  </si>
  <si>
    <t>0e9f3d41-14a3-444a-8181-896907c9aafa</t>
  </si>
  <si>
    <t>fdfcaf79-85cb-49a1-a3f5-f69b0f10925e</t>
  </si>
  <si>
    <t>468c2176-c7b6-4ba8-82dc-6c4319113a9a</t>
  </si>
  <si>
    <t>d0b22aee-2880-4ca7-a7ac-892f4af283b7</t>
  </si>
  <si>
    <t>12002fa1-ab5f-4447-a838-65da792e804f</t>
  </si>
  <si>
    <t>9c4e8368-d0b3-4992-8790-955048820551</t>
  </si>
  <si>
    <t>d6945060-245c-427a-a425-db8c8f896e8d</t>
  </si>
  <si>
    <t>1a40106a-c455-4837-87d2-7f47ef1ce89f</t>
  </si>
  <si>
    <t>ce6a2443-9d5b-400e-bb6c-2be9eca7f44d</t>
  </si>
  <si>
    <t>ddd0ee8a-6c6e-4a52-ab85-7c1d08ea4ad4</t>
  </si>
  <si>
    <t>9087ecb1-39f2-4c4b-8a8a-ab872e82bd80</t>
  </si>
  <si>
    <t>3f9dc20c-0c59-402d-a301-bfcaeb102d25</t>
  </si>
  <si>
    <t>2024-11-13</t>
  </si>
  <si>
    <t>33e04cda-11a4-4bd3-9476-273c7e4cd0ad</t>
  </si>
  <si>
    <t>6b3573db-f208-4492-91dc-5b6f1f68d3ae</t>
  </si>
  <si>
    <t>2024-04-08</t>
  </si>
  <si>
    <t>416dd31e-97fa-4b9b-b279-e961ecc10a20</t>
  </si>
  <si>
    <t>745c7b9a-03f4-441e-beb3-76eb9e2f80dc</t>
  </si>
  <si>
    <t>722ea1bf-6ac3-4ad4-b48d-d9bb9c35da67</t>
  </si>
  <si>
    <t>cd0bc6a5-6388-44b8-9364-b1eee0b33d1d</t>
  </si>
  <si>
    <t>2024-10-12</t>
  </si>
  <si>
    <t>130f86c5-6f44-4567-b600-258ca3179405</t>
  </si>
  <si>
    <t>2024-11-17</t>
  </si>
  <si>
    <t>8cc93bbe-2fd4-47d6-8122-53fa0fa24c14</t>
  </si>
  <si>
    <t>ad819980-d82a-45e9-a025-42604724687a</t>
  </si>
  <si>
    <t>18628771-4e39-41de-af03-21745abe3914</t>
  </si>
  <si>
    <t>ed1569c2-676d-4e79-925c-173cfa68993a</t>
  </si>
  <si>
    <t>a9748daf-1db7-4796-9821-605f542d0a83</t>
  </si>
  <si>
    <t>cbb8acbf-8f4a-470b-814f-58d6532f0bd3</t>
  </si>
  <si>
    <t>78cf0ddd-864a-465d-9aa2-71bd2c1b7539</t>
  </si>
  <si>
    <t>ddc7d800-6023-4263-8cb5-c09024b17a7e</t>
  </si>
  <si>
    <t>9f194e6d-1436-47b8-b2a6-a818edfcdc40</t>
  </si>
  <si>
    <t>d94c2f07-6c7a-444f-9fa6-e39aa2fcccb6</t>
  </si>
  <si>
    <t>2024-10-24</t>
  </si>
  <si>
    <t>8e386185-b9e6-4128-b622-0ac3e510538b</t>
  </si>
  <si>
    <t>f6e7c231-976c-469d-bacc-28d65b842de3</t>
  </si>
  <si>
    <t>62ec761d-beea-462d-81e4-5ef12b813e02</t>
  </si>
  <si>
    <t>bd59b9ed-b7dd-4393-8b34-f1c89163dd39</t>
  </si>
  <si>
    <t>6ad93d74-03a3-4297-ace0-ac317cc970ad</t>
  </si>
  <si>
    <t>93813e66-3ad7-49ce-a44c-54730c6902e2</t>
  </si>
  <si>
    <t>7406b1c8-3578-405f-9080-2ab87d27fe81</t>
  </si>
  <si>
    <t>16575591-f387-4c2d-9251-1120063d4ac8</t>
  </si>
  <si>
    <t>7559db65-1c6c-4b2c-a5e7-80a1b93f8cbe</t>
  </si>
  <si>
    <t>a0c491a4-825f-4e6b-899b-7ef9e33a9759</t>
  </si>
  <si>
    <t>a4f400c4-6d0b-4fb4-9db2-c0664a3bb8af</t>
  </si>
  <si>
    <t>d54b3cf0-120f-4734-b91f-05008e9bad32</t>
  </si>
  <si>
    <t>c3bce36e-e0cd-4557-aac3-79102654e2d5</t>
  </si>
  <si>
    <t>b84b1636-84e3-4059-808f-1ca74c14ab40</t>
  </si>
  <si>
    <t>455a584e-8048-489f-ac26-347cca1961d4</t>
  </si>
  <si>
    <t>fe68fa93-a7f8-49d0-b19d-3f36e45356d7</t>
  </si>
  <si>
    <t>bb049f2b-d4f6-4276-ba98-5e2661a68fc4</t>
  </si>
  <si>
    <t>e129d47d-da94-4266-8db9-d9348458c2a7</t>
  </si>
  <si>
    <t>72099baa-f559-4576-b9bd-7c9dace35d4e</t>
  </si>
  <si>
    <t>35979b2d-3de8-4fcf-9b0b-8c1fb3a5d0b9</t>
  </si>
  <si>
    <t>19218ef2-ce76-44d3-ba01-444b972208ff</t>
  </si>
  <si>
    <t>808d2f0d-47e0-472e-b2d1-1bc95e31fa9f</t>
  </si>
  <si>
    <t>3a0a7f13-0686-430a-881c-b514d8c3dfe5</t>
  </si>
  <si>
    <t>115236e2-9c93-4f2a-9517-6133cfdbc94f</t>
  </si>
  <si>
    <t>500e10bd-2d47-4b3e-868c-4f75df72bbad</t>
  </si>
  <si>
    <t>9584ac1c-f6e2-4368-8ef9-fcbfe6cb0b6a</t>
  </si>
  <si>
    <t>5f2c10c6-627e-4d9c-b5b2-871c3504861b</t>
  </si>
  <si>
    <t>1375a8af-3325-43ea-a0e7-89f96f78dd81</t>
  </si>
  <si>
    <t>b91cb06d-3b82-42d7-bdbe-211e933789e8</t>
  </si>
  <si>
    <t>014bb07c-3e84-42ef-a90c-15153393d90f</t>
  </si>
  <si>
    <t>6f1887a9-b2d2-4fff-bbf2-e26169bb6d62</t>
  </si>
  <si>
    <t>9872443d-9188-4bf4-9e40-8cc3168bf075</t>
  </si>
  <si>
    <t>5be97403-4158-4a54-916a-bee6dac80dac</t>
  </si>
  <si>
    <t>307cfe2c-9950-42e1-9cbe-d7861aed93a0</t>
  </si>
  <si>
    <t>2024-10-23</t>
  </si>
  <si>
    <t>f36da6d6-0f2f-4bbf-94a9-3075e01e59bc</t>
  </si>
  <si>
    <t>12274827-e01c-46b2-a8ca-33b5776ab678</t>
  </si>
  <si>
    <t>507c86af-802a-45a1-a27c-2fd78ee5b4a2</t>
  </si>
  <si>
    <t>316ba4e0-65a4-440e-99cb-44108276458a</t>
  </si>
  <si>
    <t>6da2eb07-8cb6-4338-b73f-f94eb62f97d9</t>
  </si>
  <si>
    <t>370f5f6c-92ee-49be-b69d-250b78e02250</t>
  </si>
  <si>
    <t>b8abd255-7e9f-485d-9abb-fc35aa800620</t>
  </si>
  <si>
    <t>5cf5b9ba-c02d-4dc4-825e-33f7d74e245c</t>
  </si>
  <si>
    <t>2024-03-29</t>
  </si>
  <si>
    <t>c4add9ba-8a2f-4d96-83da-ebc140b4839b</t>
  </si>
  <si>
    <t>8903617f-3494-41a0-b923-3389d41436be</t>
  </si>
  <si>
    <t>4a501d99-a216-4096-aa92-e9b7d84b1d34</t>
  </si>
  <si>
    <t>a1683faa-49e5-4817-a396-be8646679105</t>
  </si>
  <si>
    <t>ae99973e-656b-4860-9a90-ee934d336536</t>
  </si>
  <si>
    <t>0f64ee2e-4ab9-43fa-abb2-1e83ef300827</t>
  </si>
  <si>
    <t>29913970-c3d5-402f-81bc-d9898f8749b8</t>
  </si>
  <si>
    <t>1690a52f-c51a-4f5d-8924-e512a1a62c4e</t>
  </si>
  <si>
    <t>53ef44be-f652-4d71-aa2b-6d6f1d8640d6</t>
  </si>
  <si>
    <t>b7a3c173-b55b-4ff3-98b1-bf494a58edab</t>
  </si>
  <si>
    <t>ce8dcb43-a40a-41a6-a853-6da029aae6bd</t>
  </si>
  <si>
    <t>46d0b332-8e93-4343-9774-0848e3ef9592</t>
  </si>
  <si>
    <t>b0739c3c-a77d-4e15-9ab2-181b29a51604</t>
  </si>
  <si>
    <t>39e55363-1b55-466d-9188-c5a85eb657b0</t>
  </si>
  <si>
    <t>65080a94-1f93-4573-9ce1-bb8d4291ae7a</t>
  </si>
  <si>
    <t>36be5ecd-2d43-4d9b-a29c-1c8e1f87e130</t>
  </si>
  <si>
    <t>2025-01-02</t>
  </si>
  <si>
    <t>1748149f-0a29-4b0c-b2d5-e5ab39f2393e</t>
  </si>
  <si>
    <t>c4f1a4b2-bc2f-4951-9bc0-f214c9ff831f</t>
  </si>
  <si>
    <t>41884cb5-1a1f-46cd-895c-9cc14168eb02</t>
  </si>
  <si>
    <t>e98fb93f-ed3f-41cd-86b0-8b868866fbda</t>
  </si>
  <si>
    <t>659d7e38-59e8-43f0-b60e-4416472aa944</t>
  </si>
  <si>
    <t>14ea4762-10e9-44c3-8f43-32bef5b5fe50</t>
  </si>
  <si>
    <t>82b75ebf-b28d-4b24-8eb3-3d45505882ba</t>
  </si>
  <si>
    <t>3a378232-8405-4a3c-947f-bbd3064ed865</t>
  </si>
  <si>
    <t>eb5e90fb-cc6f-495e-aa8d-c42d8f4405d8</t>
  </si>
  <si>
    <t>5b26b4bf-0928-46ca-9328-199ab9528298</t>
  </si>
  <si>
    <t>b909b858-028f-4890-b564-aa3f83e521ca</t>
  </si>
  <si>
    <t>df9be165-6808-4b64-a058-d4e8a73cea68</t>
  </si>
  <si>
    <t>8b195c1e-efad-42bf-a0d3-8df59c575475</t>
  </si>
  <si>
    <t>8e3c7788-3045-4b71-9a5b-2db889a79401</t>
  </si>
  <si>
    <t>c8dfdc7a-8b36-4891-8646-91f2cb22af92</t>
  </si>
  <si>
    <t>e84fbeb6-9571-4141-b382-55eb4d465564</t>
  </si>
  <si>
    <t>8c9f1a2a-209a-4c3b-8b10-73f5d171884c</t>
  </si>
  <si>
    <t>b7639bb1-2909-4f00-ab39-17df1edf7a06</t>
  </si>
  <si>
    <t>6574cc4c-2567-4bf4-bd7f-697031c4447a</t>
  </si>
  <si>
    <t>f253ef9a-5b7d-47ee-831a-9b0c654cfa91</t>
  </si>
  <si>
    <t>5451a846-a02f-496c-a031-5864326e6c18</t>
  </si>
  <si>
    <t>79a5c095-8969-416a-901a-1ce7225eb704</t>
  </si>
  <si>
    <t>75d6f4c9-30ee-4cea-89e6-77c7a80684b2</t>
  </si>
  <si>
    <t>dde58179-bc08-4c2d-bc86-44b71abe1524</t>
  </si>
  <si>
    <t>7ec8887e-f09d-48a4-bb23-1e24e5ea66de</t>
  </si>
  <si>
    <t>95c26619-d27a-458d-88db-4570853dac59</t>
  </si>
  <si>
    <t>0c70bdef-8a27-4a03-8c88-29404054ef1b</t>
  </si>
  <si>
    <t>bb4ac82e-3b07-4fe2-82ae-bff3835cda31</t>
  </si>
  <si>
    <t>ded75b29-e878-419c-9197-34767930ff03</t>
  </si>
  <si>
    <t>14893be1-27e8-4f70-aa44-6badd470ccdc</t>
  </si>
  <si>
    <t>ecb0d721-c127-4860-93ca-e7f0771442af</t>
  </si>
  <si>
    <t>b8717f2f-ce25-4f9d-8bb0-7e324e17c3d1</t>
  </si>
  <si>
    <t>e45718fd-8a80-415c-bebb-ffb03732fc07</t>
  </si>
  <si>
    <t>2da4c287-1ce8-4865-a792-ebe0894294aa</t>
  </si>
  <si>
    <t>2024-09-22</t>
  </si>
  <si>
    <t>6495feb4-b0a2-4576-bf13-6131ac238d06</t>
  </si>
  <si>
    <t>a9c70286-c5cb-49ae-8d18-b01bec192621</t>
  </si>
  <si>
    <t>4acf5e12-591f-4b13-be00-e81e49320805</t>
  </si>
  <si>
    <t>949db6ac-70c9-4d47-bd56-13ed3bb6424a</t>
  </si>
  <si>
    <t>94376aec-9464-49e2-ba34-37b32b4db4ef</t>
  </si>
  <si>
    <t>56bcc972-8311-4258-840a-f741c97b5e5c</t>
  </si>
  <si>
    <t>4c72c280-0233-4756-9caa-95b2f232abdb</t>
  </si>
  <si>
    <t>b74d561f-9eaf-42d8-a8ed-15c159f2e4db</t>
  </si>
  <si>
    <t>089bf5f7-4c77-4266-85a9-74964adc6d34</t>
  </si>
  <si>
    <t>2fe8d493-0811-498f-bf9d-3c29f30bb3e8</t>
  </si>
  <si>
    <t>995d7575-6867-4a8a-b5cd-0962766dc65b</t>
  </si>
  <si>
    <t>34a744f2-af5d-4f09-9ca1-d642270807ab</t>
  </si>
  <si>
    <t>6125e032-8bf1-41fb-8a76-0dbcc2bfdc62</t>
  </si>
  <si>
    <t>2024-12-23</t>
  </si>
  <si>
    <t>964b012d-f127-46e4-b7e2-baba2bfd9f61</t>
  </si>
  <si>
    <t>2024-11-19</t>
  </si>
  <si>
    <t>3343a359-c836-4ac9-940c-ace8c488b6b4</t>
  </si>
  <si>
    <t>56cee883-ad8b-4965-b1a7-7b742a4394c3</t>
  </si>
  <si>
    <t>53f4fb65-032a-46be-be26-cbd066d41b22</t>
  </si>
  <si>
    <t>de513b4a-0e74-42be-9f23-4a2a89886193</t>
  </si>
  <si>
    <t>f9055611-925a-45ab-ba38-a5f8f22586b0</t>
  </si>
  <si>
    <t>5739f73b-92b1-46e4-9e90-a1bc01a825a2</t>
  </si>
  <si>
    <t>287d21e5-8742-48a7-8ee4-55b57f55629d</t>
  </si>
  <si>
    <t>b2ddc1d2-d245-4772-9a06-27a72d70abaa</t>
  </si>
  <si>
    <t>f0104077-f9cd-4046-a036-53f5a014bac2</t>
  </si>
  <si>
    <t>72ed5514-a1ec-481f-9701-2282c7865797</t>
  </si>
  <si>
    <t>67c4e121-6ac8-4a24-97f0-8efbabcffa99</t>
  </si>
  <si>
    <t>4d8d9a10-9827-4961-bdc2-dfa9669de560</t>
  </si>
  <si>
    <t>2024-04-16</t>
  </si>
  <si>
    <t>70b92e37-0e15-4965-aef8-94ec9ebe068f</t>
  </si>
  <si>
    <t>ff3f04cb-9e88-4cf4-9c63-0ca469ea4d88</t>
  </si>
  <si>
    <t>2025-01-01</t>
  </si>
  <si>
    <t>eb7bc59c-a618-471e-bd0c-9cc9d83dee77</t>
  </si>
  <si>
    <t>b9523557-7a19-43b9-b942-6f62cd2e1177</t>
  </si>
  <si>
    <t>ffba709f-96d0-432b-af0d-650a477946c1</t>
  </si>
  <si>
    <t>6fe6c611-f0af-4c3a-b5d2-e0cc47c61880</t>
  </si>
  <si>
    <t>92cce7e0-3a2a-4c60-a6f0-fb26f8f03b6d</t>
  </si>
  <si>
    <t>10f840f2-a154-4aca-97a1-7a745583e185</t>
  </si>
  <si>
    <t>a1b78da6-3074-4976-a8c9-5f317c351c89</t>
  </si>
  <si>
    <t>326007cb-e16e-4f4f-89da-0bd72bb2091b</t>
  </si>
  <si>
    <t>97a54255-ef1d-40ff-8084-73297e390dc1</t>
  </si>
  <si>
    <t>158f8170-0d8e-47fb-b9cc-c74fd2d08179</t>
  </si>
  <si>
    <t>381a7b42-8c79-4994-9587-470533d1c6a9</t>
  </si>
  <si>
    <t>3823edfa-03bf-473f-b781-39785edde7b2</t>
  </si>
  <si>
    <t>7a968a9e-2ed0-4acd-b13a-47cf92a2a39b</t>
  </si>
  <si>
    <t>eac011c7-ad0c-4927-b09d-4a718bcd74a6</t>
  </si>
  <si>
    <t>5d8f426b-8d8b-4354-a9b4-c951b895ef07</t>
  </si>
  <si>
    <t>e6fb15f6-32d0-4e97-92b2-fc8f8eedbd21</t>
  </si>
  <si>
    <t>12882df0-1b9e-482b-9393-c0417c7691be</t>
  </si>
  <si>
    <t>344bbb21-e90b-4272-82d9-a4b4526ce1e0</t>
  </si>
  <si>
    <t>dbdfe354-a169-43cf-ae2c-d83efabc3398</t>
  </si>
  <si>
    <t>b6260fef-d75d-4179-aea6-5789db2f1966</t>
  </si>
  <si>
    <t>7d6d1619-e622-4dd2-9ac6-588faa206b6f</t>
  </si>
  <si>
    <t>46619bb4-5430-4134-ba95-619d2a38b93e</t>
  </si>
  <si>
    <t>acbbb482-5cc0-47db-9284-409e60270f81</t>
  </si>
  <si>
    <t>cb552a9e-89c8-498f-994f-9aaac34781bc</t>
  </si>
  <si>
    <t>9620476b-b072-49bf-934a-7de4af73ac6f</t>
  </si>
  <si>
    <t>85472b44-0861-44cc-b94c-7f4313a254b7</t>
  </si>
  <si>
    <t>652bd603-1c90-4920-b7d3-790da7a30657</t>
  </si>
  <si>
    <t>73673efb-bb8e-45d3-8038-83bd7239670c</t>
  </si>
  <si>
    <t>dc712a84-3bbf-4d4b-839d-fd56d7e663ce</t>
  </si>
  <si>
    <t>04d04323-48f5-48a3-a984-cad1c2ecd87b</t>
  </si>
  <si>
    <t>dcb47833-691c-4d2d-8eff-97901a4f852a</t>
  </si>
  <si>
    <t>d83353f7-de8b-4563-9e07-7eb5d8ee0248</t>
  </si>
  <si>
    <t>02d8bce2-fa44-410b-9def-238acb46d1b8</t>
  </si>
  <si>
    <t>bcf53af4-3218-4659-b762-1d7c5a8d43c8</t>
  </si>
  <si>
    <t>9abd4330-b7cf-4b0f-ac1d-95734d1595bc</t>
  </si>
  <si>
    <t>f80cbeaa-8972-44ea-b5e7-74cacd42967f</t>
  </si>
  <si>
    <t>4c789e0a-8145-4683-8946-c5a4767fc8cd</t>
  </si>
  <si>
    <t>58436148-7d09-4e49-865f-147e5313c4a7</t>
  </si>
  <si>
    <t>aacb707f-b181-4924-99a0-fd1d0df32614</t>
  </si>
  <si>
    <t>58215b1e-ebc5-4db3-912c-45c3400f8411</t>
  </si>
  <si>
    <t>9d708213-1d0f-4be9-8dab-eba29bd7ca8f</t>
  </si>
  <si>
    <t>dcdef6ac-67dd-448e-8b21-9cb84fcd4daf</t>
  </si>
  <si>
    <t>f21d03fc-2f43-4b1d-a0df-455e016767cf</t>
  </si>
  <si>
    <t>65715401-ebd6-4000-bf71-2d9958798e65</t>
  </si>
  <si>
    <t>004f030d-70a0-44ed-8868-24a1534b24ec</t>
  </si>
  <si>
    <t>2024-09-16</t>
  </si>
  <si>
    <t>43e4f031-5a61-4054-bd90-0f7d65ad84c9</t>
  </si>
  <si>
    <t>481e9435-be37-4116-8b24-198773fd9248</t>
  </si>
  <si>
    <t>b80ae447-9001-4da6-bd2e-4ddfdb7a9475</t>
  </si>
  <si>
    <t>8fd3bc59-e4c8-411f-bdbb-2c7bb84a6a2c</t>
  </si>
  <si>
    <t>de3ff6cb-61aa-4f19-a931-915cca690cd1</t>
  </si>
  <si>
    <t>469d6429-eeee-46c8-934b-2cecac1b9d3a</t>
  </si>
  <si>
    <t>b11d35a1-fc6a-42e6-b46e-3dcd941ad592</t>
  </si>
  <si>
    <t>86a431fa-80d1-4937-a065-559ba3a043a7</t>
  </si>
  <si>
    <t>66fdd08c-85ab-4710-a2e6-b0ad0a2ea6f3</t>
  </si>
  <si>
    <t>84322299-770e-47f3-8ed9-874b05137847</t>
  </si>
  <si>
    <t>2f49099a-b776-48d5-8b1a-b8f34061c0f8</t>
  </si>
  <si>
    <t>a5e2bc67-0fa4-4ba7-856f-b483531718d0</t>
  </si>
  <si>
    <t>358f7c68-c817-4738-9a60-a24c138bc97e</t>
  </si>
  <si>
    <t>d9a4f9ee-7905-4820-a6dc-97a4ba7add9f</t>
  </si>
  <si>
    <t>1775a563-d242-4f9d-90f7-2f9c027c1f3c</t>
  </si>
  <si>
    <t>c2f63801-6bc0-4a63-80a4-fa03f35c3e1e</t>
  </si>
  <si>
    <t>2025-03-04</t>
  </si>
  <si>
    <t>07fe673c-cfc3-4c68-ad81-f398a22bc896</t>
  </si>
  <si>
    <t>e48fe68d-0876-45a1-8cdd-eff2959ba8e1</t>
  </si>
  <si>
    <t>33a30792-cfe8-4025-9462-49ead20633cb</t>
  </si>
  <si>
    <t>76de9dee-0052-4a77-95b6-b3162d6fd679</t>
  </si>
  <si>
    <t>bce5a218-a620-4c86-9b29-3d5b1cccd1e6</t>
  </si>
  <si>
    <t>07a6fe2b-b219-4d11-bdad-334ff951619d</t>
  </si>
  <si>
    <t>2024-07-25</t>
  </si>
  <si>
    <t>5b91365c-e1fb-459f-8cd5-d50d6814d52c</t>
  </si>
  <si>
    <t>7dab08d5-b967-4af6-8cec-d2bb14fb6d24</t>
  </si>
  <si>
    <t>27512b3d-1f96-4b73-b57f-315b92eaca09</t>
  </si>
  <si>
    <t>3747139e-8c98-4053-8ba0-def1b6665e6c</t>
  </si>
  <si>
    <t>28e0ea44-0ea9-4ccf-a353-441094a30cde</t>
  </si>
  <si>
    <t>0d9cad77-81dc-4919-9fcc-0e6dbb4f6805</t>
  </si>
  <si>
    <t>3be39a2e-6305-41b6-94ac-b85f58a7cda0</t>
  </si>
  <si>
    <t>0a77cc70-b689-4189-b09e-471ac9feb5be</t>
  </si>
  <si>
    <t>d9c3c2f7-565b-4cc9-a843-ae3e80961176</t>
  </si>
  <si>
    <t>5f4f1229-43a8-49a7-87cd-318dbb1e3372</t>
  </si>
  <si>
    <t>8d5091c1-d2e3-4668-b1c2-6cbe9d9770d2</t>
  </si>
  <si>
    <t>2024-08-15</t>
  </si>
  <si>
    <t>44a2fde5-1502-408d-975c-dc52c8901142</t>
  </si>
  <si>
    <t>9fb0ea38-801e-472b-910b-5d858c763e8f</t>
  </si>
  <si>
    <t>a25e3951-095a-41b0-a8e8-7ef500872a6f</t>
  </si>
  <si>
    <t>406820c4-db92-4a93-a61e-b90f56fdeff3</t>
  </si>
  <si>
    <t>b4387818-0277-45e4-8bb2-16bb6bd8a9d4</t>
  </si>
  <si>
    <t>f2966959-1ca0-4194-8f28-4b2742627fcb</t>
  </si>
  <si>
    <t>a4ae369b-ef69-4033-bd16-c59aa7970976</t>
  </si>
  <si>
    <t>2fcc179a-f340-43e0-a750-cf5ff935e362</t>
  </si>
  <si>
    <t>944c6071-b2ae-4cb6-9137-1cf84e84c25e</t>
  </si>
  <si>
    <t>f08bf8db-990d-407f-9b00-4dff7f5f49b0</t>
  </si>
  <si>
    <t>73994299-68a2-4881-a73a-e712fdf87b6d</t>
  </si>
  <si>
    <t>8d374c3e-b9a2-47f6-b697-5573996e074a</t>
  </si>
  <si>
    <t>4e1cb484-b4c9-4f40-a7e4-a5f3aa8bb7d1</t>
  </si>
  <si>
    <t>21c9e78c-7e45-472d-8a15-bb2bb72d8c6c</t>
  </si>
  <si>
    <t>cbc308e8-5227-48a6-88fe-530b18c37ff0</t>
  </si>
  <si>
    <t>e3531b84-d6f1-42a3-9533-3d995180335d</t>
  </si>
  <si>
    <t>56b9f073-492d-4797-bbe1-d7b650cadfb4</t>
  </si>
  <si>
    <t>75ffdb9d-febf-4052-b9f8-d6f3ffd51403</t>
  </si>
  <si>
    <t>1650b320-d4ff-4969-803a-e1f21e843b41</t>
  </si>
  <si>
    <t>2bb22fa5-8713-4ba8-b705-d4ea2bf81f6e</t>
  </si>
  <si>
    <t>8e386d3b-e05a-485d-88ae-eeaf83716fe3</t>
  </si>
  <si>
    <t>59e8d91d-b7ab-4f10-930c-e205ca42acb4</t>
  </si>
  <si>
    <t>8826fb36-c088-487b-9de4-f7d7854d9856</t>
  </si>
  <si>
    <t>83d7d31c-7c89-43e8-b79c-8b029f053a03</t>
  </si>
  <si>
    <t>8b04d346-6978-41bf-bf1a-d3b4eb8c5cb8</t>
  </si>
  <si>
    <t>fd7db7b5-f54f-48dd-a4f8-9fa16124f385</t>
  </si>
  <si>
    <t>15e75ff0-c5ce-4b12-85d3-c064680b54cf</t>
  </si>
  <si>
    <t>da950fbd-19b9-44cb-aa36-99f6d362fa78</t>
  </si>
  <si>
    <t>435b9fe7-0d7a-4a11-97a5-639270ef5acc</t>
  </si>
  <si>
    <t>714929a3-1ffb-4a96-8d73-0381231bad20</t>
  </si>
  <si>
    <t>2025-02-22</t>
  </si>
  <si>
    <t>06d9d75b-032b-4286-96c3-feda2ce7a518</t>
  </si>
  <si>
    <t>9e954aba-7c26-40d7-b8b9-a9addea3a20f</t>
  </si>
  <si>
    <t>85a7a141-19c7-4a66-ad0e-4cbb7acd11ba</t>
  </si>
  <si>
    <t>72b5df2b-b203-4f85-bd72-d7078cc27f27</t>
  </si>
  <si>
    <t>0b41287d-6303-4e12-a912-ec790687fa54</t>
  </si>
  <si>
    <t>cf41c8fb-6711-439c-bcb6-9cbd3d7ccbde</t>
  </si>
  <si>
    <t>411ec14e-ba8e-43b9-9f2b-4051ccbbbc3a</t>
  </si>
  <si>
    <t>63acf603-a5ad-460d-a6cd-53b64f93e1c9</t>
  </si>
  <si>
    <t>e0bb4cac-0aff-4790-984b-340256faf4cb</t>
  </si>
  <si>
    <t>3e97afd4-e214-4a73-9069-7232d067b9ea</t>
  </si>
  <si>
    <t>3de294a7-451c-4112-a40c-3f0f4ce6866f</t>
  </si>
  <si>
    <t>36795c1e-249c-4fc6-b5ab-0f1e08ef8591</t>
  </si>
  <si>
    <t>ff1eeec1-8cba-4113-929b-aa6092bd612f</t>
  </si>
  <si>
    <t>67246b7f-5630-45a5-aa0f-e503af25bc5a</t>
  </si>
  <si>
    <t>cda48ba0-b087-4883-ae07-856ed553a41b</t>
  </si>
  <si>
    <t>53e320c5-033b-416c-a339-cb69b9b1c48e</t>
  </si>
  <si>
    <t>20658ac0-c296-449c-9dd8-3a96689a3921</t>
  </si>
  <si>
    <t>a6d79fb6-0fb1-4123-91bd-b5cf7b5d960a</t>
  </si>
  <si>
    <t>ed273f87-6904-4d1d-9f8e-bf25ba524e8a</t>
  </si>
  <si>
    <t>5c6d0312-bd52-4e98-afea-22ed0a910a58</t>
  </si>
  <si>
    <t>5d6e3280-260a-4e4a-aeb8-183f1750999e</t>
  </si>
  <si>
    <t>e657f8a3-2635-4df0-b484-4b4c0e1494bc</t>
  </si>
  <si>
    <t>ac9667ec-c8a2-4c23-a28a-61dec9c168e8</t>
  </si>
  <si>
    <t>452b109e-3676-4947-84d1-e18a637df398</t>
  </si>
  <si>
    <t>0aa14bb6-653b-4e57-a8ba-137dead78532</t>
  </si>
  <si>
    <t>af64344f-2b9b-4c3d-9f7e-ed2905637e0b</t>
  </si>
  <si>
    <t>27f2c18a-7480-4390-b162-adbca851fc07</t>
  </si>
  <si>
    <t>435a069e-272f-4626-bf1f-2e372fb09644</t>
  </si>
  <si>
    <t>bf1179e0-e499-4c26-83c6-b11a4026bd67</t>
  </si>
  <si>
    <t>270a7d0e-42f7-4501-9803-bd7e5cef05eb</t>
  </si>
  <si>
    <t>1e679f6d-3c74-43bf-92ca-2ef049b86b41</t>
  </si>
  <si>
    <t>a89d0bbe-ef84-4b8b-8cad-f91b25689e25</t>
  </si>
  <si>
    <t>84e683e8-3112-4922-94ad-4f163319e60f</t>
  </si>
  <si>
    <t>02821522-147f-4ed5-98de-39ee7c429e8d</t>
  </si>
  <si>
    <t>b4f5e769-e733-46cf-ab12-0f237732f3a0</t>
  </si>
  <si>
    <t>be9e2820-149e-425f-b714-334ec5eda945</t>
  </si>
  <si>
    <t>66c55850-0cd6-414d-9fd7-aed5606af192</t>
  </si>
  <si>
    <t>80e361dc-fe0c-4ecc-ab9d-0019aeb253a1</t>
  </si>
  <si>
    <t>8e8087c6-0468-4f0f-a26b-eee1ae5ffeaa</t>
  </si>
  <si>
    <t>ba0285a5-430a-4bc8-a93c-370c8c88a1f9</t>
  </si>
  <si>
    <t>9b8c61ee-2bba-4a3e-bf71-b3a4b1b2b374</t>
  </si>
  <si>
    <t>6ff219f1-5883-4791-adae-57e51383832d</t>
  </si>
  <si>
    <t>422ee95f-ce83-4457-8ce6-11da8f5ef791</t>
  </si>
  <si>
    <t>331efb14-e741-4b01-943b-499de9cca2ca</t>
  </si>
  <si>
    <t>72f66325-487e-4874-b3e8-96061509ca6e</t>
  </si>
  <si>
    <t>b9bf114d-3705-44be-ba76-99120b80360e</t>
  </si>
  <si>
    <t>5b03bb0f-f0cc-4a2d-868b-a945dbdc7691</t>
  </si>
  <si>
    <t>bed41e47-e782-4a61-a104-3e714772155b</t>
  </si>
  <si>
    <t>5a98f7c1-219a-45d3-aba2-5341c0b7da6c</t>
  </si>
  <si>
    <t>34b3e294-23b4-4eca-b8c4-8a1db845d174</t>
  </si>
  <si>
    <t>7beeaa27-824b-4ff6-a237-679908f4c543</t>
  </si>
  <si>
    <t>d27db15a-61c5-49a2-bc92-bb43c3a2e43d</t>
  </si>
  <si>
    <t>405df87c-f5ac-424f-821a-3e3a796fc520</t>
  </si>
  <si>
    <t>72a33728-e78a-47cf-998b-3d88517eb53d</t>
  </si>
  <si>
    <t>88215d86-ebdc-4c1e-bd09-f83152fbcc15</t>
  </si>
  <si>
    <t>47146a7b-879d-4afc-a64c-18d36bf857e6</t>
  </si>
  <si>
    <t>da30dbf3-fd23-47a6-a1be-634f42b9742d</t>
  </si>
  <si>
    <t>0ddb469e-bc2a-4a41-b333-fb2fc4ca56c5</t>
  </si>
  <si>
    <t>6384f1a7-610a-437b-98de-fd586ad6ba1f</t>
  </si>
  <si>
    <t>203f8fac-d364-4189-8327-54e019e16a74</t>
  </si>
  <si>
    <t>afed16a1-f9d5-41fe-9209-c476d9225df0</t>
  </si>
  <si>
    <t>1e3c604f-a322-436e-9299-7a027c393271</t>
  </si>
  <si>
    <t>fb0f3866-1669-449c-91c6-68c42abbe292</t>
  </si>
  <si>
    <t>931b3df1-1a20-4872-b332-8a9784598048</t>
  </si>
  <si>
    <t>d5263454-5f99-4667-a04c-1953ed154139</t>
  </si>
  <si>
    <t>f853c906-f813-4db0-9501-328df8e7b03a</t>
  </si>
  <si>
    <t>0aa9afa8-b6aa-4dc5-803b-25f146634ee4</t>
  </si>
  <si>
    <t>2025-01-21</t>
  </si>
  <si>
    <t>0dd02a89-ac3b-4a39-aae0-131f30a3b4a6</t>
  </si>
  <si>
    <t>01824472-f2f8-42a5-9f23-51f9eb0f76a1</t>
  </si>
  <si>
    <t>a6b04950-934f-4db6-98b9-45baa1ca11cf</t>
  </si>
  <si>
    <t>2cb8f625-bb3f-42b5-bfbc-b9dcb5841fd9</t>
  </si>
  <si>
    <t>dd122ec0-6057-4d87-830c-d71b6716f8f3</t>
  </si>
  <si>
    <t>071bef15-3718-4a48-900e-4e6490c1b32c</t>
  </si>
  <si>
    <t>1fee17d0-de17-48cd-9c80-5916e4f4ca1b</t>
  </si>
  <si>
    <t>009f27e9-925c-4756-94d8-940559a764de</t>
  </si>
  <si>
    <t>3dbbb498-517b-48f9-a643-14a626d589b9</t>
  </si>
  <si>
    <t>889166ac-0864-405c-9c84-715a95057955</t>
  </si>
  <si>
    <t>9b151b86-424f-4317-ba76-c7274bae0df4</t>
  </si>
  <si>
    <t>447eb555-d0f3-4a13-81b8-ceb7de4a4eb4</t>
  </si>
  <si>
    <t>e3324644-0428-4474-965e-6ce1877db2cf</t>
  </si>
  <si>
    <t>faceee16-d1c0-4123-a17c-5ac9620c7b24</t>
  </si>
  <si>
    <t>0b215365-251d-4f3b-831e-b641f0fd8cc9</t>
  </si>
  <si>
    <t>bb95d965-f90d-49ab-b760-c6f24ae4d279</t>
  </si>
  <si>
    <t>4a939bfb-c37a-44c1-967b-54422fc6d4a6</t>
  </si>
  <si>
    <t>2b324202-178c-45af-8573-ed752f905dfe</t>
  </si>
  <si>
    <t>8fb99e7a-6aac-4b6a-a6cd-fffc3c8164d1</t>
  </si>
  <si>
    <t>f10479d0-eb9b-4694-b552-2f52004c1b80</t>
  </si>
  <si>
    <t>55e23a88-28ca-4212-9975-b0b28a3d6694</t>
  </si>
  <si>
    <t>588526cf-9bc9-4795-8915-c369c4824792</t>
  </si>
  <si>
    <t>c48a563f-6ce5-4d3b-9983-d410c6710da5</t>
  </si>
  <si>
    <t>ab60a878-2d6a-4d83-820e-7b6b06d03ce7</t>
  </si>
  <si>
    <t>0c5f5302-70fb-4bfb-a6eb-0c4ea9a274fc</t>
  </si>
  <si>
    <t>fe39c56c-74e5-408e-a87d-19e4707c5922</t>
  </si>
  <si>
    <t>a91840a2-7a41-4905-89a0-d54c479864a9</t>
  </si>
  <si>
    <t>b1e054ff-5fbc-4526-8884-71d70eaadc04</t>
  </si>
  <si>
    <t>05e69be2-0fd6-4b8b-881f-44d180daaeb0</t>
  </si>
  <si>
    <t>abef5993-71e6-4ad5-9c41-acd80845a974</t>
  </si>
  <si>
    <t>7c317199-8e83-438d-b7d4-3b96b850d0bf</t>
  </si>
  <si>
    <t>f3b59170-87fc-40ad-a991-ed5879bf0482</t>
  </si>
  <si>
    <t>44740234-2bd7-450c-9fb6-527601c31f6f</t>
  </si>
  <si>
    <t>945f2312-7a17-4b80-ae99-fe57d9f97b3f</t>
  </si>
  <si>
    <t>f5c38a6c-2783-4f14-885b-5a947c22fb16</t>
  </si>
  <si>
    <t>ad5b7bac-3cba-4c46-abd5-ee5cbca40a1c</t>
  </si>
  <si>
    <t>7d283985-d788-400e-86c2-025ae6e08663</t>
  </si>
  <si>
    <t>09e8b1f3-c061-4d12-bac3-af8372bee67d</t>
  </si>
  <si>
    <t>65e32f1e-29d9-485c-970d-a0a93f8c37b8</t>
  </si>
  <si>
    <t>557288ca-8a96-43ec-b32a-b6cd29d92919</t>
  </si>
  <si>
    <t>cb03d3b7-ad5e-4f02-8f12-61998df3b95e</t>
  </si>
  <si>
    <t>2bdf464b-caab-4958-8465-ede9f43a3412</t>
  </si>
  <si>
    <t>4dddd153-914e-4df2-9477-e0a1220a1bb1</t>
  </si>
  <si>
    <t>fd237b6d-96ea-4ca4-b50f-16e5e14b2064</t>
  </si>
  <si>
    <t>3754d16f-e08b-402b-a3d2-c07320426996</t>
  </si>
  <si>
    <t>614e4c7c-ace3-459a-b5aa-63c839d68d4f</t>
  </si>
  <si>
    <t>489da7ea-fdf8-4a46-9465-bead50750284</t>
  </si>
  <si>
    <t>8995dff1-580d-48d9-af86-6beb465c2b36</t>
  </si>
  <si>
    <t>2e4c57be-8d04-4a32-aa75-44f3025ae040</t>
  </si>
  <si>
    <t>63d5c57f-6f3f-478e-8a45-2f6f77478dd4</t>
  </si>
  <si>
    <t>509b98e0-dbe8-4c79-9817-06ba45293d5c</t>
  </si>
  <si>
    <t>85f5d554-4e61-4cb8-9f40-6f42e050ac8a</t>
  </si>
  <si>
    <t>858130d7-a2df-451a-9e19-4659f45ae341</t>
  </si>
  <si>
    <t>73280a6c-bf69-4662-9147-6720ac617da6</t>
  </si>
  <si>
    <t>2025-01-19</t>
  </si>
  <si>
    <t>6662c452-3d9e-44ff-bd94-f2627edd14c2</t>
  </si>
  <si>
    <t>e5eaf981-77a2-4c81-aee8-ba4e742fdf42</t>
  </si>
  <si>
    <t>906fece1-cfba-4f58-bed6-8f4d1f4051cd</t>
  </si>
  <si>
    <t>5e20456e-7989-479a-90b6-cdda290bc0b3</t>
  </si>
  <si>
    <t>24a32f18-6eb9-4ecc-90b8-83d5091dae60</t>
  </si>
  <si>
    <t>9d46e8ed-095d-4f07-9c4a-a2bd53d0a1ec</t>
  </si>
  <si>
    <t>58c54b5f-3db8-4187-8c91-edf3c5ba6d9c</t>
  </si>
  <si>
    <t>181be146-35d8-4837-a0a0-4c88daec481e</t>
  </si>
  <si>
    <t>bf83dff8-6ef2-493c-b37b-484413802d62</t>
  </si>
  <si>
    <t>1358fe4f-bdd5-465d-bff5-4761ef2677c4</t>
  </si>
  <si>
    <t>f363e442-dbb7-4ac2-9521-75c20eee4ae0</t>
  </si>
  <si>
    <t>6e1b8438-4862-4e85-88a1-ca133562d0b3</t>
  </si>
  <si>
    <t>b40e9247-b212-4437-9faa-fd2426454498</t>
  </si>
  <si>
    <t>3e1f005e-1255-4ea1-b002-049ed8b410d5</t>
  </si>
  <si>
    <t>97639328-9372-4027-9105-ac331a29c318</t>
  </si>
  <si>
    <t>f274adb5-7b90-47cf-8bc2-2da4de375517</t>
  </si>
  <si>
    <t>5280ee69-a460-4401-982a-2c5e57f7fb85</t>
  </si>
  <si>
    <t>b87cc78e-c5a2-4a11-81e7-116a25274444</t>
  </si>
  <si>
    <t>a4ab45ec-195e-498a-a7dd-8c4db66adf4d</t>
  </si>
  <si>
    <t>de6ca46e-eead-43f0-8287-3d24b69dc3d2</t>
  </si>
  <si>
    <t>2eace873-1a1c-4a55-9a74-e4be90b498ee</t>
  </si>
  <si>
    <t>70cbe744-0080-4805-89b0-3315ac2e7494</t>
  </si>
  <si>
    <t>5a988ad9-88e7-4d54-badf-7b76a4bf0e48</t>
  </si>
  <si>
    <t>7eb4d312-96bd-49d9-8a6b-722371d62547</t>
  </si>
  <si>
    <t>0838f58f-7c6f-4f4c-b422-23ec48e49bf3</t>
  </si>
  <si>
    <t>88b8c82d-3126-42b2-9f91-cefa59e51242</t>
  </si>
  <si>
    <t>1813da22-f3c2-492c-ac9b-cb5c3508856d</t>
  </si>
  <si>
    <t>2e9c0c28-8ded-4f88-8e64-6b582137df40</t>
  </si>
  <si>
    <t>856ec268-150b-42d1-ac9f-401cfe802a9b</t>
  </si>
  <si>
    <t>440e3fab-3cf4-46ea-8466-cb06644b37f7</t>
  </si>
  <si>
    <t>d90dfd53-71a3-46e0-b68a-932f01b69039</t>
  </si>
  <si>
    <t>be304501-d44d-40a2-afe6-4c34c4fa7b67</t>
  </si>
  <si>
    <t>a0f4d6d2-11d6-44a2-aaf2-c4dd5e69ec4c</t>
  </si>
  <si>
    <t>ad5bc212-52c3-45e2-a30b-f893cb2afe07</t>
  </si>
  <si>
    <t>8861c140-8b59-41f5-acf8-541699cf2790</t>
  </si>
  <si>
    <t>d4c2ad67-3356-4d98-b8d6-c37ab0b0afb9</t>
  </si>
  <si>
    <t>7316c9fd-e0fb-4902-a4f4-9852fdbd0dcf</t>
  </si>
  <si>
    <t>f2279346-2c85-4db8-b544-9d7253b588bc</t>
  </si>
  <si>
    <t>fe13e838-2aa5-4813-9ec7-bff685bc0cfa</t>
  </si>
  <si>
    <t>2d33cd00-7c8c-4f32-adf1-836f35084841</t>
  </si>
  <si>
    <t>040c5048-8c72-4efc-a0c6-e122a21d939d</t>
  </si>
  <si>
    <t>42c5d5eb-1adb-434d-8a73-8c58a9f43e0d</t>
  </si>
  <si>
    <t>13af8cd6-2ad7-4f71-857e-8a65c826af1c</t>
  </si>
  <si>
    <t>eb143495-9f84-4f4f-8e91-feb574dac222</t>
  </si>
  <si>
    <t>66c44310-0694-4a00-9db5-15b28d51f336</t>
  </si>
  <si>
    <t>2205b791-9c3a-463b-8636-5b8296fcb2ca</t>
  </si>
  <si>
    <t>ffae8172-3d24-436e-b607-f1f38a47ab93</t>
  </si>
  <si>
    <t>8b976444-09fd-414a-85c9-97de90da33c3</t>
  </si>
  <si>
    <t>d55efa8c-a389-4df5-80b4-bf602ed86852</t>
  </si>
  <si>
    <t>fc26d33a-4a98-45f5-a069-1cd395bb164b</t>
  </si>
  <si>
    <t>dbda4c6c-e67b-49a9-8bb7-b9de74338df3</t>
  </si>
  <si>
    <t>2fd59a23-cf3c-4163-8496-fcb61144bfa8</t>
  </si>
  <si>
    <t>30bb0287-9aa4-4584-ac0a-207ba7bb785d</t>
  </si>
  <si>
    <t>158c3eed-c955-4bcd-af4b-de13455074e7</t>
  </si>
  <si>
    <t>3a7244e3-000a-406e-b1f8-c1dcdc270e4b</t>
  </si>
  <si>
    <t>27f1127b-55f9-4868-87a2-e5f4cb88367c</t>
  </si>
  <si>
    <t>1cf003cc-3b84-4e94-a01a-c12fd592c2b0</t>
  </si>
  <si>
    <t>70df8079-781a-4990-ab9f-7dcab647b0fd</t>
  </si>
  <si>
    <t>97594a5b-49c7-49d8-8dc8-5dd89cb51123</t>
  </si>
  <si>
    <t>cc9b382b-00dd-4954-be40-a609c66a7a8d</t>
  </si>
  <si>
    <t>68774b81-85bf-46a3-94cf-e85537f1a1a8</t>
  </si>
  <si>
    <t>5ee61947-41cf-408c-8bee-54da2e9a9722</t>
  </si>
  <si>
    <t>2024-06-26</t>
  </si>
  <si>
    <t>60a86c51-b303-4492-bc8b-bcb197b0fbaa</t>
  </si>
  <si>
    <t>3cf637ae-d5c8-4177-814d-1e42232ee4d7</t>
  </si>
  <si>
    <t>5935f5ad-30c2-4467-8ac7-5511b4dc92ba</t>
  </si>
  <si>
    <t>7a87c401-7e59-42ed-b996-b57536525736</t>
  </si>
  <si>
    <t>e2ba168b-0d9d-40df-bbdf-2f6e98af5b5c</t>
  </si>
  <si>
    <t>a9a7ee3e-7577-499d-9adf-718237be6ba4</t>
  </si>
  <si>
    <t>8279d9b6-bb83-415c-b040-e89f8251446d</t>
  </si>
  <si>
    <t>440c1c66-a0d0-4338-a943-6ac88881133b</t>
  </si>
  <si>
    <t>635c7686-0cac-4b0b-aa5e-a6f69fb0b87f</t>
  </si>
  <si>
    <t>e69b3ca4-d46e-4dd6-ad2a-94b5902a8e13</t>
  </si>
  <si>
    <t>7944f5a9-c7d2-4e35-94c5-c27786766aac</t>
  </si>
  <si>
    <t>a10cb8c9-95b3-45b8-abea-c45d3a61d94f</t>
  </si>
  <si>
    <t>ebddf137-0d50-4cd4-9d0a-d0118e036f79</t>
  </si>
  <si>
    <t>fdf2498e-3aa0-4d29-a8a2-947f5a93f2f3</t>
  </si>
  <si>
    <t>e01bfecc-7809-4d1a-9987-e34eb9ee3c6c</t>
  </si>
  <si>
    <t>a7965e0b-fa15-4a52-b440-41b9d9616ca8</t>
  </si>
  <si>
    <t>a215c252-5812-4e18-9b7d-5fb57b786084</t>
  </si>
  <si>
    <t>e9eceaa6-9d54-4d17-bc19-cb6e1e5f1c02</t>
  </si>
  <si>
    <t>48e76c6b-69c2-45b1-ac67-315d3d21fef8</t>
  </si>
  <si>
    <t>062ed9d5-4382-4c89-8e13-4ee308bcaa3e</t>
  </si>
  <si>
    <t>8cbff32c-6952-46bf-b36f-1d1c9ff400f2</t>
  </si>
  <si>
    <t>21596608-4bbc-4759-8f5f-7eb2490a19d0</t>
  </si>
  <si>
    <t>82099ffe-4204-401b-9055-855a3fdf1a8c</t>
  </si>
  <si>
    <t>eb3b122d-27d5-4488-a6a3-f17b6e6b58dd</t>
  </si>
  <si>
    <t>0b8a14c9-bfb1-40ea-b176-c17178b49bad</t>
  </si>
  <si>
    <t>9081e12a-3d01-469b-81ee-4c7c62bea85c</t>
  </si>
  <si>
    <t>9d8b0c29-d5df-49c6-9e90-7e8539be97cb</t>
  </si>
  <si>
    <t>aa58ac04-1f24-4b66-a6c3-7a00d0a06923</t>
  </si>
  <si>
    <t>3b8ae331-7cff-4efc-b491-974a62ec1a9d</t>
  </si>
  <si>
    <t>8d00d3b1-5d8f-432a-9fbb-0099c6e5c412</t>
  </si>
  <si>
    <t>ead320de-d014-4f74-b669-53fe0b76ebbc</t>
  </si>
  <si>
    <t>a1f61d6a-1b7e-4e1e-8845-638bae84784b</t>
  </si>
  <si>
    <t>6ed12b6a-eb5c-4353-8116-52ccd54ef8da</t>
  </si>
  <si>
    <t>c94e264c-3519-4bd2-90b7-ccdbd4525841</t>
  </si>
  <si>
    <t>ada810ac-aa00-4654-9d19-8b773c50f8d4</t>
  </si>
  <si>
    <t>dfcea4e9-a1df-4db9-a814-20a13569a3af</t>
  </si>
  <si>
    <t>376042b7-89a5-4486-a4ab-fc16d1f8b40e</t>
  </si>
  <si>
    <t>eecd5b0d-8dfa-4daa-aeab-4b3c9e81fc2c</t>
  </si>
  <si>
    <t>78c392cc-bdec-48a8-b522-9ae24ab8f9c4</t>
  </si>
  <si>
    <t>29e264e7-38f5-4b08-b208-c9ff50d1275f</t>
  </si>
  <si>
    <t>e812877e-f6e8-43f9-9caf-ce2f48036332</t>
  </si>
  <si>
    <t>ccc8c82e-d077-4cd4-bc10-3ca93466c549</t>
  </si>
  <si>
    <t>10c4d054-716e-47cf-89b7-09d898b704f2</t>
  </si>
  <si>
    <t>59ec4f67-c4ec-4da6-9975-a74606b39ba4</t>
  </si>
  <si>
    <t>779ad53e-63b2-4bf4-b31e-6f82b75ee38c</t>
  </si>
  <si>
    <t>cffc1f62-bdb1-4a60-8c02-dcfa3e7f7524</t>
  </si>
  <si>
    <t>b82e93f2-2164-4d0f-a04d-949ec177f9b0</t>
  </si>
  <si>
    <t>c3874326-21ad-467c-b3f7-d517fb65c193</t>
  </si>
  <si>
    <t>2db4bd45-e679-4655-a65e-66ae2c95c026</t>
  </si>
  <si>
    <t>c77eacdb-9873-4b34-869e-b529b9253e57</t>
  </si>
  <si>
    <t>e7955819-a3af-4698-9417-63139708276a</t>
  </si>
  <si>
    <t>27b98fd4-934b-4776-93fe-cbbf7e3c98a6</t>
  </si>
  <si>
    <t>866527c0-b710-499c-9e46-aa6e95bf352f</t>
  </si>
  <si>
    <t>c0d86712-334f-4e6d-87d4-c0392ce8fb49</t>
  </si>
  <si>
    <t>99539f4e-e227-4431-a303-f91bec896946</t>
  </si>
  <si>
    <t>604d8513-2013-4b44-b105-73f60d499157</t>
  </si>
  <si>
    <t>58cca91f-b7c2-44fc-8310-9fdb5a404b2b</t>
  </si>
  <si>
    <t>2024-10-27</t>
  </si>
  <si>
    <t>125df85e-b7e0-4437-8b10-133d9d2e7b9f</t>
  </si>
  <si>
    <t>dc4d720d-8b26-473b-b411-4991f3474e55</t>
  </si>
  <si>
    <t>94c93640-b731-4014-8d6d-7974c36e15f7</t>
  </si>
  <si>
    <t>2024-06-05</t>
  </si>
  <si>
    <t>898e8552-b8f0-4ae0-96c3-180080f898ee</t>
  </si>
  <si>
    <t>ba0d9646-02a2-45c1-9eba-e63bf0917efa</t>
  </si>
  <si>
    <t>c4fe97bc-877f-4472-9f6b-5ece071bd1ad</t>
  </si>
  <si>
    <t>bda07917-f029-4e58-921d-feee7b74a259</t>
  </si>
  <si>
    <t>0dfb39e9-0210-4d72-bb0f-cd9de95c545e</t>
  </si>
  <si>
    <t>dcc8b21d-aa77-40ff-8a18-3941c6a25c38</t>
  </si>
  <si>
    <t>2a600a0c-05b0-4c30-8ae5-a30e89f99649</t>
  </si>
  <si>
    <t>90fb72cb-6501-4f4e-ad11-3cc02979d603</t>
  </si>
  <si>
    <t>de600ae4-a370-4c7a-8c77-86111b76e076</t>
  </si>
  <si>
    <t>df0be9dc-6ed3-4cc0-86f5-dd7b304fc384</t>
  </si>
  <si>
    <t>5aa58f86-ed9b-418c-8a4b-d4eaff726e81</t>
  </si>
  <si>
    <t>ebeeca6a-32f6-48dc-9c7c-e2a3eced89a1</t>
  </si>
  <si>
    <t>0f474012-6c64-450b-958b-892c2a817813</t>
  </si>
  <si>
    <t>2025-03-03</t>
  </si>
  <si>
    <t>6933c044-5e3e-4e3c-b428-085b0161e6f9</t>
  </si>
  <si>
    <t>0fdd4040-6205-4ee9-a775-442d2af42dcb</t>
  </si>
  <si>
    <t>aa090570-3120-4757-94b0-912529faba99</t>
  </si>
  <si>
    <t>0bed13e9-a094-4403-b70a-03b6471ebdf2</t>
  </si>
  <si>
    <t>14b53bde-e401-41fe-8af7-07ee6f548dab</t>
  </si>
  <si>
    <t>159c29f6-3ced-4cd7-acae-d8e3d25ef998</t>
  </si>
  <si>
    <t>7486d10c-4b90-4083-9d28-8a2210e22802</t>
  </si>
  <si>
    <t>bba58f87-cdc4-444f-82cd-7390c4cffdd2</t>
  </si>
  <si>
    <t>8efce094-0597-4ae7-b36b-f5b25cc845be</t>
  </si>
  <si>
    <t>1baec60f-4eae-4bf2-bbf1-24590df91a02</t>
  </si>
  <si>
    <t>68b3c58b-6dd0-475a-87f6-eb0107099ce9</t>
  </si>
  <si>
    <t>a2af0e43-0b23-435d-9222-bb20ec4b2739</t>
  </si>
  <si>
    <t>27b0c78b-0eae-4eeb-8faf-3f5c73d7b075</t>
  </si>
  <si>
    <t>8c7aa2f1-34b3-48d9-bc31-a3a485f61279</t>
  </si>
  <si>
    <t>dcea4a28-4183-4099-bfa1-a70e84fdaa94</t>
  </si>
  <si>
    <t>678f5211-21e1-40ea-9a36-d1674a2f24c2</t>
  </si>
  <si>
    <t>0120652f-7587-4611-8bba-2f290aa38680</t>
  </si>
  <si>
    <t>9447c115-2c94-473f-aa69-6e56ed07d906</t>
  </si>
  <si>
    <t>8a6470df-1f49-40d6-9b32-7e964f3a1a72</t>
  </si>
  <si>
    <t>5225fcad-8cd3-4b2b-83d0-613f52ad6322</t>
  </si>
  <si>
    <t>5de09f19-a223-445d-a79b-743ceb595382</t>
  </si>
  <si>
    <t>6b073e0a-c2b1-4d9c-90f6-ddfc14adc80f</t>
  </si>
  <si>
    <t>4ffc2a51-b360-420b-87ea-a41ff3843d82</t>
  </si>
  <si>
    <t>52f6a95a-0a6c-47d3-8330-6522e1916d5f</t>
  </si>
  <si>
    <t>673ca7a6-b807-4e2d-8c5e-94c5fb52284b</t>
  </si>
  <si>
    <t>db940273-2f8c-4a7f-a23b-975c82f3af8c</t>
  </si>
  <si>
    <t>80fd8eed-f3d1-4a17-b493-53e0a40c64f5</t>
  </si>
  <si>
    <t>3f0dfc3a-5436-41f1-a03f-a4a1b84c3b92</t>
  </si>
  <si>
    <t>9121a01e-3953-48ea-82e1-c0aa6feb1d66</t>
  </si>
  <si>
    <t>638d002c-2052-4607-ac46-e2e1517ddf00</t>
  </si>
  <si>
    <t>75c74902-c27b-4934-9b17-025d8701415c</t>
  </si>
  <si>
    <t>880f9f0c-c841-4afe-93dd-450be6953f86</t>
  </si>
  <si>
    <t>dfe6a7cb-de5d-4539-86ba-aa03688b00a2</t>
  </si>
  <si>
    <t>6cb8b8de-37b4-406d-b167-2cce6e05fc2b</t>
  </si>
  <si>
    <t>f581f811-d73a-4359-b2d9-5493593b4dce</t>
  </si>
  <si>
    <t>54f36965-589c-4e3c-9561-52b5285789a7</t>
  </si>
  <si>
    <t>aa5cd927-d06d-4363-8708-170fbddefc82</t>
  </si>
  <si>
    <t>8347324c-7c82-4133-87ab-33c253747766</t>
  </si>
  <si>
    <t>edc8eaa5-c94c-46d8-9fa9-b0911373f1cc</t>
  </si>
  <si>
    <t>703445ae-1b71-4824-9e64-42c1b1430c2f</t>
  </si>
  <si>
    <t>fa03933b-fcd6-4527-8291-b5e153e43069</t>
  </si>
  <si>
    <t>70dd2f75-70c1-4e2e-9546-99f43817382a</t>
  </si>
  <si>
    <t>39a62f7a-6739-433b-a45d-5137ce26a878</t>
  </si>
  <si>
    <t>6bb27d8e-8d0d-422b-babf-11d2b7a1b0a2</t>
  </si>
  <si>
    <t>871e4cc9-94fd-4895-ac98-5ef688e487ce</t>
  </si>
  <si>
    <t>41a2d645-71cc-4879-9542-677f8cc87e10</t>
  </si>
  <si>
    <t>86c2d6ec-ba26-47fb-9276-7a0cce6d0fa5</t>
  </si>
  <si>
    <t>dad93d39-dd7a-4f66-81bf-e3f52391b842</t>
  </si>
  <si>
    <t>1cfcab12-8a58-4780-b156-ae2f3d544c94</t>
  </si>
  <si>
    <t>64c16493-eca5-4ce7-a172-1095c8dff2ad</t>
  </si>
  <si>
    <t>0bb5c3ef-19ce-4f11-9cfd-7ccc64850619</t>
  </si>
  <si>
    <t>37d2845d-fdd8-486b-ac29-d95e12312e99</t>
  </si>
  <si>
    <t>58689795-2c06-4bfd-a6eb-4c78ec4e2cab</t>
  </si>
  <si>
    <t>c15d16cd-ca52-4c94-b265-d1c60e6972b7</t>
  </si>
  <si>
    <t>9b86e9c4-011d-46ad-a17d-6c23592efac3</t>
  </si>
  <si>
    <t>77d10263-9604-4d40-ab98-25e3ca74ee9a</t>
  </si>
  <si>
    <t>4640b7f3-51c2-4ab4-8f1a-e3ddb2fb79aa</t>
  </si>
  <si>
    <t>f7750554-1a06-47e3-9a0a-dbc02e444b34</t>
  </si>
  <si>
    <t>a9a9efc2-bd77-4ae5-afef-84e72f137171</t>
  </si>
  <si>
    <t>69a2f47d-c60d-47b0-99c6-23cc87237afb</t>
  </si>
  <si>
    <t>8512f953-90ce-4855-a4fa-251fce438977</t>
  </si>
  <si>
    <t>dd5544c6-dbd9-4004-8f85-fb8f76be0774</t>
  </si>
  <si>
    <t>c864c809-0449-4a2c-a724-12537d2c1eda</t>
  </si>
  <si>
    <t>a9c782fa-2e1a-4524-bb03-e6aae6c81e08</t>
  </si>
  <si>
    <t>c4119225-62c4-4f41-984c-b65c013c59cb</t>
  </si>
  <si>
    <t>97a8524d-5633-43f9-8754-dea747bfff92</t>
  </si>
  <si>
    <t>42224537-b289-4ab1-9496-31bcd93c5a4a</t>
  </si>
  <si>
    <t>3b0411d1-e035-4bb9-afff-9d199c9eda33</t>
  </si>
  <si>
    <t>2dd3b71f-f2e8-4d46-a1e7-f55f6d98db7e</t>
  </si>
  <si>
    <t>d6ddeedc-190e-46eb-b849-964a449c5a17</t>
  </si>
  <si>
    <t>adcff500-f984-4ce0-b1df-d11860ad3414</t>
  </si>
  <si>
    <t>f88ae9b9-2d12-4df9-b45c-553ebbe93161</t>
  </si>
  <si>
    <t>eec7cd24-1e38-443a-a57a-32e302a383fd</t>
  </si>
  <si>
    <t>bb07eb9c-795e-4fc9-a465-a12a0686e3ca</t>
  </si>
  <si>
    <t>dd0de635-8c78-440e-bf6f-1abb14a481c3</t>
  </si>
  <si>
    <t>dba37f2d-9383-4588-b195-d6ed12423f98</t>
  </si>
  <si>
    <t>5002f95e-5651-4565-9e27-a8b47fb3e37a</t>
  </si>
  <si>
    <t>d69d9a25-fe1c-4f87-9f80-6e7be2fa7167</t>
  </si>
  <si>
    <t>7b443055-fb1f-4ae0-91e2-a12bc53cde96</t>
  </si>
  <si>
    <t>6cbd756c-9f53-425f-a88a-ba5a4d0b4c07</t>
  </si>
  <si>
    <t>ac243f35-29d2-48fe-b52a-4d4691d68516</t>
  </si>
  <si>
    <t>586908ac-ee90-46dc-806d-ba38f205190d</t>
  </si>
  <si>
    <t>7fae8883-b810-4c33-8c4c-8f6d3be13b51</t>
  </si>
  <si>
    <t>7827a8ae-259f-40ad-86c6-e9cf6ca87b05</t>
  </si>
  <si>
    <t>b7d34d26-7b8c-4300-9c21-6ef67d452ed0</t>
  </si>
  <si>
    <t>032aa9b3-ab31-420f-b2b8-6ca8875fb189</t>
  </si>
  <si>
    <t>7c3e166b-5d3a-4af5-9e0c-2e02eeecc277</t>
  </si>
  <si>
    <t>3dfbffd2-3149-4f34-ae9d-a65f6f4cc094</t>
  </si>
  <si>
    <t>6aba4416-3422-4042-bce7-649386cb78c4</t>
  </si>
  <si>
    <t>da89db02-1da0-44c6-8986-163cb10ac4c8</t>
  </si>
  <si>
    <t>17a56ad7-2947-4e58-bdbd-dbecc7d05585</t>
  </si>
  <si>
    <t>263ce100-72e9-43db-b82e-c2ef78ea671a</t>
  </si>
  <si>
    <t>28ce571a-03b4-4648-8bf5-e1e880d585cb</t>
  </si>
  <si>
    <t>d48d51fc-8c68-4fbb-9f67-5bdbbdbdb3f2</t>
  </si>
  <si>
    <t>6cf90366-7fba-4d4f-a9f8-d132fc548cca</t>
  </si>
  <si>
    <t>ff680f45-99a2-44d7-b3ff-441ebcc382e3</t>
  </si>
  <si>
    <t>0e5139af-38ec-4de7-b5bb-7aff57cd7302</t>
  </si>
  <si>
    <t>cc6ff1cc-f153-4ad6-8649-b15cc003a68f</t>
  </si>
  <si>
    <t>b6151e29-c537-4320-88ab-e680d7567a32</t>
  </si>
  <si>
    <t>6aa84973-ea76-49a6-9871-8773e433b5a9</t>
  </si>
  <si>
    <t>885181e9-a618-463c-bd42-c9d1ea3fb48e</t>
  </si>
  <si>
    <t>868918fa-d5a4-43b3-a5cf-9dd71ac88681</t>
  </si>
  <si>
    <t>7df7a359-32bf-4db3-bfcf-0637534d9fff</t>
  </si>
  <si>
    <t>9a74c8cc-1702-46cd-be87-0c7ccfa66b5e</t>
  </si>
  <si>
    <t>4ed90e61-991b-4634-9481-1ab504501f03</t>
  </si>
  <si>
    <t>771f2449-c4cb-4d65-939d-09a3da58f3a6</t>
  </si>
  <si>
    <t>fdae77ca-62cc-453a-8a40-08ae6afb9266</t>
  </si>
  <si>
    <t>2de181c1-082b-47dc-8d93-f4eca8fc0d62</t>
  </si>
  <si>
    <t>d16e4a83-aaf2-4248-8e74-df75c2ce9d1c</t>
  </si>
  <si>
    <t>f9ac6afb-e2f0-4f47-bd83-759af6e40ee6</t>
  </si>
  <si>
    <t>7530e206-d86b-436f-af60-96d7a778069e</t>
  </si>
  <si>
    <t>c7267f40-c895-48e8-a5d0-e21853e7a918</t>
  </si>
  <si>
    <t>612a0a4d-b440-4e52-ba70-c5dc31557b9a</t>
  </si>
  <si>
    <t>2b7bd762-b3e4-4184-9630-82e051841132</t>
  </si>
  <si>
    <t>51d0f94d-60fb-4de8-b320-9856299a582b</t>
  </si>
  <si>
    <t>e0294d7b-0c98-403f-abc4-dcc4155c9e8d</t>
  </si>
  <si>
    <t>98a6c046-a17f-4ef7-8ff1-96a7bdc3dcff</t>
  </si>
  <si>
    <t>df56c8a7-42fd-4f68-85bb-79102964d2a2</t>
  </si>
  <si>
    <t>c9dd9a15-a9b9-431d-8825-b622ce922565</t>
  </si>
  <si>
    <t>56c5354e-406e-4ff7-ac2a-4159d081b08b</t>
  </si>
  <si>
    <t>f634d0ee-5d6a-4c42-8525-d32baaf327b3</t>
  </si>
  <si>
    <t>91f12f51-f69c-4b0f-b177-7a906ef72b21</t>
  </si>
  <si>
    <t>f120525b-8c06-425c-8d22-7b0bc6fd933f</t>
  </si>
  <si>
    <t>4d3b32c2-88be-4bb7-977a-d8243833ba0c</t>
  </si>
  <si>
    <t>a66cbb24-54d5-4abb-a4f0-019f8bcd1fa7</t>
  </si>
  <si>
    <t>527d51ea-b1ee-48d1-861a-9ecc99cf3f7c</t>
  </si>
  <si>
    <t>672c7210-286f-4424-9630-e233a7177c3b</t>
  </si>
  <si>
    <t>142b3725-5155-4e1b-a8c7-351ba3890dc2</t>
  </si>
  <si>
    <t>e1377bac-314c-4b21-a0a4-7c18ab1365c0</t>
  </si>
  <si>
    <t>d612e49d-7368-4b3c-b0d0-ae5801a099bf</t>
  </si>
  <si>
    <t>3856e5ee-7718-4e49-b92a-d2572c51ae88</t>
  </si>
  <si>
    <t>5a09c060-74a6-437a-99ee-1ad754a5f681</t>
  </si>
  <si>
    <t>9b7be229-6dcd-4c25-94a7-9963ae019ce5</t>
  </si>
  <si>
    <t>658a37b6-4538-44e3-b535-ecc662cc5246</t>
  </si>
  <si>
    <t>cb3a03ff-97d7-4d51-88ce-401b930c444b</t>
  </si>
  <si>
    <t>056c07d3-d10e-4b08-b9c0-40428669533d</t>
  </si>
  <si>
    <t>60275be6-a674-4bf8-be46-93c54150f027</t>
  </si>
  <si>
    <t>d70bdd07-a023-459c-a624-633e163717b3</t>
  </si>
  <si>
    <t>81054a86-e005-459f-af3d-ac1c003cdf80</t>
  </si>
  <si>
    <t>4baf74e4-fa8d-4b20-ab14-b4d281eeed31</t>
  </si>
  <si>
    <t>5fa67c4f-c8e6-420a-8703-12127960451f</t>
  </si>
  <si>
    <t>f9c8dfe7-9c5c-4cd5-8774-5dba9d5b402e</t>
  </si>
  <si>
    <t>209c61ba-293d-4859-b13a-71fe458048cf</t>
  </si>
  <si>
    <t>95f9aadd-0de4-4f69-9641-dd65d588aa56</t>
  </si>
  <si>
    <t>8c296a3c-ae7b-4303-aa88-a43326c15f35</t>
  </si>
  <si>
    <t>cc48474f-55a7-4c3d-b141-d02692799e2c</t>
  </si>
  <si>
    <t>89b75a9c-7a83-402f-a9b6-88291fdbaab4</t>
  </si>
  <si>
    <t>b97b4917-7f14-4b35-a481-3e5fb1a3fcf5</t>
  </si>
  <si>
    <t>a8b58ef9-3794-402b-ba62-a2915ed47531</t>
  </si>
  <si>
    <t>40cd0dd8-6558-43c6-aa1e-306f18ae9237</t>
  </si>
  <si>
    <t>021aa74f-0bee-4830-84c5-ffa6d6a25ff2</t>
  </si>
  <si>
    <t>0ec2821f-5a64-4407-8659-26802440dfc2</t>
  </si>
  <si>
    <t>53dd3f5a-bec3-4d5f-9d09-0266429b4201</t>
  </si>
  <si>
    <t>d13e3b54-b0d1-4a0d-8bf3-443c05017de7</t>
  </si>
  <si>
    <t>2e5b80bd-9585-4d22-9ce3-3956e8d1c9ec</t>
  </si>
  <si>
    <t>384263fc-d507-4945-92b8-e021d702d0ca</t>
  </si>
  <si>
    <t>a486b99c-79b8-439d-88d5-d21fe2c41631</t>
  </si>
  <si>
    <t>25021c53-7e79-4c0c-8fd7-14db246388f8</t>
  </si>
  <si>
    <t>fb3b4a59-5308-4e2d-aea8-600bb0274b96</t>
  </si>
  <si>
    <t>5e18d7cd-587b-4c58-8441-1763184d37c6</t>
  </si>
  <si>
    <t>d90af3ff-67fe-4986-9be0-9bb5e6d8e51c</t>
  </si>
  <si>
    <t>93a51feb-64f2-423b-8465-9533246c6c68</t>
  </si>
  <si>
    <t>6108e899-9cf4-4325-8981-17a738906c5a</t>
  </si>
  <si>
    <t>6e79015e-c4d7-4bab-a32c-fb1493c36d68</t>
  </si>
  <si>
    <t>2b9770d0-4e8f-4f53-883d-58d20f399291</t>
  </si>
  <si>
    <t>d7bbfd23-07b4-414f-91e7-16e8058c1afb</t>
  </si>
  <si>
    <t>9105cfea-8010-4d3d-8e1c-68bab4027fc8</t>
  </si>
  <si>
    <t>feda5b20-8121-4e9a-93e1-5b12f78fbe7e</t>
  </si>
  <si>
    <t>892c77dc-ed69-4c3a-815d-324d5521eef0</t>
  </si>
  <si>
    <t>b0151a14-ad7b-4f89-b551-e73cec92fb19</t>
  </si>
  <si>
    <t>bdb53e84-0937-44a1-8206-576ab32e0895</t>
  </si>
  <si>
    <t>da56f38c-203f-4104-971c-09fb9dcdf3fe</t>
  </si>
  <si>
    <t>4b53cf7d-68c8-4925-8888-810e84243400</t>
  </si>
  <si>
    <t>28e9c289-4c3b-4355-8763-2fc176d4f728</t>
  </si>
  <si>
    <t>929ff99c-5204-4bf9-ac43-db0421683552</t>
  </si>
  <si>
    <t>580477a6-16e5-4b83-8fc6-665c50d62072</t>
  </si>
  <si>
    <t>b34a8d1e-dfb0-4700-b434-fbd3b6bd7685</t>
  </si>
  <si>
    <t>aba3313d-1582-4fb1-b906-de83fd43929b</t>
  </si>
  <si>
    <t>47a79101-90af-4869-a003-33af79da75fa</t>
  </si>
  <si>
    <t>059d00c7-592a-401a-8711-429fd1614cbf</t>
  </si>
  <si>
    <t>8172d0c7-e508-4f66-941d-4e2697e19114</t>
  </si>
  <si>
    <t>a50ff9fe-fa12-45ec-9995-42fadf4ba1a9</t>
  </si>
  <si>
    <t>352a5535-7700-4091-846e-d691a95b025c</t>
  </si>
  <si>
    <t>c1181546-00e5-41bb-8579-37c60476c513</t>
  </si>
  <si>
    <t>08199afc-ffc3-4cc9-b689-1626086847ab</t>
  </si>
  <si>
    <t>0be8d978-e6ad-4b83-add1-11bf9c2dafed</t>
  </si>
  <si>
    <t>6be004ca-9add-4f57-81e6-4b3e5ac89bc4</t>
  </si>
  <si>
    <t>2025-03-25</t>
  </si>
  <si>
    <t>d97fc02c-15f7-4c28-996d-8143533e2c2a</t>
  </si>
  <si>
    <t>0a3b6398-57d1-4a0b-b0f6-b21918f2f6f2</t>
  </si>
  <si>
    <t>e00c1fe4-75c3-40f4-a6a0-3bb8349eb80e</t>
  </si>
  <si>
    <t>77a19c7f-2dd8-41b3-b07e-17bd6aa3b41d</t>
  </si>
  <si>
    <t>a8a65c2a-bb6b-4992-9a2b-69bf1b81bbee</t>
  </si>
  <si>
    <t>aaa809ad-c952-4833-92e3-521b90e6d557</t>
  </si>
  <si>
    <t>3351276d-7aa9-4e18-b0d4-9e6bbaee99a8</t>
  </si>
  <si>
    <t>1b3a5830-6a0e-4539-87d5-440b0ee205f0</t>
  </si>
  <si>
    <t>c3950607-cdab-4771-bf4c-425a81c7a5f6</t>
  </si>
  <si>
    <t>c4b8f651-63ff-4355-80b6-387d39303f02</t>
  </si>
  <si>
    <t>631392d5-df63-4c6f-999f-f4d70e62c568</t>
  </si>
  <si>
    <t>a00366fa-8aba-44c4-8d9b-ecb62344f8ec</t>
  </si>
  <si>
    <t>960437d2-5c0f-4431-98f0-bace03cf2ee1</t>
  </si>
  <si>
    <t>946492e7-e000-4f63-b830-a0eeccc95efa</t>
  </si>
  <si>
    <t>5659bc97-cd37-404d-889a-a919035af497</t>
  </si>
  <si>
    <t>76889556-e63f-49bc-9fde-7098faa3ee53</t>
  </si>
  <si>
    <t>e05ee324-81fd-49ac-a0d5-710ccd992668</t>
  </si>
  <si>
    <t>43673cc5-58d1-4d67-ad0a-fe5f6aa5730b</t>
  </si>
  <si>
    <t>b4ed6f20-1999-4f14-b3a4-779497beffa9</t>
  </si>
  <si>
    <t>6c4847a4-e7fc-4762-812f-79b56e6f23f3</t>
  </si>
  <si>
    <t>831b34d8-062a-4f77-819a-ee375afb2d35</t>
  </si>
  <si>
    <t>4ec35264-c4bd-4e79-a3eb-981e5c88764b</t>
  </si>
  <si>
    <t>0f651dc1-ec03-4008-a13b-94dd2002973d</t>
  </si>
  <si>
    <t>5b8c1e66-9fdb-4112-9507-28ddee3668dd</t>
  </si>
  <si>
    <t>51402e76-cf66-4eab-92b9-91aa757882e6</t>
  </si>
  <si>
    <t>fb204b1b-8f91-4e9e-91fa-614be151fce0</t>
  </si>
  <si>
    <t>8ae35718-0375-47a4-a50f-b94c5ee5022e</t>
  </si>
  <si>
    <t>37806e3b-65a0-433e-ba48-55b7e7265974</t>
  </si>
  <si>
    <t>99324930-8e28-4937-9d8d-47c0ac743a94</t>
  </si>
  <si>
    <t>3d3d283a-60a8-429d-a305-9eb9a47006f8</t>
  </si>
  <si>
    <t>532ea2d1-15f0-4b0b-b5e6-37764ebea940</t>
  </si>
  <si>
    <t>403cdc6b-8761-4cfc-9477-2b92c894e2f0</t>
  </si>
  <si>
    <t>aae95f55-388f-4df6-9b46-4676c8a8c3cc</t>
  </si>
  <si>
    <t>a358daa6-6645-459b-aed5-726fe918b375</t>
  </si>
  <si>
    <t>edef0c42-99e1-4d70-a05d-85adfa826e47</t>
  </si>
  <si>
    <t>b83ffba3-2b23-4a6f-8802-2573dad1e1ea</t>
  </si>
  <si>
    <t>8f9557cc-53b8-47bc-ad11-eadb96d979d1</t>
  </si>
  <si>
    <t>d7f6f99e-c09f-48b7-9fea-30e504778381</t>
  </si>
  <si>
    <t>25c83c5b-508b-4893-8d48-de752523d4a9</t>
  </si>
  <si>
    <t>02ae8641-c6df-4228-a709-4560dabe69e8</t>
  </si>
  <si>
    <t>fd9ead51-70ad-404f-9d16-b74e90065b1e</t>
  </si>
  <si>
    <t>2024-10-20</t>
  </si>
  <si>
    <t>562c78d8-fd42-4437-a829-1793431870eb</t>
  </si>
  <si>
    <t>a04dc204-8328-4f1b-bec6-5655d63102bc</t>
  </si>
  <si>
    <t>a13ce8e9-e9a4-47e4-833b-a52cfe03e732</t>
  </si>
  <si>
    <t>d07fb79b-d6da-4310-b11a-f3dc331cc0f7</t>
  </si>
  <si>
    <t>97aa0e34-8ae3-4514-8072-c8ea6d822085</t>
  </si>
  <si>
    <t>fcbdb2d9-ae3e-4d51-a4e9-378fccbdf041</t>
  </si>
  <si>
    <t>7a4ec323-45f3-42c2-b132-df8cff7ea486</t>
  </si>
  <si>
    <t>e6e43b3d-f6b8-40fe-8201-d846df208ec8</t>
  </si>
  <si>
    <t>06555564-2d79-45b6-8d5d-37404c3a9005</t>
  </si>
  <si>
    <t>e63b9df2-f977-4c56-a00d-1552d14ab715</t>
  </si>
  <si>
    <t>e0606de8-f811-425c-8887-1d8ef5da21e2</t>
  </si>
  <si>
    <t>f3725641-5768-4f5a-901f-1ef70141aa7e</t>
  </si>
  <si>
    <t>3152bf68-cd30-4335-b8c0-1a8d36684ea1</t>
  </si>
  <si>
    <t>969ad3c9-7008-4398-9c1a-e9a9caa01750</t>
  </si>
  <si>
    <t>f24cff36-97b5-4779-a4b4-10b2f590ea63</t>
  </si>
  <si>
    <t>0f45314a-61d2-4823-9b84-6d7c962548d1</t>
  </si>
  <si>
    <t>67e4272c-616e-4b12-a9d7-1d0c345ded1f</t>
  </si>
  <si>
    <t>c239f4e7-1b45-4eb2-bf10-31318a392c8d</t>
  </si>
  <si>
    <t>85935260-c93f-4ff2-9055-abb276c377da</t>
  </si>
  <si>
    <t>8ada07c3-4ffe-476c-8c2b-eb6ddfe145fa</t>
  </si>
  <si>
    <t>d9cb4af7-ee15-4c12-9c2c-7772800718d5</t>
  </si>
  <si>
    <t>662a8e44-ff40-4616-a050-fc87889c1645</t>
  </si>
  <si>
    <t>98fbbe84-af0c-4338-abb7-7f381f6f6eba</t>
  </si>
  <si>
    <t>6b335364-3fc6-4a11-adfa-e33780b4c2d5</t>
  </si>
  <si>
    <t>e3c011f1-e2f6-4214-ad3e-ff0a54a5b22c</t>
  </si>
  <si>
    <t>3c51710e-e8c6-4751-a096-aae4338d7e75</t>
  </si>
  <si>
    <t>275288d7-de1e-4121-8448-1400086196e6</t>
  </si>
  <si>
    <t>13fa1273-876f-40ec-8d19-fd617828b810</t>
  </si>
  <si>
    <t>711e7982-9024-4435-b143-50fd3186bbe0</t>
  </si>
  <si>
    <t>e67c1550-2086-407f-b18c-4de7e5d7eb97</t>
  </si>
  <si>
    <t>9ffc72f6-1015-4f45-a72d-afa7fd6982bf</t>
  </si>
  <si>
    <t>1427593f-6d9f-46da-9353-1adac57c6ecd</t>
  </si>
  <si>
    <t>b986c4b4-7b1a-46a1-bbbc-5e7e70cc9fca</t>
  </si>
  <si>
    <t>9adba053-61c9-4659-b3d0-cf8f1651d3be</t>
  </si>
  <si>
    <t>ab2f3cd4-5294-466c-853c-ff6ef755a2e0</t>
  </si>
  <si>
    <t>82ea0a54-370d-4750-bfcb-752e3db9cd0c</t>
  </si>
  <si>
    <t>de4151c5-8470-4025-a960-78bc703103ab</t>
  </si>
  <si>
    <t>2024-04-21</t>
  </si>
  <si>
    <t>70a15f65-be48-4f80-8fd9-31b9045f3e90</t>
  </si>
  <si>
    <t>a10f2cd8-0a53-46cd-89b9-52f52c78e726</t>
  </si>
  <si>
    <t>26d4223b-83bf-4380-aeb5-99a464cf6d25</t>
  </si>
  <si>
    <t>64357d1c-18b1-4618-9ce8-58697e1f7e70</t>
  </si>
  <si>
    <t>324ca328-937d-440e-bc60-416a7153d890</t>
  </si>
  <si>
    <t>1b4de54d-8aaf-466f-b517-bc4a799888f4</t>
  </si>
  <si>
    <t>1d3747de-af5a-4bdd-b56e-6afc7e4d9e6a</t>
  </si>
  <si>
    <t>847caa2b-44e3-4500-977c-4acea401d2d0</t>
  </si>
  <si>
    <t>1b7a7188-2336-4e5d-be23-05d6ed62a2f9</t>
  </si>
  <si>
    <t>e7b2f79d-4aa0-4a38-8597-56ca9aedd7c0</t>
  </si>
  <si>
    <t>b1867e88-95dc-4f9b-9ded-e80ef59ca3af</t>
  </si>
  <si>
    <t>eff7f5d3-4775-4b30-bd43-3afee35e41b6</t>
  </si>
  <si>
    <t>9c516236-5e09-4ff2-bdc9-75433d2bff7b</t>
  </si>
  <si>
    <t>bdfa6cb2-f8a1-4550-b9dd-1ae0eb3e88c3</t>
  </si>
  <si>
    <t>c8e157b5-3068-41a9-bd64-536fe570d51c</t>
  </si>
  <si>
    <t>c2f8216a-d2aa-4b3e-832d-a15e4dc81674</t>
  </si>
  <si>
    <t>1e1014a9-bd63-46a4-a636-7e6503b6dbc4</t>
  </si>
  <si>
    <t>7773e1bd-a865-4273-b6b1-5368c978e07c</t>
  </si>
  <si>
    <t>7b55269f-7a47-4778-9871-bce60e5d83d5</t>
  </si>
  <si>
    <t>fa6b44f3-d742-444b-b4aa-3744abbf1bef</t>
  </si>
  <si>
    <t>082410e9-431c-4247-9d29-1d494339a978</t>
  </si>
  <si>
    <t>339f5a90-2669-43d0-b8fc-30bb79c1f2e2</t>
  </si>
  <si>
    <t>64904ed2-d6c8-4b9f-b441-43ae50868d44</t>
  </si>
  <si>
    <t>727e5885-0f48-4453-9c68-55fe0a588e29</t>
  </si>
  <si>
    <t>be18897c-cfa2-49e0-bd8e-170347f183d5</t>
  </si>
  <si>
    <t>eaa483b5-f267-49c3-a134-058d23175873</t>
  </si>
  <si>
    <t>9bb693b1-c5d9-4536-a218-2eca85e14b86</t>
  </si>
  <si>
    <t>9f8b73f5-1ba9-4ec6-858f-82bbce738107</t>
  </si>
  <si>
    <t>ef684e65-34e4-4b9e-a50b-bbed06984a73</t>
  </si>
  <si>
    <t>2e3eaba1-8db1-41a2-a2cb-2251c8849653</t>
  </si>
  <si>
    <t>3caae2bd-3a1d-4e5e-8259-9070dac16c38</t>
  </si>
  <si>
    <t>9d32bf61-fb51-45fd-828c-fc652d7ff178</t>
  </si>
  <si>
    <t>1ba93adb-3a64-4df7-b66a-f561de48f5d4</t>
  </si>
  <si>
    <t>8661b978-c63a-4b38-9f31-08f49e71dd69</t>
  </si>
  <si>
    <t>44c17c7b-6448-4785-b85b-4fa3bb13cea4</t>
  </si>
  <si>
    <t>2bf992c7-f379-4626-be8f-27158b2d68ae</t>
  </si>
  <si>
    <t>8f44d8fc-322c-4d57-bf4c-ccacb70699c3</t>
  </si>
  <si>
    <t>196306ac-2908-4967-bbfa-00bc039505d9</t>
  </si>
  <si>
    <t>021b02a4-11f5-43a9-bbfb-e049cd0e2202</t>
  </si>
  <si>
    <t>af25f1a2-88fd-46f7-985d-54c928088852</t>
  </si>
  <si>
    <t>7921cc1e-d1a3-4188-91de-527ce0e6340c</t>
  </si>
  <si>
    <t>615dd087-6146-4817-a127-95e9d21a205d</t>
  </si>
  <si>
    <t>ed829f4e-24ea-41c0-b1ab-b52f523d596c</t>
  </si>
  <si>
    <t>c2d38d86-0849-450e-b20e-7598c76f09f6</t>
  </si>
  <si>
    <t>bab8e489-f6e0-4d0e-b77a-a50077b0a0d3</t>
  </si>
  <si>
    <t>fb6c8f06-8709-4f44-8422-42ba9d6d52e4</t>
  </si>
  <si>
    <t>eb95fb51-372a-40e1-9329-29720cff644c</t>
  </si>
  <si>
    <t>7f59f2d3-c81a-4e1f-88f1-a6f0722d3d73</t>
  </si>
  <si>
    <t>0f246fa4-924e-4bd8-9bde-9edc3b5fd04f</t>
  </si>
  <si>
    <t>dba7c9a2-1b9f-43ef-8144-ae9dcd65eda1</t>
  </si>
  <si>
    <t>ed2792ee-8d7a-4770-857d-b0f52be6702c</t>
  </si>
  <si>
    <t>44f52b01-ae97-4007-bfdf-0e00ba27b339</t>
  </si>
  <si>
    <t>34de1dd6-ebde-4ef7-a6b9-72a170758e55</t>
  </si>
  <si>
    <t>811661ac-531a-48cc-af82-0d67052fff38</t>
  </si>
  <si>
    <t>48e041a8-1076-4b41-aebf-15311624c0f8</t>
  </si>
  <si>
    <t>d7988ee9-e25f-4a0a-b496-924e934f3749</t>
  </si>
  <si>
    <t>cf95ee77-0cca-4542-9ddc-453e78d0993e</t>
  </si>
  <si>
    <t>c72888e7-059d-4130-a49f-684a71b0f63f</t>
  </si>
  <si>
    <t>e82a0402-ab88-4f42-bf5b-432bb6e9f512</t>
  </si>
  <si>
    <t>110ff662-c224-45fb-b4a4-798b9ec5ea6d</t>
  </si>
  <si>
    <t>3eda15b1-de23-4523-8a28-a69241a98ab2</t>
  </si>
  <si>
    <t>61f4d1e8-6470-4697-a3ab-04a425404c1f</t>
  </si>
  <si>
    <t>09853af6-18ad-4f58-8ee3-fbd3333cca22</t>
  </si>
  <si>
    <t>502305c2-a849-406e-94dd-526d84fcc7f7</t>
  </si>
  <si>
    <t>e6d3e964-8b10-4ccd-9723-9060cab50d7e</t>
  </si>
  <si>
    <t>a3454d20-2ac0-4bc1-bef4-01a109b3b24c</t>
  </si>
  <si>
    <t>12ab4780-0cf0-4018-8bf3-1afbcad554de</t>
  </si>
  <si>
    <t>4b901111-cc81-4f2a-8e08-484a94810907</t>
  </si>
  <si>
    <t>0b714de6-0ea9-4885-a7bb-95fb605cd58b</t>
  </si>
  <si>
    <t>212e3d48-8cad-4327-9d10-0c23f9eff211</t>
  </si>
  <si>
    <t>320c0ee9-eba9-4eed-8626-2d65d177ff36</t>
  </si>
  <si>
    <t>38ea1c24-b61e-4be0-9622-141738efda0f</t>
  </si>
  <si>
    <t>c9c6247b-bdab-4691-8e65-0de76d650141</t>
  </si>
  <si>
    <t>9a119369-b494-4757-9d77-595ed958935a</t>
  </si>
  <si>
    <t>69618cd8-c92f-42b2-b077-b71c64b8a37d</t>
  </si>
  <si>
    <t>48469d1b-5d97-441a-9045-c91aac6bf7b1</t>
  </si>
  <si>
    <t>79dce005-464d-4fd7-bd08-112dc33cb20f</t>
  </si>
  <si>
    <t>0aaa07a2-05f7-4cb2-8b6a-1dbe4d66db13</t>
  </si>
  <si>
    <t>08d0e29d-1444-4c72-8706-87d1902d5caf</t>
  </si>
  <si>
    <t>182bda97-ea97-4a77-b889-6cc4d29f56dd</t>
  </si>
  <si>
    <t>49890e9e-28af-4e85-b5a8-ccdc69a0d837</t>
  </si>
  <si>
    <t>8ac696ed-d08b-4a4b-83aa-bfcbd1e3845f</t>
  </si>
  <si>
    <t>255c004e-3eff-43da-abb8-1e676fff9d2f</t>
  </si>
  <si>
    <t>f3e81aa8-459c-45c5-a724-343ccf6e5dd5</t>
  </si>
  <si>
    <t>2441d3be-ed5c-407d-8d89-b77de21d231f</t>
  </si>
  <si>
    <t>d8855136-a95c-4f30-873e-b6fc2ae46da5</t>
  </si>
  <si>
    <t>d1ed56bb-4637-4c67-967d-fffbe6632300</t>
  </si>
  <si>
    <t>e9d2e3c8-a6f7-44bd-9578-a50e77cbd40f</t>
  </si>
  <si>
    <t>05e7f121-d79b-477e-a51d-4d53f773cdc7</t>
  </si>
  <si>
    <t>3372685a-3eec-4344-9868-1fbc012dcde3</t>
  </si>
  <si>
    <t>f052fdbe-3416-462c-bdec-b8ea0eb84a02</t>
  </si>
  <si>
    <t>f3ab92ab-45ae-4670-a0f5-d53f3615f560</t>
  </si>
  <si>
    <t>d2f60922-fdff-4c7f-9350-37e1b1f5b524</t>
  </si>
  <si>
    <t>18edf210-2c07-4995-a801-73b3d9042da8</t>
  </si>
  <si>
    <t>2c5bac1e-73f8-4c6d-9ac6-ca8abc90cf0c</t>
  </si>
  <si>
    <t>b5bbaaed-1ba9-4c05-8c4c-6d7c8c24c9df</t>
  </si>
  <si>
    <t>e4119631-75d5-4627-8315-2bb3ef028c25</t>
  </si>
  <si>
    <t>6d315363-03cb-4896-b664-eb4d66134553</t>
  </si>
  <si>
    <t>eede46cf-4b69-4fdc-94f1-bdb173e5c827</t>
  </si>
  <si>
    <t>2d90377f-fd55-4276-bb45-88d14c56d938</t>
  </si>
  <si>
    <t>35ecfd96-cd0c-4ea8-b5d7-cfcbde97a46a</t>
  </si>
  <si>
    <t>172bb0e8-ad37-4b3f-8ba3-ed4f48b84e47</t>
  </si>
  <si>
    <t>2024-11-16</t>
  </si>
  <si>
    <t>ae2b24bc-c7db-472a-add5-25c187718b34</t>
  </si>
  <si>
    <t>a67ac943-1966-4392-afee-e33c5f08d841</t>
  </si>
  <si>
    <t>5de3d5d1-07e4-45f0-b8f8-f894e414c1bd</t>
  </si>
  <si>
    <t>6438c70e-2b0f-4071-a421-8ce8427ee2c3</t>
  </si>
  <si>
    <t>63ecc4ec-3cd6-40c5-a6d7-980d8eb1ae11</t>
  </si>
  <si>
    <t>2024-05-07</t>
  </si>
  <si>
    <t>377a6d8e-882a-40d3-a696-3dda454c8c97</t>
  </si>
  <si>
    <t>ecda7396-7850-4eef-bfe7-d78bcd383397</t>
  </si>
  <si>
    <t>9715a7f0-72ac-4b53-8394-42494038ea03</t>
  </si>
  <si>
    <t>9f8ea564-85ca-4610-8445-24a1beb1e46a</t>
  </si>
  <si>
    <t>43bc24f3-5f44-45a3-9cfc-9a16fc187bf9</t>
  </si>
  <si>
    <t>97d9d4bf-9ca1-4eaa-abe4-d3eccc615862</t>
  </si>
  <si>
    <t>ede89753-4180-4e4b-8e84-49553e4d38f1</t>
  </si>
  <si>
    <t>87848f9c-b1f4-48b3-955c-d75662d18566</t>
  </si>
  <si>
    <t>d006ad81-e119-41c4-9455-dd80bcb2c031</t>
  </si>
  <si>
    <t>850868e4-a4a4-4585-b701-f0c4c94ad86c</t>
  </si>
  <si>
    <t>534e0509-98fc-4452-9579-ffbaac903a08</t>
  </si>
  <si>
    <t>33da1355-d562-4938-8f40-7fe55d648fdc</t>
  </si>
  <si>
    <t>6a7a3e26-5f61-422d-a351-bf1d0ea27b58</t>
  </si>
  <si>
    <t>d60d227c-b610-4e6c-9d59-dbccf041ccc2</t>
  </si>
  <si>
    <t>4fded67e-8e5c-4045-b736-67a565ba9f61</t>
  </si>
  <si>
    <t>23b5b111-96d0-4365-bcee-3af9e902a21c</t>
  </si>
  <si>
    <t>b25fb347-5ef9-43ea-8a76-b13cd0abfe2a</t>
  </si>
  <si>
    <t>0dee275a-26f3-4718-ace5-075b6ee14d49</t>
  </si>
  <si>
    <t>3f6a663a-ef55-4d21-984a-f7e810367f30</t>
  </si>
  <si>
    <t>e9e83fbc-53eb-4484-ba19-9a78a84950bc</t>
  </si>
  <si>
    <t>2784b5d7-33af-4d2f-b553-5275f2d860cf</t>
  </si>
  <si>
    <t>131fe7e4-9ace-4cd6-a224-09d6e854c880</t>
  </si>
  <si>
    <t>d529abe9-37d1-4c31-b311-d8c25d3608d6</t>
  </si>
  <si>
    <t>88779ae3-7f08-4225-b342-84e9c2c80577</t>
  </si>
  <si>
    <t>e37188c4-ee3d-417b-a717-b020f54ddbba</t>
  </si>
  <si>
    <t>f3e64cf7-c4fb-4b8a-a908-f7eb237ca40b</t>
  </si>
  <si>
    <t>9aa8e939-302f-449d-987b-cf1f27b2fe98</t>
  </si>
  <si>
    <t>bf5cab5d-7729-4b59-be6d-3c86ee214289</t>
  </si>
  <si>
    <t>e168d6cf-a0b1-41bb-80c1-0ee172b668ba</t>
  </si>
  <si>
    <t>a1007f17-9ac0-4cab-b24f-0c133dec98c6</t>
  </si>
  <si>
    <t>ad6c137f-640f-4a22-8b0a-9b5c231c2b76</t>
  </si>
  <si>
    <t>1e765650-a72b-4f69-8739-1f85e4f54c15</t>
  </si>
  <si>
    <t>57b14f0f-f784-449c-b0d1-054aa9b26d64</t>
  </si>
  <si>
    <t>d480cdbf-ac4d-42e7-82b4-e5e5b5f82fc1</t>
  </si>
  <si>
    <t>9a02321c-bf60-474f-8156-d384ae46472c</t>
  </si>
  <si>
    <t>82b64a9d-d4de-4713-8a7f-849fb0d1c03a</t>
  </si>
  <si>
    <t>1ee9e9c7-7b57-4c57-8e8b-f99a177faddd</t>
  </si>
  <si>
    <t>80b6987f-03f0-4296-ba23-0f2a3b823df9</t>
  </si>
  <si>
    <t>8e126fba-dd31-4e9c-a8ee-7ccbf091e1a5</t>
  </si>
  <si>
    <t>8f0a092f-70a5-434b-9acf-f0b81934133d</t>
  </si>
  <si>
    <t>b0a3b4cc-b8d3-4e7e-b418-8e614abb4c9b</t>
  </si>
  <si>
    <t>57805f8e-7d38-476e-b5cc-98a9a6ef64c0</t>
  </si>
  <si>
    <t>4ed5968e-1693-44fa-bf21-a71ab6458efc</t>
  </si>
  <si>
    <t>bcac98ba-61b2-498d-8a2e-04e7bef3b36f</t>
  </si>
  <si>
    <t>19a97a0b-f891-4b70-980a-129312d7d159</t>
  </si>
  <si>
    <t>c1e338b2-dbb5-46e5-8de4-4e022daaaa99</t>
  </si>
  <si>
    <t>9ddee744-09fd-446f-81d8-996b49480a04</t>
  </si>
  <si>
    <t>2ec69202-5e0e-4d7c-8b44-8b5b1867932a</t>
  </si>
  <si>
    <t>47681490-dc40-46d2-b81c-3d78e5009045</t>
  </si>
  <si>
    <t>e61be2e8-60ae-4337-8085-c86ca4309273</t>
  </si>
  <si>
    <t>59529f25-2323-4b0c-bff2-1527cf8faf04</t>
  </si>
  <si>
    <t>cc07fcd5-e7c2-4c49-a8b1-be11651b1957</t>
  </si>
  <si>
    <t>322cfae5-70b7-4f61-9932-115504efff3b</t>
  </si>
  <si>
    <t>b3b32225-0bca-4ef3-9cde-b9aa56516596</t>
  </si>
  <si>
    <t>994a69fc-6a00-4d5a-96fb-c441c3ced3b1</t>
  </si>
  <si>
    <t>40bee019-e784-4217-a9dd-d8585195abfa</t>
  </si>
  <si>
    <t>fe26ff4d-e3a7-44c5-9002-5db03180e8c3</t>
  </si>
  <si>
    <t>f3efe597-a0dc-4fd0-a351-713e83650a84</t>
  </si>
  <si>
    <t>dfcbba17-ae5f-42a5-a797-273629d078bf</t>
  </si>
  <si>
    <t>5b274c6c-1d0a-4518-8217-53d77b22d17a</t>
  </si>
  <si>
    <t>758e35a0-f042-4e97-9a20-5cac50fe814f</t>
  </si>
  <si>
    <t>93ee429f-b987-4c9f-9297-ea99ea7fd01b</t>
  </si>
  <si>
    <t>7c50e876-840a-4a17-8bdc-30427ec9020c</t>
  </si>
  <si>
    <t>d491e063-2fb6-47c0-8ec5-d05a96d340ed</t>
  </si>
  <si>
    <t>d1aac396-f802-478e-a467-c370f6f83567</t>
  </si>
  <si>
    <t>32bdd78f-710a-4af5-94b6-4be2a4e27d78</t>
  </si>
  <si>
    <t>7135f892-a199-4882-801d-8cc03fd868e2</t>
  </si>
  <si>
    <t>bf722536-66cc-4176-bbd7-c10140764eb0</t>
  </si>
  <si>
    <t>03d86218-9936-4329-9b78-d7bfe0cbf021</t>
  </si>
  <si>
    <t>2783ded0-2d7d-40f1-b058-227506842b51</t>
  </si>
  <si>
    <t>8d36c86a-18d6-48c3-bacc-cf6b376a9af9</t>
  </si>
  <si>
    <t>1dc40986-ac97-4976-808b-beac05f1e502</t>
  </si>
  <si>
    <t>38e26e93-ef2f-4e78-a52b-e04efd7e4849</t>
  </si>
  <si>
    <t>c4120cdb-dcc8-491a-83d6-689654bf00c4</t>
  </si>
  <si>
    <t>d3a050ab-f997-4325-9dc6-a1b531fe13c2</t>
  </si>
  <si>
    <t>9693c420-5b97-41de-bbd3-4f49a6116c35</t>
  </si>
  <si>
    <t>481cdb66-e272-4704-80a3-fc54b76e0d07</t>
  </si>
  <si>
    <t>8ef2fd22-a6af-4517-845d-0396eb29480b</t>
  </si>
  <si>
    <t>caf16aee-341b-4bb1-b934-55d330c9aa24</t>
  </si>
  <si>
    <t>b7e1eeb6-c17b-42ae-bd61-e62bfbccf96e</t>
  </si>
  <si>
    <t>996a9904-d6ba-4c7f-82d5-62b6703a4ae4</t>
  </si>
  <si>
    <t>f372bc12-c70f-4444-bdda-c9c880224e76</t>
  </si>
  <si>
    <t>91a43278-b6ab-4922-9856-b0dcfd595b15</t>
  </si>
  <si>
    <t>51f338a6-227c-4888-932b-64b463d7a3bc</t>
  </si>
  <si>
    <t>93214b4a-728b-4999-8cb1-11f0a8980f4b</t>
  </si>
  <si>
    <t>3268bf95-017b-4d7a-8cd0-8df7f8724e59</t>
  </si>
  <si>
    <t>ba204917-5495-4d87-bc40-ece6ca721df7</t>
  </si>
  <si>
    <t>58a7d456-9734-4620-b2c6-95b3f69805b9</t>
  </si>
  <si>
    <t>c3276e01-ee33-45d2-b4b1-a88554f48a51</t>
  </si>
  <si>
    <t>26020d70-e193-4d17-9886-24b3b0502c6d</t>
  </si>
  <si>
    <t>b5975f8e-757d-41b5-9675-1780f4fb7c56</t>
  </si>
  <si>
    <t>d9f8fbd9-4361-42dd-a6fb-211bf0e7ecac</t>
  </si>
  <si>
    <t>1799e394-a391-45f6-b96e-888954e3dc39</t>
  </si>
  <si>
    <t>a72bb2aa-737e-4580-8e76-b158c832621f</t>
  </si>
  <si>
    <t>b99e7a69-2548-49b9-b012-af72461debbd</t>
  </si>
  <si>
    <t>394ede79-4964-4291-b068-67109b5c0764</t>
  </si>
  <si>
    <t>7d21404a-2cba-46f6-b946-091c79b4a9cd</t>
  </si>
  <si>
    <t>3d7ebe48-252d-4b95-a67f-2b7fc276d749</t>
  </si>
  <si>
    <t>b1889075-45b5-441b-ad1f-16dd668a95e3</t>
  </si>
  <si>
    <t>737c4458-2a03-4628-a912-8caca8ab7a07</t>
  </si>
  <si>
    <t>a3fbdf99-27dd-4c8d-9671-22340063b6c9</t>
  </si>
  <si>
    <t>9ad1cc58-6ae5-4a12-b43a-c72e3d11b4b0</t>
  </si>
  <si>
    <t>e7934717-655e-4240-b5f8-0733d19fa112</t>
  </si>
  <si>
    <t>e70c6987-1b2a-4a9a-bab5-0129419d4781</t>
  </si>
  <si>
    <t>502eb5da-0218-4418-b1d8-37c33b4e5704</t>
  </si>
  <si>
    <t>fd9959de-ee33-42a8-a6d9-4aa8bb8dc905</t>
  </si>
  <si>
    <t>87d75eac-c43c-4e06-aea0-f44219ffd164</t>
  </si>
  <si>
    <t>ae1d4ef1-6d3e-4b79-a17b-3810b49b3218</t>
  </si>
  <si>
    <t>cf50f2d5-1143-4b19-ba46-cf03f7ed3ffb</t>
  </si>
  <si>
    <t>4ad10184-c78b-4337-a4d8-334ab4e15da8</t>
  </si>
  <si>
    <t>c4d3ca22-1f63-4b64-910e-587a9ca6d0fb</t>
  </si>
  <si>
    <t>a5169906-28df-48dd-b9d5-3fd2dd5a21e7</t>
  </si>
  <si>
    <t>a06958c3-b1de-48e2-80e9-b18d9e99bf13</t>
  </si>
  <si>
    <t>01a61f14-4b39-402c-b867-da87496f2c83</t>
  </si>
  <si>
    <t>b156b057-60f6-42e5-9dca-45060e327732</t>
  </si>
  <si>
    <t>ad11544f-92df-45fb-b485-6fa50ae76bae</t>
  </si>
  <si>
    <t>7d208c78-ea6a-4795-b7f4-af7c5d448954</t>
  </si>
  <si>
    <t>e3cf16c1-c1ca-4b85-9535-5eecceaccfeb</t>
  </si>
  <si>
    <t>d1e408a6-1e74-4219-95c1-e9b89320d8eb</t>
  </si>
  <si>
    <t>b815b541-2579-4efc-8962-3801e1e14d83</t>
  </si>
  <si>
    <t>005ec596-c7a2-4762-ab33-212b4f80e867</t>
  </si>
  <si>
    <t>260f1c69-3fc5-401c-a2c1-dfe997412f32</t>
  </si>
  <si>
    <t>e487fa20-3037-4ed5-a29d-c80aac0339e5</t>
  </si>
  <si>
    <t>790934e6-3fc9-44cd-815a-4556e71c533b</t>
  </si>
  <si>
    <t>45b62ae8-c4fe-4fe2-9c26-5eec8ee27526</t>
  </si>
  <si>
    <t>06b4681e-07b9-405f-b697-d07cde14dce2</t>
  </si>
  <si>
    <t>28ab55a6-cba6-444e-80f3-6c491a44ae04</t>
  </si>
  <si>
    <t>8a0b5c1c-594f-4a02-9b9e-e7ddc02a9e59</t>
  </si>
  <si>
    <t>e3266c30-32a3-464f-8126-49ea9342a8d5</t>
  </si>
  <si>
    <t>b9de6a76-e4cd-4a13-bb4b-adf0d697bbd9</t>
  </si>
  <si>
    <t>e967c565-db4b-43b8-ad96-8077adae2e20</t>
  </si>
  <si>
    <t>931d3596-1632-45da-9f93-728d0047fce0</t>
  </si>
  <si>
    <t>3a942d10-8459-422d-844b-9b9e9aa96a9f</t>
  </si>
  <si>
    <t>54ddf7be-da7a-4e09-bf17-da0bbeb331e3</t>
  </si>
  <si>
    <t>a099616d-2511-487c-b738-a4893b8ed6cf</t>
  </si>
  <si>
    <t>d93e39ae-14a0-4164-b8c3-cb8ce1f76553</t>
  </si>
  <si>
    <t>d5c180ea-3068-4721-b529-68ba8f7876d3</t>
  </si>
  <si>
    <t>845c3b73-f419-4f7a-8153-421b83835886</t>
  </si>
  <si>
    <t>10186963-4595-4599-9a54-004aab10aecd</t>
  </si>
  <si>
    <t>c30a099a-6736-4d54-a123-a85208850c38</t>
  </si>
  <si>
    <t>e143c07c-027f-4801-a8e6-72e69eea4fb2</t>
  </si>
  <si>
    <t>0b49eb0f-6d2e-4420-a9c6-9ded98ff6f9b</t>
  </si>
  <si>
    <t>1acdcb12-af74-43c4-b615-c8c19c556ac1</t>
  </si>
  <si>
    <t>6889ec4f-cd5e-40c7-9cb0-de34503006fd</t>
  </si>
  <si>
    <t>de98cae5-5360-41bb-a7e1-5d63aadf7dca</t>
  </si>
  <si>
    <t>c43f1319-7954-48df-965b-e16e28ccd074</t>
  </si>
  <si>
    <t>4ce371c4-94f9-4d31-94c5-13c1e0f772f0</t>
  </si>
  <si>
    <t>d73fe6e8-f262-40bd-9572-10638929d288</t>
  </si>
  <si>
    <t>4fc46972-15e3-4c40-874f-375688497355</t>
  </si>
  <si>
    <t>804ecf48-3697-468d-8028-054f36c4ead8</t>
  </si>
  <si>
    <t>e04263f5-add4-4b42-9e5c-b357fa96703f</t>
  </si>
  <si>
    <t>86401f9e-2a02-4d8c-b8e6-9529229e0fae</t>
  </si>
  <si>
    <t>0a36699d-9c36-4324-b86c-b5c776dc68e4</t>
  </si>
  <si>
    <t>d50ade50-62fd-492f-9efd-d33dbb5d42b4</t>
  </si>
  <si>
    <t>970bb081-942c-4a72-a986-7180f007f6a2</t>
  </si>
  <si>
    <t>2b187bf4-4b45-4103-b92e-4fa50f6d2714</t>
  </si>
  <si>
    <t>2408ad72-de2e-4674-8910-59847aba31d0</t>
  </si>
  <si>
    <t>f0e6e794-4d03-42c1-9e74-4e6e68c53797</t>
  </si>
  <si>
    <t>c81ece99-ab3b-4232-bb11-eca23cde5b10</t>
  </si>
  <si>
    <t>05b879ee-dd3c-4ffd-a78f-3c68865ba488</t>
  </si>
  <si>
    <t>6c4281c9-a44b-4644-a8cf-4ee5033ebcf3</t>
  </si>
  <si>
    <t>8254c628-96eb-43f6-944f-73dae6dfabcf</t>
  </si>
  <si>
    <t>3173c9ba-8ffc-4f84-80f3-b0066879ff82</t>
  </si>
  <si>
    <t>d9fbd18d-ff8d-4edc-b875-3e1c4cfd797b</t>
  </si>
  <si>
    <t>13c60d9e-cb77-49df-8f81-cb58326b6d5b</t>
  </si>
  <si>
    <t>a9bffa7d-1cae-4af9-834f-c400f16f63be</t>
  </si>
  <si>
    <t>0ee9bdbe-0115-44a9-ac7f-6bba0a5e23d6</t>
  </si>
  <si>
    <t>27a620ed-262c-4742-9944-47bbdf1a9cbc</t>
  </si>
  <si>
    <t>eef25d5c-b16c-4392-b6dd-74d6e16081a1</t>
  </si>
  <si>
    <t>22a5c901-a5e6-42fe-84a8-70a92de76a86</t>
  </si>
  <si>
    <t>3a47326f-9de5-47cb-b60e-9b2bd6aa450e</t>
  </si>
  <si>
    <t>ffd35fa2-57ea-4fbc-831f-d442e7b9c6c5</t>
  </si>
  <si>
    <t>c4ce6f76-7743-4fba-a8d6-a4abe2ca15c7</t>
  </si>
  <si>
    <t>53f49e42-6a92-4b9f-818f-f996336fd867</t>
  </si>
  <si>
    <t>fe20aa55-f5e6-4cde-8208-c33b26cba012</t>
  </si>
  <si>
    <t>269f7d7a-7a1b-4fcd-859e-59072375e361</t>
  </si>
  <si>
    <t>dd7d7c60-6a32-45ef-90aa-1c3a352e6b18</t>
  </si>
  <si>
    <t>bf5fbbe1-3551-4289-bec8-8b30368cb8c9</t>
  </si>
  <si>
    <t>3d6d1266-a244-43a7-a0d1-250c68435d18</t>
  </si>
  <si>
    <t>e326d3c5-e171-4d54-957a-bf88088c8a84</t>
  </si>
  <si>
    <t>d97705a1-6584-4d0a-bf4e-032b6362f6be</t>
  </si>
  <si>
    <t>af27ffa8-cb4c-4219-afc3-57651dcc9d1c</t>
  </si>
  <si>
    <t>e3a04c61-c631-4229-88b7-3e8d50763ce8</t>
  </si>
  <si>
    <t>6670ec9b-d576-43d9-8879-c8f09611f3ae</t>
  </si>
  <si>
    <t>dc5e8e61-9015-4547-89d3-b3ec92ded2be</t>
  </si>
  <si>
    <t>ba1056e9-e21b-4677-81ce-d56cda3994ab</t>
  </si>
  <si>
    <t>a0b6dd63-1342-4893-8129-0bc0f756314c</t>
  </si>
  <si>
    <t>db101288-a1f4-42e9-8493-a7e75a4ce4fa</t>
  </si>
  <si>
    <t>3aecfba7-f911-459b-bfbb-a40d6f81acf1</t>
  </si>
  <si>
    <t>7dee2479-1275-4509-9a4f-f80cc249b8cd</t>
  </si>
  <si>
    <t>20f40c73-4ecc-4c10-b410-70fb061125a9</t>
  </si>
  <si>
    <t>d98fdcad-25a1-4406-a49b-978119c2deaa</t>
  </si>
  <si>
    <t>8c149f93-92ad-462f-a7d8-a210853edce9</t>
  </si>
  <si>
    <t>ea8b53f8-0bc2-4f97-830d-b58df0b3716c</t>
  </si>
  <si>
    <t>f8d898e9-bfe2-4d41-915d-e08aa2d8c1ef</t>
  </si>
  <si>
    <t>4f9c696d-06d4-4a87-a0e8-a8b88160c0b5</t>
  </si>
  <si>
    <t>a9a50c8a-018e-4dd6-95b4-ca14c04da38d</t>
  </si>
  <si>
    <t>43ffa3f3-dadd-487f-adba-11a7b27ad53f</t>
  </si>
  <si>
    <t>9812c53a-f6cf-4333-8040-8115260be734</t>
  </si>
  <si>
    <t>b91224b5-4381-406f-8e35-edebf72f6b44</t>
  </si>
  <si>
    <t>2c890421-c9e6-48fb-97da-37aabab5e776</t>
  </si>
  <si>
    <t>968cc432-e064-4cbe-963e-a8d3ff4ae9fd</t>
  </si>
  <si>
    <t>23eb0bdb-303a-433d-a8a7-f81af0920bbf</t>
  </si>
  <si>
    <t>0b218bf3-46c8-4b84-a512-456b24dc1e47</t>
  </si>
  <si>
    <t>4adbaf60-7bbc-422e-ba2a-706a7837bff2</t>
  </si>
  <si>
    <t>36aefa3e-2915-47fd-886b-fd7e930ee8a7</t>
  </si>
  <si>
    <t>38f6e6d7-7987-4352-b4a8-9476336c1d6e</t>
  </si>
  <si>
    <t>d0411fb1-de35-4082-b1b1-0bf6db98c78e</t>
  </si>
  <si>
    <t>f69fc960-333f-409e-8b0f-f74deadaa7c3</t>
  </si>
  <si>
    <t>b927d119-c8b3-4078-80dc-d018a1175677</t>
  </si>
  <si>
    <t>78e2cd47-30eb-4965-8815-4ccc5669ea7c</t>
  </si>
  <si>
    <t>4ccf9a87-6b82-4ee8-b3c0-ebea89bb82f6</t>
  </si>
  <si>
    <t>116786ec-c8d0-4864-ac51-f316d4bd1440</t>
  </si>
  <si>
    <t>166f4e73-d8e9-4e04-988c-bd0f45bf2df8</t>
  </si>
  <si>
    <t>04d4369b-5ab8-4086-a02b-ebc6206dbb6c</t>
  </si>
  <si>
    <t>1b84cc22-3b97-4996-86d4-e7d145ece46b</t>
  </si>
  <si>
    <t>4ede80fe-f948-4b3c-8a96-20fd56fb2f77</t>
  </si>
  <si>
    <t>ba47330f-d2a6-460e-8e8d-6c4af9ff07f2</t>
  </si>
  <si>
    <t>0575694e-0fd4-4fc5-b849-c60636c44829</t>
  </si>
  <si>
    <t>64e79630-6f55-46c8-8db6-2a85c75995c8</t>
  </si>
  <si>
    <t>5727ca15-7e3e-4e6d-bb32-a4909971e3b3</t>
  </si>
  <si>
    <t>cdd28a2b-48c4-476f-a67e-30884791249b</t>
  </si>
  <si>
    <t>a54002ba-e1b3-4d35-84c1-6ff4db15c754</t>
  </si>
  <si>
    <t>903cf362-9296-4dcc-bc62-cc28e5c0d9bd</t>
  </si>
  <si>
    <t>8e891420-77c4-4771-be26-47abb7e6b41e</t>
  </si>
  <si>
    <t>046817d8-9e82-4b28-8a12-dd08fd4796f1</t>
  </si>
  <si>
    <t>c39a7597-9302-43d4-8ab8-bfe2765d793a</t>
  </si>
  <si>
    <t>7022de78-2596-4ba2-81ba-ee1b89da2ceb</t>
  </si>
  <si>
    <t>1d6e5422-342d-4098-b79c-512220026b91</t>
  </si>
  <si>
    <t>858d753e-0f78-44e5-80b5-4762b78fcf31</t>
  </si>
  <si>
    <t>3d4c2084-905f-4120-8dd6-8a7bd4b7d708</t>
  </si>
  <si>
    <t>4e8db9ca-2c07-4048-ac88-ebc590e649d4</t>
  </si>
  <si>
    <t>e9fbf30c-fa2a-452c-bcc7-e5b94f15475e</t>
  </si>
  <si>
    <t>c23510b9-be4c-4bd8-92c8-651f7f575fd8</t>
  </si>
  <si>
    <t>e5fd8051-a078-48c4-8f16-af5fefe1cec7</t>
  </si>
  <si>
    <t>159da89c-9cbc-4ad3-b065-dfb3d5297be3</t>
  </si>
  <si>
    <t>1ebfa407-ccaa-4b2c-b4a9-9fbbdd3bec4d</t>
  </si>
  <si>
    <t>083523dd-f20a-440c-8aae-3fa79467b4b0</t>
  </si>
  <si>
    <t>24c1c492-9daa-4d84-b780-5d1c6a092eec</t>
  </si>
  <si>
    <t>6338ed2c-8e79-4e00-8da7-83ac6c73008c</t>
  </si>
  <si>
    <t>348c8c8f-f5bc-44d0-9377-dc4fdbe4ff47</t>
  </si>
  <si>
    <t>Day</t>
  </si>
  <si>
    <t>Month</t>
  </si>
  <si>
    <t>Year</t>
  </si>
  <si>
    <t>Discount Percentage</t>
  </si>
  <si>
    <t>Row Labels</t>
  </si>
  <si>
    <t>Count of Customer_ID</t>
  </si>
  <si>
    <t>Column Labels</t>
  </si>
  <si>
    <t>New York City</t>
  </si>
  <si>
    <t>Phoenix</t>
  </si>
  <si>
    <t>Philadelphia</t>
  </si>
  <si>
    <t>San Antonio</t>
  </si>
  <si>
    <t>San Diego</t>
  </si>
  <si>
    <t>Dallas</t>
  </si>
  <si>
    <t>San Jose</t>
  </si>
  <si>
    <t>Austin</t>
  </si>
  <si>
    <t>Jacksonville</t>
  </si>
  <si>
    <t>Indianapolis</t>
  </si>
  <si>
    <t>Columbus</t>
  </si>
  <si>
    <t>Fort Worth</t>
  </si>
  <si>
    <t>Charlotte</t>
  </si>
  <si>
    <t>Memphis</t>
  </si>
  <si>
    <t>Boston</t>
  </si>
  <si>
    <t>Denver</t>
  </si>
  <si>
    <t>Milwaukee</t>
  </si>
  <si>
    <t>Seattle</t>
  </si>
  <si>
    <t>Miami</t>
  </si>
  <si>
    <t>Oakland</t>
  </si>
  <si>
    <t>Minneapolis</t>
  </si>
  <si>
    <t>Tulsa</t>
  </si>
  <si>
    <t>Virginia Beach</t>
  </si>
  <si>
    <t>Kansas City</t>
  </si>
  <si>
    <t>St. Louis</t>
  </si>
  <si>
    <t>Atlanta</t>
  </si>
  <si>
    <t>Sacramento</t>
  </si>
  <si>
    <t>Orlando</t>
  </si>
  <si>
    <t>Portland</t>
  </si>
  <si>
    <t>Tampa</t>
  </si>
  <si>
    <t>Pittsburgh</t>
  </si>
  <si>
    <t>Cincinnati</t>
  </si>
  <si>
    <t>Cleveland</t>
  </si>
  <si>
    <t>Baltimore</t>
  </si>
  <si>
    <t>Detroit</t>
  </si>
  <si>
    <t>Nashville</t>
  </si>
  <si>
    <t>Oklahoma City</t>
  </si>
  <si>
    <t>Louisville</t>
  </si>
  <si>
    <t>Albuquerque</t>
  </si>
  <si>
    <t>Tucson</t>
  </si>
  <si>
    <t>Long Beach</t>
  </si>
  <si>
    <t>Colorado Springs</t>
  </si>
  <si>
    <t>Santa Ana</t>
  </si>
  <si>
    <t>Anaheim</t>
  </si>
  <si>
    <t>Raleigh</t>
  </si>
  <si>
    <t>Omaha</t>
  </si>
  <si>
    <t>Honolulu</t>
  </si>
  <si>
    <t>Wichita</t>
  </si>
  <si>
    <t>Arlington</t>
  </si>
  <si>
    <t>St. Petersburg</t>
  </si>
  <si>
    <t>Jersey City</t>
  </si>
  <si>
    <t>Buffalo</t>
  </si>
  <si>
    <t>Rochester</t>
  </si>
  <si>
    <t>Providence</t>
  </si>
  <si>
    <t>Toledo</t>
  </si>
  <si>
    <t>Des Moines</t>
  </si>
  <si>
    <t>Salt Lake City</t>
  </si>
  <si>
    <t>Fresno</t>
  </si>
  <si>
    <t>Birmingham</t>
  </si>
  <si>
    <t>Hartford</t>
  </si>
  <si>
    <t>Bridgeport</t>
  </si>
  <si>
    <t>New Haven</t>
  </si>
  <si>
    <t>Grand Rapids</t>
  </si>
  <si>
    <t>Richmond</t>
  </si>
  <si>
    <t>Boise</t>
  </si>
  <si>
    <t>Spokane</t>
  </si>
  <si>
    <t>Baton Rouge</t>
  </si>
  <si>
    <t>Shreveport</t>
  </si>
  <si>
    <t>Jackson</t>
  </si>
  <si>
    <t>Montgomery</t>
  </si>
  <si>
    <t>Madison</t>
  </si>
  <si>
    <t>Knoxville</t>
  </si>
  <si>
    <t>Chattanooga</t>
  </si>
  <si>
    <t>Mobile</t>
  </si>
  <si>
    <t>Augusta</t>
  </si>
  <si>
    <t>Savannah</t>
  </si>
  <si>
    <t>Charleston</t>
  </si>
  <si>
    <t>Greenville</t>
  </si>
  <si>
    <t>Columbia</t>
  </si>
  <si>
    <t>Wilmington</t>
  </si>
  <si>
    <t>Manchester</t>
  </si>
  <si>
    <t>Anchorage</t>
  </si>
  <si>
    <t>Juneau</t>
  </si>
  <si>
    <t>Little Rock</t>
  </si>
  <si>
    <t>Fayetteville</t>
  </si>
  <si>
    <t>Springfield</t>
  </si>
  <si>
    <t>Eugene</t>
  </si>
  <si>
    <t>Salem</t>
  </si>
  <si>
    <t>Syracuse</t>
  </si>
  <si>
    <t>Albany</t>
  </si>
  <si>
    <t>Worcester</t>
  </si>
  <si>
    <t>Akron</t>
  </si>
  <si>
    <t>Dayton</t>
  </si>
  <si>
    <t>Peoria</t>
  </si>
  <si>
    <t>Rockford</t>
  </si>
  <si>
    <t>Fort Wayne</t>
  </si>
  <si>
    <t>Evansville</t>
  </si>
  <si>
    <t>South Bend</t>
  </si>
  <si>
    <t>Gary</t>
  </si>
  <si>
    <t>Hammond</t>
  </si>
  <si>
    <t>Bloomington</t>
  </si>
  <si>
    <t>Champaign</t>
  </si>
  <si>
    <t>Decatur</t>
  </si>
  <si>
    <t>Quincy</t>
  </si>
  <si>
    <t>Rock Island</t>
  </si>
  <si>
    <t>Moline</t>
  </si>
  <si>
    <t>Davenport</t>
  </si>
  <si>
    <t>Cedar Rapids</t>
  </si>
  <si>
    <t>Iowa City</t>
  </si>
  <si>
    <t>Waterloo</t>
  </si>
  <si>
    <t>Council Bluffs</t>
  </si>
  <si>
    <t>Sioux City</t>
  </si>
  <si>
    <t>Rapid City</t>
  </si>
  <si>
    <t>Pierre</t>
  </si>
  <si>
    <t>Sioux Falls</t>
  </si>
  <si>
    <t>Fargo</t>
  </si>
  <si>
    <t>Bismarck</t>
  </si>
  <si>
    <t>Grand Forks</t>
  </si>
  <si>
    <t>Minot</t>
  </si>
  <si>
    <t>Billings</t>
  </si>
  <si>
    <t>Great Falls</t>
  </si>
  <si>
    <t>Missoula</t>
  </si>
  <si>
    <t>Butte</t>
  </si>
  <si>
    <t>Bozeman</t>
  </si>
  <si>
    <t>Helena</t>
  </si>
  <si>
    <t>Cheyenne</t>
  </si>
  <si>
    <t>Casper</t>
  </si>
  <si>
    <t>Laramie</t>
  </si>
  <si>
    <t>Gillette</t>
  </si>
  <si>
    <t>Clarksville</t>
  </si>
  <si>
    <t>Murfreesboro</t>
  </si>
  <si>
    <t>Johnson City</t>
  </si>
  <si>
    <t>Kingsport</t>
  </si>
  <si>
    <t>Bristol</t>
  </si>
  <si>
    <t>Jan</t>
  </si>
  <si>
    <t>Feb</t>
  </si>
  <si>
    <t>Mar</t>
  </si>
  <si>
    <t>Apr</t>
  </si>
  <si>
    <t>May</t>
  </si>
  <si>
    <t>Jun</t>
  </si>
  <si>
    <t>Jul</t>
  </si>
  <si>
    <t>Aug</t>
  </si>
  <si>
    <t>Sep</t>
  </si>
  <si>
    <t>Oct</t>
  </si>
  <si>
    <t>Nov</t>
  </si>
  <si>
    <t>Dec</t>
  </si>
  <si>
    <t xml:space="preserve"> </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</si>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</sst>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7" formatCode="&quot;₹&quot;\ #,##0,\ &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7" fontId="0" fillId="0" borderId="0" xfId="0" applyNumberFormat="1"/>
  </cellXfs>
  <cellStyles count="1">
    <cellStyle name="Normal" xfId="0" builtinId="0"/>
  </cellStyles>
  <dxfs count="14">
    <dxf>
      <numFmt numFmtId="166" formatCode="&quot;₹&quot;\ #,##0,,\ &quot;M&quot;"/>
    </dxf>
    <dxf>
      <numFmt numFmtId="167" formatCode="&quot;₹&quot;\ #,##0,\ &quot;K&quot;"/>
    </dxf>
    <dxf>
      <numFmt numFmtId="166" formatCode="&quot;₹&quot;\ #,##0,,\ &quot;M&quot;"/>
    </dxf>
    <dxf>
      <numFmt numFmtId="165" formatCode="&quot;₹&quot;\ #,##0,,\ &quot;Million&quot;"/>
    </dxf>
    <dxf>
      <numFmt numFmtId="165" formatCode="&quot;₹&quot;\ #,##0,,\ &quot;Million&quot;"/>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C220"/>
      <color rgb="FF0071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project.xlsx]pivot!PivotTable6</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pivotFmt>
      <c:pivotFmt>
        <c:idx val="14"/>
        <c:spPr>
          <a:solidFill>
            <a:schemeClr val="accent6">
              <a:lumMod val="60000"/>
            </a:schemeClr>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pivotFmt>
      <c:pivotFmt>
        <c:idx val="18"/>
        <c:spPr>
          <a:solidFill>
            <a:schemeClr val="accent6"/>
          </a:solidFill>
          <a:ln>
            <a:noFill/>
          </a:ln>
          <a:effectLst>
            <a:outerShdw blurRad="254000" sx="102000" sy="102000" algn="ctr" rotWithShape="0">
              <a:prstClr val="black">
                <a:alpha val="20000"/>
              </a:prstClr>
            </a:outerShdw>
          </a:effectLst>
        </c:spPr>
      </c:pivotFmt>
      <c:pivotFmt>
        <c:idx val="19"/>
        <c:spPr>
          <a:solidFill>
            <a:schemeClr val="accent6"/>
          </a:solidFill>
          <a:ln>
            <a:noFill/>
          </a:ln>
          <a:effectLst>
            <a:outerShdw blurRad="254000" sx="102000" sy="102000" algn="ctr" rotWithShape="0">
              <a:prstClr val="black">
                <a:alpha val="20000"/>
              </a:prstClr>
            </a:outerShdw>
          </a:effectLst>
        </c:spPr>
      </c:pivotFmt>
      <c:pivotFmt>
        <c:idx val="2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c:spPr>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pivotFmt>
      <c:pivotFmt>
        <c:idx val="2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pivot!$Y$3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F8-4BE0-B2B9-E610D9923E7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F8-4BE0-B2B9-E610D9923E7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F8-4BE0-B2B9-E610D9923E72}"/>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FF8-4BE0-B2B9-E610D9923E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pivot!$X$4:$X$7</c:f>
              <c:strCache>
                <c:ptCount val="4"/>
                <c:pt idx="0">
                  <c:v>Cash on Delivery</c:v>
                </c:pt>
                <c:pt idx="1">
                  <c:v>Credit Card</c:v>
                </c:pt>
                <c:pt idx="2">
                  <c:v>Debit Card</c:v>
                </c:pt>
                <c:pt idx="3">
                  <c:v>PayPal</c:v>
                </c:pt>
              </c:strCache>
            </c:strRef>
          </c:cat>
          <c:val>
            <c:numRef>
              <c:f>pivot!$Y$4:$Y$7</c:f>
              <c:numCache>
                <c:formatCode>General</c:formatCode>
                <c:ptCount val="4"/>
                <c:pt idx="0">
                  <c:v>517</c:v>
                </c:pt>
                <c:pt idx="1">
                  <c:v>477</c:v>
                </c:pt>
                <c:pt idx="2">
                  <c:v>487</c:v>
                </c:pt>
                <c:pt idx="3">
                  <c:v>519</c:v>
                </c:pt>
              </c:numCache>
            </c:numRef>
          </c:val>
          <c:extLst>
            <c:ext xmlns:c16="http://schemas.microsoft.com/office/drawing/2014/chart" uri="{C3380CC4-5D6E-409C-BE32-E72D297353CC}">
              <c16:uniqueId val="{00000008-5FF8-4BE0-B2B9-E610D9923E7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project.xlsx]pivot!PivotTable5</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pivot!$T$4:$T$15</c:f>
              <c:numCache>
                <c:formatCode>General</c:formatCode>
                <c:ptCount val="12"/>
                <c:pt idx="0">
                  <c:v>164</c:v>
                </c:pt>
                <c:pt idx="1">
                  <c:v>140</c:v>
                </c:pt>
                <c:pt idx="2">
                  <c:v>182</c:v>
                </c:pt>
                <c:pt idx="3">
                  <c:v>165</c:v>
                </c:pt>
                <c:pt idx="4">
                  <c:v>185</c:v>
                </c:pt>
                <c:pt idx="5">
                  <c:v>177</c:v>
                </c:pt>
                <c:pt idx="6">
                  <c:v>192</c:v>
                </c:pt>
                <c:pt idx="7">
                  <c:v>160</c:v>
                </c:pt>
                <c:pt idx="8">
                  <c:v>133</c:v>
                </c:pt>
                <c:pt idx="9">
                  <c:v>174</c:v>
                </c:pt>
                <c:pt idx="10">
                  <c:v>164</c:v>
                </c:pt>
                <c:pt idx="11">
                  <c:v>164</c:v>
                </c:pt>
              </c:numCache>
            </c:numRef>
          </c:val>
          <c:smooth val="0"/>
          <c:extLst>
            <c:ext xmlns:c16="http://schemas.microsoft.com/office/drawing/2014/chart" uri="{C3380CC4-5D6E-409C-BE32-E72D297353CC}">
              <c16:uniqueId val="{00000000-ACA4-4131-9F61-E2CA2AD5B50D}"/>
            </c:ext>
          </c:extLst>
        </c:ser>
        <c:dLbls>
          <c:dLblPos val="t"/>
          <c:showLegendKey val="0"/>
          <c:showVal val="1"/>
          <c:showCatName val="0"/>
          <c:showSerName val="0"/>
          <c:showPercent val="0"/>
          <c:showBubbleSize val="0"/>
        </c:dLbls>
        <c:marker val="1"/>
        <c:smooth val="0"/>
        <c:axId val="1859150528"/>
        <c:axId val="1859148608"/>
      </c:lineChart>
      <c:catAx>
        <c:axId val="1859150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9148608"/>
        <c:crosses val="autoZero"/>
        <c:auto val="1"/>
        <c:lblAlgn val="ctr"/>
        <c:lblOffset val="100"/>
        <c:noMultiLvlLbl val="0"/>
      </c:catAx>
      <c:valAx>
        <c:axId val="18591486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915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project.xlsx]pivot!PivotTable3</c:name>
    <c:fmtId val="21"/>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a:solidFill>
                  <a:schemeClr val="tx1"/>
                </a:solidFill>
              </a:rPr>
              <a:t>Distribution Of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pivot!$L$3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pivot!$K$4:$K$10</c:f>
              <c:strCache>
                <c:ptCount val="7"/>
                <c:pt idx="0">
                  <c:v>Automotive</c:v>
                </c:pt>
                <c:pt idx="1">
                  <c:v>Beauty</c:v>
                </c:pt>
                <c:pt idx="2">
                  <c:v>Clothing</c:v>
                </c:pt>
                <c:pt idx="3">
                  <c:v>Electronics</c:v>
                </c:pt>
                <c:pt idx="4">
                  <c:v>Home &amp; Kitchen</c:v>
                </c:pt>
                <c:pt idx="5">
                  <c:v>Sports</c:v>
                </c:pt>
                <c:pt idx="6">
                  <c:v>Toys</c:v>
                </c:pt>
              </c:strCache>
            </c:strRef>
          </c:cat>
          <c:val>
            <c:numRef>
              <c:f>pivot!$L$4:$L$10</c:f>
              <c:numCache>
                <c:formatCode>General</c:formatCode>
                <c:ptCount val="7"/>
                <c:pt idx="0">
                  <c:v>289</c:v>
                </c:pt>
                <c:pt idx="1">
                  <c:v>275</c:v>
                </c:pt>
                <c:pt idx="2">
                  <c:v>282</c:v>
                </c:pt>
                <c:pt idx="3">
                  <c:v>290</c:v>
                </c:pt>
                <c:pt idx="4">
                  <c:v>287</c:v>
                </c:pt>
                <c:pt idx="5">
                  <c:v>291</c:v>
                </c:pt>
                <c:pt idx="6">
                  <c:v>286</c:v>
                </c:pt>
              </c:numCache>
            </c:numRef>
          </c:val>
          <c:extLst>
            <c:ext xmlns:c16="http://schemas.microsoft.com/office/drawing/2014/chart" uri="{C3380CC4-5D6E-409C-BE32-E72D297353CC}">
              <c16:uniqueId val="{00000000-EFC4-4352-8D9B-3087A417A5FC}"/>
            </c:ext>
          </c:extLst>
        </c:ser>
        <c:dLbls>
          <c:dLblPos val="ctr"/>
          <c:showLegendKey val="0"/>
          <c:showVal val="1"/>
          <c:showCatName val="0"/>
          <c:showSerName val="0"/>
          <c:showPercent val="0"/>
          <c:showBubbleSize val="0"/>
        </c:dLbls>
        <c:gapWidth val="150"/>
        <c:overlap val="100"/>
        <c:axId val="1858304528"/>
        <c:axId val="1858305008"/>
      </c:barChart>
      <c:catAx>
        <c:axId val="18583045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05008"/>
        <c:crosses val="autoZero"/>
        <c:auto val="1"/>
        <c:lblAlgn val="ctr"/>
        <c:lblOffset val="100"/>
        <c:noMultiLvlLbl val="0"/>
      </c:catAx>
      <c:valAx>
        <c:axId val="185830500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04528"/>
        <c:crosses val="autoZero"/>
        <c:crossBetween val="between"/>
      </c:valAx>
      <c:spPr>
        <a:noFill/>
        <a:ln>
          <a:noFill/>
        </a:ln>
        <a:effectLst/>
      </c:spPr>
    </c:plotArea>
    <c:legend>
      <c:legendPos val="r"/>
      <c:layout>
        <c:manualLayout>
          <c:xMode val="edge"/>
          <c:yMode val="edge"/>
          <c:x val="0.89887169276254264"/>
          <c:y val="0.34426359402311457"/>
          <c:w val="8.5802636739373092E-2"/>
          <c:h val="0.18050381043086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project.xlsx]pivot!PivotTable2</c:name>
    <c:fmtId val="4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City By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pivot!$F$4:$F$14</c:f>
              <c:strCache>
                <c:ptCount val="11"/>
                <c:pt idx="0">
                  <c:v>Tampa</c:v>
                </c:pt>
                <c:pt idx="1">
                  <c:v>Albuquerque</c:v>
                </c:pt>
                <c:pt idx="2">
                  <c:v>Rochester</c:v>
                </c:pt>
                <c:pt idx="3">
                  <c:v>Toledo</c:v>
                </c:pt>
                <c:pt idx="4">
                  <c:v>Des Moines</c:v>
                </c:pt>
                <c:pt idx="5">
                  <c:v>Jackson</c:v>
                </c:pt>
                <c:pt idx="6">
                  <c:v>Knoxville</c:v>
                </c:pt>
                <c:pt idx="7">
                  <c:v>Chattanooga</c:v>
                </c:pt>
                <c:pt idx="8">
                  <c:v>Springfield</c:v>
                </c:pt>
                <c:pt idx="9">
                  <c:v>Eugene</c:v>
                </c:pt>
                <c:pt idx="10">
                  <c:v>Salem</c:v>
                </c:pt>
              </c:strCache>
            </c:strRef>
          </c:cat>
          <c:val>
            <c:numRef>
              <c:f>pivot!$G$4:$G$14</c:f>
              <c:numCache>
                <c:formatCode>General</c:formatCode>
                <c:ptCount val="11"/>
                <c:pt idx="0">
                  <c:v>27</c:v>
                </c:pt>
                <c:pt idx="1">
                  <c:v>27</c:v>
                </c:pt>
                <c:pt idx="2">
                  <c:v>26</c:v>
                </c:pt>
                <c:pt idx="3">
                  <c:v>26</c:v>
                </c:pt>
                <c:pt idx="4">
                  <c:v>26</c:v>
                </c:pt>
                <c:pt idx="5">
                  <c:v>26</c:v>
                </c:pt>
                <c:pt idx="6">
                  <c:v>26</c:v>
                </c:pt>
                <c:pt idx="7">
                  <c:v>26</c:v>
                </c:pt>
                <c:pt idx="8">
                  <c:v>39</c:v>
                </c:pt>
                <c:pt idx="9">
                  <c:v>26</c:v>
                </c:pt>
                <c:pt idx="10">
                  <c:v>26</c:v>
                </c:pt>
              </c:numCache>
            </c:numRef>
          </c:val>
          <c:extLst>
            <c:ext xmlns:c16="http://schemas.microsoft.com/office/drawing/2014/chart" uri="{C3380CC4-5D6E-409C-BE32-E72D297353CC}">
              <c16:uniqueId val="{00000000-6C8B-4C1E-BFB8-F8C33572F2D0}"/>
            </c:ext>
          </c:extLst>
        </c:ser>
        <c:dLbls>
          <c:dLblPos val="inEnd"/>
          <c:showLegendKey val="0"/>
          <c:showVal val="1"/>
          <c:showCatName val="0"/>
          <c:showSerName val="0"/>
          <c:showPercent val="0"/>
          <c:showBubbleSize val="0"/>
        </c:dLbls>
        <c:gapWidth val="65"/>
        <c:axId val="1788942032"/>
        <c:axId val="1788926192"/>
      </c:barChart>
      <c:catAx>
        <c:axId val="17889420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8926192"/>
        <c:crosses val="autoZero"/>
        <c:auto val="1"/>
        <c:lblAlgn val="ctr"/>
        <c:lblOffset val="100"/>
        <c:noMultiLvlLbl val="0"/>
      </c:catAx>
      <c:valAx>
        <c:axId val="1788926192"/>
        <c:scaling>
          <c:orientation val="minMax"/>
        </c:scaling>
        <c:delete val="1"/>
        <c:axPos val="b"/>
        <c:numFmt formatCode="General" sourceLinked="1"/>
        <c:majorTickMark val="none"/>
        <c:minorTickMark val="none"/>
        <c:tickLblPos val="nextTo"/>
        <c:crossAx val="1788942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Age VS Repeated Customer</a:t>
            </a:r>
          </a:p>
        </c:rich>
      </c:tx>
      <c:layout>
        <c:manualLayout>
          <c:xMode val="edge"/>
          <c:yMode val="edge"/>
          <c:x val="0.24590587119872376"/>
          <c:y val="6.7260485713010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6"/>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19</c:v>
                </c:pt>
                <c:pt idx="1">
                  <c:v>20</c:v>
                </c:pt>
                <c:pt idx="2">
                  <c:v>21</c:v>
                </c:pt>
                <c:pt idx="3">
                  <c:v>30</c:v>
                </c:pt>
                <c:pt idx="4">
                  <c:v>32</c:v>
                </c:pt>
                <c:pt idx="5">
                  <c:v>36</c:v>
                </c:pt>
                <c:pt idx="6">
                  <c:v>41</c:v>
                </c:pt>
                <c:pt idx="7">
                  <c:v>55</c:v>
                </c:pt>
                <c:pt idx="8">
                  <c:v>58</c:v>
                </c:pt>
                <c:pt idx="9">
                  <c:v>65</c:v>
                </c:pt>
                <c:pt idx="10">
                  <c:v>67</c:v>
                </c:pt>
                <c:pt idx="11">
                  <c:v>70</c:v>
                </c:pt>
              </c:strCache>
            </c:strRef>
          </c:cat>
          <c:val>
            <c:numRef>
              <c:f>pivot!$B$5:$B$16</c:f>
              <c:numCache>
                <c:formatCode>General</c:formatCode>
                <c:ptCount val="12"/>
                <c:pt idx="0">
                  <c:v>25</c:v>
                </c:pt>
                <c:pt idx="1">
                  <c:v>26</c:v>
                </c:pt>
                <c:pt idx="2">
                  <c:v>27</c:v>
                </c:pt>
                <c:pt idx="3">
                  <c:v>20</c:v>
                </c:pt>
                <c:pt idx="4">
                  <c:v>28</c:v>
                </c:pt>
                <c:pt idx="5">
                  <c:v>24</c:v>
                </c:pt>
                <c:pt idx="6">
                  <c:v>23</c:v>
                </c:pt>
                <c:pt idx="7">
                  <c:v>22</c:v>
                </c:pt>
                <c:pt idx="8">
                  <c:v>23</c:v>
                </c:pt>
                <c:pt idx="9">
                  <c:v>14</c:v>
                </c:pt>
                <c:pt idx="10">
                  <c:v>23</c:v>
                </c:pt>
                <c:pt idx="11">
                  <c:v>21</c:v>
                </c:pt>
              </c:numCache>
            </c:numRef>
          </c:val>
          <c:smooth val="0"/>
          <c:extLst>
            <c:ext xmlns:c16="http://schemas.microsoft.com/office/drawing/2014/chart" uri="{C3380CC4-5D6E-409C-BE32-E72D297353CC}">
              <c16:uniqueId val="{00000000-D6CA-4A75-A934-38F7A8839748}"/>
            </c:ext>
          </c:extLst>
        </c:ser>
        <c:ser>
          <c:idx val="1"/>
          <c:order val="1"/>
          <c:tx>
            <c:strRef>
              <c:f>pivot!$C$3:$C$4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19</c:v>
                </c:pt>
                <c:pt idx="1">
                  <c:v>20</c:v>
                </c:pt>
                <c:pt idx="2">
                  <c:v>21</c:v>
                </c:pt>
                <c:pt idx="3">
                  <c:v>30</c:v>
                </c:pt>
                <c:pt idx="4">
                  <c:v>32</c:v>
                </c:pt>
                <c:pt idx="5">
                  <c:v>36</c:v>
                </c:pt>
                <c:pt idx="6">
                  <c:v>41</c:v>
                </c:pt>
                <c:pt idx="7">
                  <c:v>55</c:v>
                </c:pt>
                <c:pt idx="8">
                  <c:v>58</c:v>
                </c:pt>
                <c:pt idx="9">
                  <c:v>65</c:v>
                </c:pt>
                <c:pt idx="10">
                  <c:v>67</c:v>
                </c:pt>
                <c:pt idx="11">
                  <c:v>70</c:v>
                </c:pt>
              </c:strCache>
            </c:strRef>
          </c:cat>
          <c:val>
            <c:numRef>
              <c:f>pivot!$C$5:$C$16</c:f>
              <c:numCache>
                <c:formatCode>General</c:formatCode>
                <c:ptCount val="12"/>
                <c:pt idx="0">
                  <c:v>22</c:v>
                </c:pt>
                <c:pt idx="1">
                  <c:v>23</c:v>
                </c:pt>
                <c:pt idx="2">
                  <c:v>27</c:v>
                </c:pt>
                <c:pt idx="3">
                  <c:v>24</c:v>
                </c:pt>
                <c:pt idx="4">
                  <c:v>18</c:v>
                </c:pt>
                <c:pt idx="5">
                  <c:v>20</c:v>
                </c:pt>
                <c:pt idx="6">
                  <c:v>21</c:v>
                </c:pt>
                <c:pt idx="7">
                  <c:v>24</c:v>
                </c:pt>
                <c:pt idx="8">
                  <c:v>22</c:v>
                </c:pt>
                <c:pt idx="9">
                  <c:v>30</c:v>
                </c:pt>
                <c:pt idx="10">
                  <c:v>24</c:v>
                </c:pt>
                <c:pt idx="11">
                  <c:v>23</c:v>
                </c:pt>
              </c:numCache>
            </c:numRef>
          </c:val>
          <c:smooth val="0"/>
          <c:extLst>
            <c:ext xmlns:c16="http://schemas.microsoft.com/office/drawing/2014/chart" uri="{C3380CC4-5D6E-409C-BE32-E72D297353CC}">
              <c16:uniqueId val="{00000001-D6CA-4A75-A934-38F7A8839748}"/>
            </c:ext>
          </c:extLst>
        </c:ser>
        <c:dLbls>
          <c:dLblPos val="ctr"/>
          <c:showLegendKey val="0"/>
          <c:showVal val="1"/>
          <c:showCatName val="0"/>
          <c:showSerName val="0"/>
          <c:showPercent val="0"/>
          <c:showBubbleSize val="0"/>
        </c:dLbls>
        <c:marker val="1"/>
        <c:smooth val="0"/>
        <c:axId val="1417382351"/>
        <c:axId val="1417386671"/>
      </c:lineChart>
      <c:catAx>
        <c:axId val="141738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86671"/>
        <c:crosses val="autoZero"/>
        <c:auto val="1"/>
        <c:lblAlgn val="ctr"/>
        <c:lblOffset val="100"/>
        <c:noMultiLvlLbl val="0"/>
      </c:catAx>
      <c:valAx>
        <c:axId val="141738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8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project.xlsx]pivot!PivotTable4</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Sold Product</a:t>
            </a:r>
          </a:p>
        </c:rich>
      </c:tx>
      <c:layout>
        <c:manualLayout>
          <c:xMode val="edge"/>
          <c:yMode val="edge"/>
          <c:x val="0.31161111111111117"/>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pivot!$O$4:$O$9</c:f>
              <c:strCache>
                <c:ptCount val="6"/>
                <c:pt idx="0">
                  <c:v>Cookware Set</c:v>
                </c:pt>
                <c:pt idx="1">
                  <c:v>Cycling Helmet</c:v>
                </c:pt>
                <c:pt idx="2">
                  <c:v>Dash Cam</c:v>
                </c:pt>
                <c:pt idx="3">
                  <c:v>Jacket</c:v>
                </c:pt>
                <c:pt idx="4">
                  <c:v>Shoes</c:v>
                </c:pt>
                <c:pt idx="5">
                  <c:v>Smartwatch</c:v>
                </c:pt>
              </c:strCache>
            </c:strRef>
          </c:cat>
          <c:val>
            <c:numRef>
              <c:f>pivot!$P$4:$P$9</c:f>
              <c:numCache>
                <c:formatCode>General</c:formatCode>
                <c:ptCount val="6"/>
                <c:pt idx="0">
                  <c:v>84</c:v>
                </c:pt>
                <c:pt idx="1">
                  <c:v>81</c:v>
                </c:pt>
                <c:pt idx="2">
                  <c:v>97</c:v>
                </c:pt>
                <c:pt idx="3">
                  <c:v>87</c:v>
                </c:pt>
                <c:pt idx="4">
                  <c:v>79</c:v>
                </c:pt>
                <c:pt idx="5">
                  <c:v>79</c:v>
                </c:pt>
              </c:numCache>
            </c:numRef>
          </c:val>
          <c:extLst>
            <c:ext xmlns:c16="http://schemas.microsoft.com/office/drawing/2014/chart" uri="{C3380CC4-5D6E-409C-BE32-E72D297353CC}">
              <c16:uniqueId val="{00000000-8D9A-4539-9B21-488A1AF11289}"/>
            </c:ext>
          </c:extLst>
        </c:ser>
        <c:dLbls>
          <c:dLblPos val="inEnd"/>
          <c:showLegendKey val="0"/>
          <c:showVal val="1"/>
          <c:showCatName val="0"/>
          <c:showSerName val="0"/>
          <c:showPercent val="0"/>
          <c:showBubbleSize val="0"/>
        </c:dLbls>
        <c:gapWidth val="65"/>
        <c:axId val="1858316528"/>
        <c:axId val="1858323248"/>
      </c:barChart>
      <c:catAx>
        <c:axId val="1858316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8323248"/>
        <c:crosses val="autoZero"/>
        <c:auto val="1"/>
        <c:lblAlgn val="ctr"/>
        <c:lblOffset val="100"/>
        <c:noMultiLvlLbl val="0"/>
      </c:catAx>
      <c:valAx>
        <c:axId val="185832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83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project.xlsx]pivot!PivotTable3</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Distribution Of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pivot!$L$3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pivot!$K$4:$K$10</c:f>
              <c:strCache>
                <c:ptCount val="7"/>
                <c:pt idx="0">
                  <c:v>Automotive</c:v>
                </c:pt>
                <c:pt idx="1">
                  <c:v>Beauty</c:v>
                </c:pt>
                <c:pt idx="2">
                  <c:v>Clothing</c:v>
                </c:pt>
                <c:pt idx="3">
                  <c:v>Electronics</c:v>
                </c:pt>
                <c:pt idx="4">
                  <c:v>Home &amp; Kitchen</c:v>
                </c:pt>
                <c:pt idx="5">
                  <c:v>Sports</c:v>
                </c:pt>
                <c:pt idx="6">
                  <c:v>Toys</c:v>
                </c:pt>
              </c:strCache>
            </c:strRef>
          </c:cat>
          <c:val>
            <c:numRef>
              <c:f>pivot!$L$4:$L$10</c:f>
              <c:numCache>
                <c:formatCode>General</c:formatCode>
                <c:ptCount val="7"/>
                <c:pt idx="0">
                  <c:v>289</c:v>
                </c:pt>
                <c:pt idx="1">
                  <c:v>275</c:v>
                </c:pt>
                <c:pt idx="2">
                  <c:v>282</c:v>
                </c:pt>
                <c:pt idx="3">
                  <c:v>290</c:v>
                </c:pt>
                <c:pt idx="4">
                  <c:v>287</c:v>
                </c:pt>
                <c:pt idx="5">
                  <c:v>291</c:v>
                </c:pt>
                <c:pt idx="6">
                  <c:v>286</c:v>
                </c:pt>
              </c:numCache>
            </c:numRef>
          </c:val>
          <c:extLst>
            <c:ext xmlns:c16="http://schemas.microsoft.com/office/drawing/2014/chart" uri="{C3380CC4-5D6E-409C-BE32-E72D297353CC}">
              <c16:uniqueId val="{00000000-7E31-409D-A97F-FE6E698E4C8F}"/>
            </c:ext>
          </c:extLst>
        </c:ser>
        <c:dLbls>
          <c:dLblPos val="ctr"/>
          <c:showLegendKey val="0"/>
          <c:showVal val="1"/>
          <c:showCatName val="0"/>
          <c:showSerName val="0"/>
          <c:showPercent val="0"/>
          <c:showBubbleSize val="0"/>
        </c:dLbls>
        <c:gapWidth val="150"/>
        <c:overlap val="100"/>
        <c:axId val="1858304528"/>
        <c:axId val="1858305008"/>
      </c:barChart>
      <c:catAx>
        <c:axId val="18583045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05008"/>
        <c:crosses val="autoZero"/>
        <c:auto val="1"/>
        <c:lblAlgn val="ctr"/>
        <c:lblOffset val="100"/>
        <c:noMultiLvlLbl val="0"/>
      </c:catAx>
      <c:valAx>
        <c:axId val="185830500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04528"/>
        <c:crosses val="autoZero"/>
        <c:crossBetween val="between"/>
      </c:valAx>
      <c:spPr>
        <a:noFill/>
        <a:ln>
          <a:noFill/>
        </a:ln>
        <a:effectLst/>
      </c:spPr>
    </c:plotArea>
    <c:legend>
      <c:legendPos val="r"/>
      <c:layout>
        <c:manualLayout>
          <c:xMode val="edge"/>
          <c:yMode val="edge"/>
          <c:x val="0.89887169276254264"/>
          <c:y val="0.34426359402311457"/>
          <c:w val="8.5802636739373092E-2"/>
          <c:h val="0.18050381043086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Repeated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19</c:v>
                </c:pt>
                <c:pt idx="1">
                  <c:v>20</c:v>
                </c:pt>
                <c:pt idx="2">
                  <c:v>21</c:v>
                </c:pt>
                <c:pt idx="3">
                  <c:v>30</c:v>
                </c:pt>
                <c:pt idx="4">
                  <c:v>32</c:v>
                </c:pt>
                <c:pt idx="5">
                  <c:v>36</c:v>
                </c:pt>
                <c:pt idx="6">
                  <c:v>41</c:v>
                </c:pt>
                <c:pt idx="7">
                  <c:v>55</c:v>
                </c:pt>
                <c:pt idx="8">
                  <c:v>58</c:v>
                </c:pt>
                <c:pt idx="9">
                  <c:v>65</c:v>
                </c:pt>
                <c:pt idx="10">
                  <c:v>67</c:v>
                </c:pt>
                <c:pt idx="11">
                  <c:v>70</c:v>
                </c:pt>
              </c:strCache>
            </c:strRef>
          </c:cat>
          <c:val>
            <c:numRef>
              <c:f>pivot!$B$5:$B$16</c:f>
              <c:numCache>
                <c:formatCode>General</c:formatCode>
                <c:ptCount val="12"/>
                <c:pt idx="0">
                  <c:v>25</c:v>
                </c:pt>
                <c:pt idx="1">
                  <c:v>26</c:v>
                </c:pt>
                <c:pt idx="2">
                  <c:v>27</c:v>
                </c:pt>
                <c:pt idx="3">
                  <c:v>20</c:v>
                </c:pt>
                <c:pt idx="4">
                  <c:v>28</c:v>
                </c:pt>
                <c:pt idx="5">
                  <c:v>24</c:v>
                </c:pt>
                <c:pt idx="6">
                  <c:v>23</c:v>
                </c:pt>
                <c:pt idx="7">
                  <c:v>22</c:v>
                </c:pt>
                <c:pt idx="8">
                  <c:v>23</c:v>
                </c:pt>
                <c:pt idx="9">
                  <c:v>14</c:v>
                </c:pt>
                <c:pt idx="10">
                  <c:v>23</c:v>
                </c:pt>
                <c:pt idx="11">
                  <c:v>21</c:v>
                </c:pt>
              </c:numCache>
            </c:numRef>
          </c:val>
          <c:smooth val="0"/>
          <c:extLst>
            <c:ext xmlns:c16="http://schemas.microsoft.com/office/drawing/2014/chart" uri="{C3380CC4-5D6E-409C-BE32-E72D297353CC}">
              <c16:uniqueId val="{00000000-86E1-42B1-8423-ED7D44C75EEF}"/>
            </c:ext>
          </c:extLst>
        </c:ser>
        <c:ser>
          <c:idx val="1"/>
          <c:order val="1"/>
          <c:tx>
            <c:strRef>
              <c:f>pivot!$C$3:$C$4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19</c:v>
                </c:pt>
                <c:pt idx="1">
                  <c:v>20</c:v>
                </c:pt>
                <c:pt idx="2">
                  <c:v>21</c:v>
                </c:pt>
                <c:pt idx="3">
                  <c:v>30</c:v>
                </c:pt>
                <c:pt idx="4">
                  <c:v>32</c:v>
                </c:pt>
                <c:pt idx="5">
                  <c:v>36</c:v>
                </c:pt>
                <c:pt idx="6">
                  <c:v>41</c:v>
                </c:pt>
                <c:pt idx="7">
                  <c:v>55</c:v>
                </c:pt>
                <c:pt idx="8">
                  <c:v>58</c:v>
                </c:pt>
                <c:pt idx="9">
                  <c:v>65</c:v>
                </c:pt>
                <c:pt idx="10">
                  <c:v>67</c:v>
                </c:pt>
                <c:pt idx="11">
                  <c:v>70</c:v>
                </c:pt>
              </c:strCache>
            </c:strRef>
          </c:cat>
          <c:val>
            <c:numRef>
              <c:f>pivot!$C$5:$C$16</c:f>
              <c:numCache>
                <c:formatCode>General</c:formatCode>
                <c:ptCount val="12"/>
                <c:pt idx="0">
                  <c:v>22</c:v>
                </c:pt>
                <c:pt idx="1">
                  <c:v>23</c:v>
                </c:pt>
                <c:pt idx="2">
                  <c:v>27</c:v>
                </c:pt>
                <c:pt idx="3">
                  <c:v>24</c:v>
                </c:pt>
                <c:pt idx="4">
                  <c:v>18</c:v>
                </c:pt>
                <c:pt idx="5">
                  <c:v>20</c:v>
                </c:pt>
                <c:pt idx="6">
                  <c:v>21</c:v>
                </c:pt>
                <c:pt idx="7">
                  <c:v>24</c:v>
                </c:pt>
                <c:pt idx="8">
                  <c:v>22</c:v>
                </c:pt>
                <c:pt idx="9">
                  <c:v>30</c:v>
                </c:pt>
                <c:pt idx="10">
                  <c:v>24</c:v>
                </c:pt>
                <c:pt idx="11">
                  <c:v>23</c:v>
                </c:pt>
              </c:numCache>
            </c:numRef>
          </c:val>
          <c:smooth val="0"/>
          <c:extLst>
            <c:ext xmlns:c16="http://schemas.microsoft.com/office/drawing/2014/chart" uri="{C3380CC4-5D6E-409C-BE32-E72D297353CC}">
              <c16:uniqueId val="{00000001-86E1-42B1-8423-ED7D44C75EEF}"/>
            </c:ext>
          </c:extLst>
        </c:ser>
        <c:dLbls>
          <c:dLblPos val="ctr"/>
          <c:showLegendKey val="0"/>
          <c:showVal val="1"/>
          <c:showCatName val="0"/>
          <c:showSerName val="0"/>
          <c:showPercent val="0"/>
          <c:showBubbleSize val="0"/>
        </c:dLbls>
        <c:marker val="1"/>
        <c:smooth val="0"/>
        <c:axId val="1417382351"/>
        <c:axId val="1417386671"/>
      </c:lineChart>
      <c:catAx>
        <c:axId val="141738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86671"/>
        <c:crosses val="autoZero"/>
        <c:auto val="1"/>
        <c:lblAlgn val="ctr"/>
        <c:lblOffset val="100"/>
        <c:noMultiLvlLbl val="0"/>
      </c:catAx>
      <c:valAx>
        <c:axId val="141738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8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City By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pivot!$F$4:$F$14</c:f>
              <c:strCache>
                <c:ptCount val="11"/>
                <c:pt idx="0">
                  <c:v>Tampa</c:v>
                </c:pt>
                <c:pt idx="1">
                  <c:v>Albuquerque</c:v>
                </c:pt>
                <c:pt idx="2">
                  <c:v>Rochester</c:v>
                </c:pt>
                <c:pt idx="3">
                  <c:v>Toledo</c:v>
                </c:pt>
                <c:pt idx="4">
                  <c:v>Des Moines</c:v>
                </c:pt>
                <c:pt idx="5">
                  <c:v>Jackson</c:v>
                </c:pt>
                <c:pt idx="6">
                  <c:v>Knoxville</c:v>
                </c:pt>
                <c:pt idx="7">
                  <c:v>Chattanooga</c:v>
                </c:pt>
                <c:pt idx="8">
                  <c:v>Springfield</c:v>
                </c:pt>
                <c:pt idx="9">
                  <c:v>Eugene</c:v>
                </c:pt>
                <c:pt idx="10">
                  <c:v>Salem</c:v>
                </c:pt>
              </c:strCache>
            </c:strRef>
          </c:cat>
          <c:val>
            <c:numRef>
              <c:f>pivot!$G$4:$G$14</c:f>
              <c:numCache>
                <c:formatCode>General</c:formatCode>
                <c:ptCount val="11"/>
                <c:pt idx="0">
                  <c:v>27</c:v>
                </c:pt>
                <c:pt idx="1">
                  <c:v>27</c:v>
                </c:pt>
                <c:pt idx="2">
                  <c:v>26</c:v>
                </c:pt>
                <c:pt idx="3">
                  <c:v>26</c:v>
                </c:pt>
                <c:pt idx="4">
                  <c:v>26</c:v>
                </c:pt>
                <c:pt idx="5">
                  <c:v>26</c:v>
                </c:pt>
                <c:pt idx="6">
                  <c:v>26</c:v>
                </c:pt>
                <c:pt idx="7">
                  <c:v>26</c:v>
                </c:pt>
                <c:pt idx="8">
                  <c:v>39</c:v>
                </c:pt>
                <c:pt idx="9">
                  <c:v>26</c:v>
                </c:pt>
                <c:pt idx="10">
                  <c:v>26</c:v>
                </c:pt>
              </c:numCache>
            </c:numRef>
          </c:val>
          <c:extLst>
            <c:ext xmlns:c16="http://schemas.microsoft.com/office/drawing/2014/chart" uri="{C3380CC4-5D6E-409C-BE32-E72D297353CC}">
              <c16:uniqueId val="{00000000-6820-40D1-95E8-B11CFEC93AEA}"/>
            </c:ext>
          </c:extLst>
        </c:ser>
        <c:dLbls>
          <c:dLblPos val="inEnd"/>
          <c:showLegendKey val="0"/>
          <c:showVal val="1"/>
          <c:showCatName val="0"/>
          <c:showSerName val="0"/>
          <c:showPercent val="0"/>
          <c:showBubbleSize val="0"/>
        </c:dLbls>
        <c:gapWidth val="65"/>
        <c:axId val="1788942032"/>
        <c:axId val="1788926192"/>
      </c:barChart>
      <c:catAx>
        <c:axId val="17889420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8926192"/>
        <c:crosses val="autoZero"/>
        <c:auto val="1"/>
        <c:lblAlgn val="ctr"/>
        <c:lblOffset val="100"/>
        <c:noMultiLvlLbl val="0"/>
      </c:catAx>
      <c:valAx>
        <c:axId val="1788926192"/>
        <c:scaling>
          <c:orientation val="minMax"/>
        </c:scaling>
        <c:delete val="1"/>
        <c:axPos val="b"/>
        <c:numFmt formatCode="General" sourceLinked="1"/>
        <c:majorTickMark val="none"/>
        <c:minorTickMark val="none"/>
        <c:tickLblPos val="nextTo"/>
        <c:crossAx val="1788942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project.xlsx]pivot!PivotTable5</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pivot!$T$4:$T$15</c:f>
              <c:numCache>
                <c:formatCode>General</c:formatCode>
                <c:ptCount val="12"/>
                <c:pt idx="0">
                  <c:v>164</c:v>
                </c:pt>
                <c:pt idx="1">
                  <c:v>140</c:v>
                </c:pt>
                <c:pt idx="2">
                  <c:v>182</c:v>
                </c:pt>
                <c:pt idx="3">
                  <c:v>165</c:v>
                </c:pt>
                <c:pt idx="4">
                  <c:v>185</c:v>
                </c:pt>
                <c:pt idx="5">
                  <c:v>177</c:v>
                </c:pt>
                <c:pt idx="6">
                  <c:v>192</c:v>
                </c:pt>
                <c:pt idx="7">
                  <c:v>160</c:v>
                </c:pt>
                <c:pt idx="8">
                  <c:v>133</c:v>
                </c:pt>
                <c:pt idx="9">
                  <c:v>174</c:v>
                </c:pt>
                <c:pt idx="10">
                  <c:v>164</c:v>
                </c:pt>
                <c:pt idx="11">
                  <c:v>164</c:v>
                </c:pt>
              </c:numCache>
            </c:numRef>
          </c:val>
          <c:smooth val="0"/>
          <c:extLst>
            <c:ext xmlns:c16="http://schemas.microsoft.com/office/drawing/2014/chart" uri="{C3380CC4-5D6E-409C-BE32-E72D297353CC}">
              <c16:uniqueId val="{00000000-DB12-4BCD-9558-3DD966E6B5C3}"/>
            </c:ext>
          </c:extLst>
        </c:ser>
        <c:dLbls>
          <c:dLblPos val="ctr"/>
          <c:showLegendKey val="0"/>
          <c:showVal val="1"/>
          <c:showCatName val="0"/>
          <c:showSerName val="0"/>
          <c:showPercent val="0"/>
          <c:showBubbleSize val="0"/>
        </c:dLbls>
        <c:marker val="1"/>
        <c:smooth val="0"/>
        <c:axId val="1859150528"/>
        <c:axId val="1859148608"/>
      </c:lineChart>
      <c:catAx>
        <c:axId val="1859150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9148608"/>
        <c:crosses val="autoZero"/>
        <c:auto val="1"/>
        <c:lblAlgn val="ctr"/>
        <c:lblOffset val="100"/>
        <c:noMultiLvlLbl val="0"/>
      </c:catAx>
      <c:valAx>
        <c:axId val="18591486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915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Sold Product</a:t>
            </a:r>
          </a:p>
        </c:rich>
      </c:tx>
      <c:layout>
        <c:manualLayout>
          <c:xMode val="edge"/>
          <c:yMode val="edge"/>
          <c:x val="0.31161111111111117"/>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pivot!$O$4:$O$9</c:f>
              <c:strCache>
                <c:ptCount val="6"/>
                <c:pt idx="0">
                  <c:v>Cookware Set</c:v>
                </c:pt>
                <c:pt idx="1">
                  <c:v>Cycling Helmet</c:v>
                </c:pt>
                <c:pt idx="2">
                  <c:v>Dash Cam</c:v>
                </c:pt>
                <c:pt idx="3">
                  <c:v>Jacket</c:v>
                </c:pt>
                <c:pt idx="4">
                  <c:v>Shoes</c:v>
                </c:pt>
                <c:pt idx="5">
                  <c:v>Smartwatch</c:v>
                </c:pt>
              </c:strCache>
            </c:strRef>
          </c:cat>
          <c:val>
            <c:numRef>
              <c:f>pivot!$P$4:$P$9</c:f>
              <c:numCache>
                <c:formatCode>General</c:formatCode>
                <c:ptCount val="6"/>
                <c:pt idx="0">
                  <c:v>84</c:v>
                </c:pt>
                <c:pt idx="1">
                  <c:v>81</c:v>
                </c:pt>
                <c:pt idx="2">
                  <c:v>97</c:v>
                </c:pt>
                <c:pt idx="3">
                  <c:v>87</c:v>
                </c:pt>
                <c:pt idx="4">
                  <c:v>79</c:v>
                </c:pt>
                <c:pt idx="5">
                  <c:v>79</c:v>
                </c:pt>
              </c:numCache>
            </c:numRef>
          </c:val>
          <c:extLst>
            <c:ext xmlns:c16="http://schemas.microsoft.com/office/drawing/2014/chart" uri="{C3380CC4-5D6E-409C-BE32-E72D297353CC}">
              <c16:uniqueId val="{00000000-A709-4385-91A1-87A09D17B604}"/>
            </c:ext>
          </c:extLst>
        </c:ser>
        <c:dLbls>
          <c:dLblPos val="inEnd"/>
          <c:showLegendKey val="0"/>
          <c:showVal val="1"/>
          <c:showCatName val="0"/>
          <c:showSerName val="0"/>
          <c:showPercent val="0"/>
          <c:showBubbleSize val="0"/>
        </c:dLbls>
        <c:gapWidth val="65"/>
        <c:axId val="1858316528"/>
        <c:axId val="1858323248"/>
      </c:barChart>
      <c:catAx>
        <c:axId val="1858316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8323248"/>
        <c:crosses val="autoZero"/>
        <c:auto val="1"/>
        <c:lblAlgn val="ctr"/>
        <c:lblOffset val="100"/>
        <c:noMultiLvlLbl val="0"/>
      </c:catAx>
      <c:valAx>
        <c:axId val="18583232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83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[wamart final project.xlsx]pivot!PivotTable6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pivot!$Y$3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04-4C7F-9B32-4B1B31207750}"/>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04-4C7F-9B32-4B1B3120775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D04-4C7F-9B32-4B1B31207750}"/>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D04-4C7F-9B32-4B1B312077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pivot!$X$4:$X$7</c:f>
              <c:strCache>
                <c:ptCount val="4"/>
                <c:pt idx="0">
                  <c:v>Cash on Delivery</c:v>
                </c:pt>
                <c:pt idx="1">
                  <c:v>Credit Card</c:v>
                </c:pt>
                <c:pt idx="2">
                  <c:v>Debit Card</c:v>
                </c:pt>
                <c:pt idx="3">
                  <c:v>PayPal</c:v>
                </c:pt>
              </c:strCache>
            </c:strRef>
          </c:cat>
          <c:val>
            <c:numRef>
              <c:f>pivot!$Y$4:$Y$7</c:f>
              <c:numCache>
                <c:formatCode>General</c:formatCode>
                <c:ptCount val="4"/>
                <c:pt idx="0">
                  <c:v>517</c:v>
                </c:pt>
                <c:pt idx="1">
                  <c:v>477</c:v>
                </c:pt>
                <c:pt idx="2">
                  <c:v>487</c:v>
                </c:pt>
                <c:pt idx="3">
                  <c:v>519</c:v>
                </c:pt>
              </c:numCache>
            </c:numRef>
          </c:val>
          <c:extLst>
            <c:ext xmlns:c16="http://schemas.microsoft.com/office/drawing/2014/chart" uri="{C3380CC4-5D6E-409C-BE32-E72D297353CC}">
              <c16:uniqueId val="{00000008-2D04-4C7F-9B32-4B1B3120775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5</xdr:col>
      <xdr:colOff>47625</xdr:colOff>
      <xdr:row>11</xdr:row>
      <xdr:rowOff>38100</xdr:rowOff>
    </xdr:from>
    <xdr:ext cx="4410075" cy="145956"/>
    <xdr:sp macro="" textlink="">
      <xdr:nvSpPr>
        <xdr:cNvPr id="10" name="TextBox 9">
          <a:extLst>
            <a:ext uri="{FF2B5EF4-FFF2-40B4-BE49-F238E27FC236}">
              <a16:creationId xmlns:a16="http://schemas.microsoft.com/office/drawing/2014/main" id="{E1B7C832-B3AA-6930-D1FA-5ADE322F6B76}"/>
            </a:ext>
          </a:extLst>
        </xdr:cNvPr>
        <xdr:cNvSpPr txBox="1"/>
      </xdr:nvSpPr>
      <xdr:spPr>
        <a:xfrm>
          <a:off x="3095625" y="2133600"/>
          <a:ext cx="4410075" cy="145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0</xdr:col>
      <xdr:colOff>38102</xdr:colOff>
      <xdr:row>0</xdr:row>
      <xdr:rowOff>38100</xdr:rowOff>
    </xdr:from>
    <xdr:to>
      <xdr:col>13</xdr:col>
      <xdr:colOff>486834</xdr:colOff>
      <xdr:row>3</xdr:row>
      <xdr:rowOff>133350</xdr:rowOff>
    </xdr:to>
    <xdr:sp macro="" textlink="">
      <xdr:nvSpPr>
        <xdr:cNvPr id="4" name="Rectangle: Rounded Corners 3">
          <a:extLst>
            <a:ext uri="{FF2B5EF4-FFF2-40B4-BE49-F238E27FC236}">
              <a16:creationId xmlns:a16="http://schemas.microsoft.com/office/drawing/2014/main" id="{E7D54204-2E6D-2561-E07E-B426BDBB669E}"/>
            </a:ext>
          </a:extLst>
        </xdr:cNvPr>
        <xdr:cNvSpPr/>
      </xdr:nvSpPr>
      <xdr:spPr>
        <a:xfrm>
          <a:off x="38102" y="38100"/>
          <a:ext cx="8428565" cy="666750"/>
        </a:xfrm>
        <a:prstGeom prst="roundRect">
          <a:avLst/>
        </a:prstGeom>
        <a:solidFill>
          <a:schemeClr val="accent1">
            <a:lumMod val="20000"/>
            <a:lumOff val="8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390535</xdr:colOff>
      <xdr:row>0</xdr:row>
      <xdr:rowOff>108857</xdr:rowOff>
    </xdr:from>
    <xdr:to>
      <xdr:col>1</xdr:col>
      <xdr:colOff>366078</xdr:colOff>
      <xdr:row>3</xdr:row>
      <xdr:rowOff>70794</xdr:rowOff>
    </xdr:to>
    <xdr:pic>
      <xdr:nvPicPr>
        <xdr:cNvPr id="7" name="Picture 6">
          <a:extLst>
            <a:ext uri="{FF2B5EF4-FFF2-40B4-BE49-F238E27FC236}">
              <a16:creationId xmlns:a16="http://schemas.microsoft.com/office/drawing/2014/main" id="{F4792666-0179-15B0-034E-4E9C39D6E078}"/>
            </a:ext>
          </a:extLst>
        </xdr:cNvPr>
        <xdr:cNvPicPr>
          <a:picLocks noChangeAspect="1"/>
        </xdr:cNvPicPr>
      </xdr:nvPicPr>
      <xdr:blipFill>
        <a:blip xmlns:r="http://schemas.openxmlformats.org/officeDocument/2006/relationships" r:embed="rId1"/>
        <a:stretch>
          <a:fillRect/>
        </a:stretch>
      </xdr:blipFill>
      <xdr:spPr>
        <a:xfrm>
          <a:off x="390535" y="108857"/>
          <a:ext cx="587864" cy="533437"/>
        </a:xfrm>
        <a:prstGeom prst="rect">
          <a:avLst/>
        </a:prstGeom>
        <a:solidFill>
          <a:schemeClr val="accent1">
            <a:lumMod val="20000"/>
            <a:lumOff val="80000"/>
          </a:schemeClr>
        </a:solidFill>
      </xdr:spPr>
    </xdr:pic>
    <xdr:clientData/>
  </xdr:twoCellAnchor>
  <xdr:twoCellAnchor>
    <xdr:from>
      <xdr:col>1</xdr:col>
      <xdr:colOff>550334</xdr:colOff>
      <xdr:row>0</xdr:row>
      <xdr:rowOff>123825</xdr:rowOff>
    </xdr:from>
    <xdr:to>
      <xdr:col>13</xdr:col>
      <xdr:colOff>232834</xdr:colOff>
      <xdr:row>2</xdr:row>
      <xdr:rowOff>171450</xdr:rowOff>
    </xdr:to>
    <xdr:sp macro="" textlink="">
      <xdr:nvSpPr>
        <xdr:cNvPr id="8" name="TextBox 7">
          <a:extLst>
            <a:ext uri="{FF2B5EF4-FFF2-40B4-BE49-F238E27FC236}">
              <a16:creationId xmlns:a16="http://schemas.microsoft.com/office/drawing/2014/main" id="{58FB5A61-C0AD-EE79-131D-1A9DCC1EB6F9}"/>
            </a:ext>
          </a:extLst>
        </xdr:cNvPr>
        <xdr:cNvSpPr txBox="1"/>
      </xdr:nvSpPr>
      <xdr:spPr>
        <a:xfrm>
          <a:off x="1164167" y="123825"/>
          <a:ext cx="7048500" cy="428625"/>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tx1"/>
              </a:solidFill>
              <a:latin typeface="ADLaM Display" panose="02010000000000000000" pitchFamily="2" charset="0"/>
              <a:ea typeface="ADLaM Display" panose="02010000000000000000" pitchFamily="2" charset="0"/>
              <a:cs typeface="ADLaM Display" panose="02010000000000000000" pitchFamily="2" charset="0"/>
            </a:rPr>
            <a:t>SalesStream Performance Dashboard</a:t>
          </a:r>
          <a:endParaRPr lang="en-IN" sz="28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13</xdr:col>
      <xdr:colOff>550333</xdr:colOff>
      <xdr:row>0</xdr:row>
      <xdr:rowOff>38100</xdr:rowOff>
    </xdr:from>
    <xdr:to>
      <xdr:col>21</xdr:col>
      <xdr:colOff>353786</xdr:colOff>
      <xdr:row>3</xdr:row>
      <xdr:rowOff>133350</xdr:rowOff>
    </xdr:to>
    <xdr:sp macro="" textlink="">
      <xdr:nvSpPr>
        <xdr:cNvPr id="11" name="Rectangle: Rounded Corners 10">
          <a:extLst>
            <a:ext uri="{FF2B5EF4-FFF2-40B4-BE49-F238E27FC236}">
              <a16:creationId xmlns:a16="http://schemas.microsoft.com/office/drawing/2014/main" id="{9394824A-C772-BDB2-4F25-786E544A4EF8}"/>
            </a:ext>
          </a:extLst>
        </xdr:cNvPr>
        <xdr:cNvSpPr/>
      </xdr:nvSpPr>
      <xdr:spPr>
        <a:xfrm>
          <a:off x="8510512" y="38100"/>
          <a:ext cx="4702024" cy="666750"/>
        </a:xfrm>
        <a:prstGeom prst="roundRect">
          <a:avLst/>
        </a:prstGeom>
        <a:solidFill>
          <a:schemeClr val="accent1">
            <a:lumMod val="20000"/>
            <a:lumOff val="8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21</xdr:col>
      <xdr:colOff>449035</xdr:colOff>
      <xdr:row>0</xdr:row>
      <xdr:rowOff>57150</xdr:rowOff>
    </xdr:from>
    <xdr:to>
      <xdr:col>29</xdr:col>
      <xdr:colOff>40822</xdr:colOff>
      <xdr:row>3</xdr:row>
      <xdr:rowOff>152400</xdr:rowOff>
    </xdr:to>
    <xdr:sp macro="" textlink="">
      <xdr:nvSpPr>
        <xdr:cNvPr id="15" name="Rectangle: Rounded Corners 14">
          <a:extLst>
            <a:ext uri="{FF2B5EF4-FFF2-40B4-BE49-F238E27FC236}">
              <a16:creationId xmlns:a16="http://schemas.microsoft.com/office/drawing/2014/main" id="{6B70BADA-D0DB-CC31-E637-F4D38510F8FC}"/>
            </a:ext>
          </a:extLst>
        </xdr:cNvPr>
        <xdr:cNvSpPr/>
      </xdr:nvSpPr>
      <xdr:spPr>
        <a:xfrm>
          <a:off x="13307785" y="57150"/>
          <a:ext cx="4490358" cy="666750"/>
        </a:xfrm>
        <a:prstGeom prst="roundRect">
          <a:avLst/>
        </a:prstGeom>
        <a:solidFill>
          <a:schemeClr val="accent1">
            <a:lumMod val="20000"/>
            <a:lumOff val="8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421820</xdr:colOff>
      <xdr:row>0</xdr:row>
      <xdr:rowOff>19051</xdr:rowOff>
    </xdr:from>
    <xdr:to>
      <xdr:col>20</xdr:col>
      <xdr:colOff>312963</xdr:colOff>
      <xdr:row>2</xdr:row>
      <xdr:rowOff>38101</xdr:rowOff>
    </xdr:to>
    <xdr:sp macro="" textlink="">
      <xdr:nvSpPr>
        <xdr:cNvPr id="16" name="TextBox 15">
          <a:extLst>
            <a:ext uri="{FF2B5EF4-FFF2-40B4-BE49-F238E27FC236}">
              <a16:creationId xmlns:a16="http://schemas.microsoft.com/office/drawing/2014/main" id="{C8A66709-F384-5E30-4A1A-99E5FB4DEBAA}"/>
            </a:ext>
          </a:extLst>
        </xdr:cNvPr>
        <xdr:cNvSpPr txBox="1"/>
      </xdr:nvSpPr>
      <xdr:spPr>
        <a:xfrm>
          <a:off x="10218963" y="19051"/>
          <a:ext cx="2340429" cy="400050"/>
        </a:xfrm>
        <a:prstGeom prst="rect">
          <a:avLst/>
        </a:prstGeom>
        <a:no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 AMOUNT</a:t>
          </a:r>
        </a:p>
      </xdr:txBody>
    </xdr:sp>
    <xdr:clientData/>
  </xdr:twoCellAnchor>
  <xdr:twoCellAnchor editAs="oneCell">
    <xdr:from>
      <xdr:col>14</xdr:col>
      <xdr:colOff>311149</xdr:colOff>
      <xdr:row>0</xdr:row>
      <xdr:rowOff>0</xdr:rowOff>
    </xdr:from>
    <xdr:to>
      <xdr:col>15</xdr:col>
      <xdr:colOff>451358</xdr:colOff>
      <xdr:row>3</xdr:row>
      <xdr:rowOff>142875</xdr:rowOff>
    </xdr:to>
    <xdr:pic>
      <xdr:nvPicPr>
        <xdr:cNvPr id="5" name="Graphic 4" descr="Money outline">
          <a:extLst>
            <a:ext uri="{FF2B5EF4-FFF2-40B4-BE49-F238E27FC236}">
              <a16:creationId xmlns:a16="http://schemas.microsoft.com/office/drawing/2014/main" id="{3B0D2B3C-4936-8730-7828-10B84822F24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904816" y="0"/>
          <a:ext cx="754042" cy="714375"/>
        </a:xfrm>
        <a:prstGeom prst="rect">
          <a:avLst/>
        </a:prstGeom>
      </xdr:spPr>
    </xdr:pic>
    <xdr:clientData/>
  </xdr:twoCellAnchor>
  <xdr:twoCellAnchor>
    <xdr:from>
      <xdr:col>23</xdr:col>
      <xdr:colOff>81643</xdr:colOff>
      <xdr:row>0</xdr:row>
      <xdr:rowOff>38100</xdr:rowOff>
    </xdr:from>
    <xdr:to>
      <xdr:col>27</xdr:col>
      <xdr:colOff>149678</xdr:colOff>
      <xdr:row>2</xdr:row>
      <xdr:rowOff>123825</xdr:rowOff>
    </xdr:to>
    <xdr:sp macro="" textlink="">
      <xdr:nvSpPr>
        <xdr:cNvPr id="6" name="TextBox 5">
          <a:extLst>
            <a:ext uri="{FF2B5EF4-FFF2-40B4-BE49-F238E27FC236}">
              <a16:creationId xmlns:a16="http://schemas.microsoft.com/office/drawing/2014/main" id="{FB3D5931-79C3-C59E-4250-E8D8011A7B8D}"/>
            </a:ext>
          </a:extLst>
        </xdr:cNvPr>
        <xdr:cNvSpPr txBox="1"/>
      </xdr:nvSpPr>
      <xdr:spPr>
        <a:xfrm>
          <a:off x="14165036" y="38100"/>
          <a:ext cx="2517321" cy="466725"/>
        </a:xfrm>
        <a:prstGeom prst="rect">
          <a:avLst/>
        </a:prstGeom>
        <a:no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TOTAL </a:t>
          </a:r>
          <a:r>
            <a:rPr lang="en-IN" sz="2000" b="1"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 PRODUCT</a:t>
          </a:r>
          <a:endParaRPr lang="en-IN" sz="20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22</xdr:col>
      <xdr:colOff>99187</xdr:colOff>
      <xdr:row>0</xdr:row>
      <xdr:rowOff>65319</xdr:rowOff>
    </xdr:from>
    <xdr:to>
      <xdr:col>23</xdr:col>
      <xdr:colOff>113084</xdr:colOff>
      <xdr:row>3</xdr:row>
      <xdr:rowOff>117317</xdr:rowOff>
    </xdr:to>
    <xdr:pic>
      <xdr:nvPicPr>
        <xdr:cNvPr id="9" name="Picture 8" descr="Shopping cart with solid fill">
          <a:extLst>
            <a:ext uri="{FF2B5EF4-FFF2-40B4-BE49-F238E27FC236}">
              <a16:creationId xmlns:a16="http://schemas.microsoft.com/office/drawing/2014/main" id="{299873A9-0CFE-A837-AFD4-7989E4C4FAE8}"/>
            </a:ext>
          </a:extLst>
        </xdr:cNvPr>
        <xdr:cNvPicPr>
          <a:picLocks noChangeAspect="1"/>
        </xdr:cNvPicPr>
      </xdr:nvPicPr>
      <xdr:blipFill>
        <a:blip xmlns:r="http://schemas.openxmlformats.org/officeDocument/2006/relationships" r:embed="rId4"/>
        <a:stretch>
          <a:fillRect/>
        </a:stretch>
      </xdr:blipFill>
      <xdr:spPr>
        <a:xfrm>
          <a:off x="13570258" y="65319"/>
          <a:ext cx="626219" cy="623498"/>
        </a:xfrm>
        <a:prstGeom prst="rect">
          <a:avLst/>
        </a:prstGeom>
      </xdr:spPr>
    </xdr:pic>
    <xdr:clientData/>
  </xdr:twoCellAnchor>
  <xdr:twoCellAnchor>
    <xdr:from>
      <xdr:col>17</xdr:col>
      <xdr:colOff>440872</xdr:colOff>
      <xdr:row>1</xdr:row>
      <xdr:rowOff>149679</xdr:rowOff>
    </xdr:from>
    <xdr:to>
      <xdr:col>19</xdr:col>
      <xdr:colOff>526597</xdr:colOff>
      <xdr:row>3</xdr:row>
      <xdr:rowOff>54429</xdr:rowOff>
    </xdr:to>
    <xdr:sp macro="" textlink="pivot!$AC$4">
      <xdr:nvSpPr>
        <xdr:cNvPr id="12" name="TextBox 11">
          <a:extLst>
            <a:ext uri="{FF2B5EF4-FFF2-40B4-BE49-F238E27FC236}">
              <a16:creationId xmlns:a16="http://schemas.microsoft.com/office/drawing/2014/main" id="{B0EBE2B1-850A-9953-C59E-D598276B6D4A}"/>
            </a:ext>
          </a:extLst>
        </xdr:cNvPr>
        <xdr:cNvSpPr txBox="1"/>
      </xdr:nvSpPr>
      <xdr:spPr>
        <a:xfrm>
          <a:off x="10850336" y="340179"/>
          <a:ext cx="1310368" cy="285750"/>
        </a:xfrm>
        <a:prstGeom prst="rect">
          <a:avLst/>
        </a:prstGeom>
        <a:no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34F1E4-75C5-4FC5-9D14-EC2340F539CA}" type="TxLink">
            <a:rPr lang="en-US" sz="2000" b="1" i="0" u="none" strike="noStrike">
              <a:solidFill>
                <a:srgbClr val="000000"/>
              </a:solidFill>
              <a:latin typeface="Aptos Narrow"/>
              <a:ea typeface="ADLaM Display" panose="02010000000000000000" pitchFamily="2" charset="0"/>
              <a:cs typeface="ADLaM Display" panose="02010000000000000000" pitchFamily="2" charset="0"/>
            </a:rPr>
            <a:pPr/>
            <a:t>₹ 807 K</a:t>
          </a:fld>
          <a:endParaRPr lang="en-IN" sz="2000" b="1">
            <a:solidFill>
              <a:schemeClr val="tx1"/>
            </a:solidFill>
            <a:latin typeface="+mj-lt"/>
            <a:ea typeface="ADLaM Display" panose="02010000000000000000" pitchFamily="2" charset="0"/>
            <a:cs typeface="ADLaM Display" panose="02010000000000000000" pitchFamily="2" charset="0"/>
          </a:endParaRPr>
        </a:p>
      </xdr:txBody>
    </xdr:sp>
    <xdr:clientData/>
  </xdr:twoCellAnchor>
  <xdr:twoCellAnchor>
    <xdr:from>
      <xdr:col>24</xdr:col>
      <xdr:colOff>387048</xdr:colOff>
      <xdr:row>1</xdr:row>
      <xdr:rowOff>186115</xdr:rowOff>
    </xdr:from>
    <xdr:to>
      <xdr:col>26</xdr:col>
      <xdr:colOff>80131</xdr:colOff>
      <xdr:row>3</xdr:row>
      <xdr:rowOff>100390</xdr:rowOff>
    </xdr:to>
    <xdr:sp macro="" textlink="pivot!$AD$4">
      <xdr:nvSpPr>
        <xdr:cNvPr id="2" name="TextBox 1">
          <a:extLst>
            <a:ext uri="{FF2B5EF4-FFF2-40B4-BE49-F238E27FC236}">
              <a16:creationId xmlns:a16="http://schemas.microsoft.com/office/drawing/2014/main" id="{575F84CB-06F9-8065-613A-3329CF7E2201}"/>
            </a:ext>
          </a:extLst>
        </xdr:cNvPr>
        <xdr:cNvSpPr txBox="1"/>
      </xdr:nvSpPr>
      <xdr:spPr>
        <a:xfrm>
          <a:off x="15082762" y="376615"/>
          <a:ext cx="917726" cy="295275"/>
        </a:xfrm>
        <a:prstGeom prst="rect">
          <a:avLst/>
        </a:prstGeom>
        <a:no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418BBF-080A-408C-B42E-E4764D359ACA}" type="TxLink">
            <a:rPr lang="en-US" sz="2000" b="1" i="0" u="none" strike="noStrike">
              <a:solidFill>
                <a:srgbClr val="000000"/>
              </a:solidFill>
              <a:latin typeface="Aptos Narrow"/>
              <a:ea typeface="ADLaM Display" panose="02010000000000000000" pitchFamily="2" charset="0"/>
              <a:cs typeface="ADLaM Display" panose="02010000000000000000" pitchFamily="2" charset="0"/>
            </a:rPr>
            <a:pPr marL="0" indent="0"/>
            <a:t>2000</a:t>
          </a:fld>
          <a:endParaRPr lang="en-IN" sz="2000" b="1" i="0" u="none" strike="noStrike">
            <a:solidFill>
              <a:srgbClr val="000000"/>
            </a:solidFill>
            <a:latin typeface="Aptos Narrow"/>
            <a:ea typeface="ADLaM Display" panose="02010000000000000000" pitchFamily="2" charset="0"/>
            <a:cs typeface="ADLaM Display" panose="02010000000000000000" pitchFamily="2" charset="0"/>
          </a:endParaRPr>
        </a:p>
      </xdr:txBody>
    </xdr:sp>
    <xdr:clientData/>
  </xdr:twoCellAnchor>
  <xdr:twoCellAnchor>
    <xdr:from>
      <xdr:col>0</xdr:col>
      <xdr:colOff>42332</xdr:colOff>
      <xdr:row>3</xdr:row>
      <xdr:rowOff>152400</xdr:rowOff>
    </xdr:from>
    <xdr:to>
      <xdr:col>29</xdr:col>
      <xdr:colOff>27214</xdr:colOff>
      <xdr:row>8</xdr:row>
      <xdr:rowOff>52917</xdr:rowOff>
    </xdr:to>
    <xdr:sp macro="" textlink="">
      <xdr:nvSpPr>
        <xdr:cNvPr id="13" name="Rectangle: Rounded Corners 12">
          <a:extLst>
            <a:ext uri="{FF2B5EF4-FFF2-40B4-BE49-F238E27FC236}">
              <a16:creationId xmlns:a16="http://schemas.microsoft.com/office/drawing/2014/main" id="{4C4E28E5-EB1A-9597-6643-1F3F0DA16847}"/>
            </a:ext>
          </a:extLst>
        </xdr:cNvPr>
        <xdr:cNvSpPr/>
      </xdr:nvSpPr>
      <xdr:spPr>
        <a:xfrm>
          <a:off x="42332" y="723900"/>
          <a:ext cx="17742203" cy="853017"/>
        </a:xfrm>
        <a:prstGeom prst="roundRect">
          <a:avLst/>
        </a:prstGeom>
        <a:solidFill>
          <a:schemeClr val="accent1">
            <a:lumMod val="20000"/>
            <a:lumOff val="8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232831</xdr:colOff>
      <xdr:row>4</xdr:row>
      <xdr:rowOff>61383</xdr:rowOff>
    </xdr:from>
    <xdr:to>
      <xdr:col>12</xdr:col>
      <xdr:colOff>449035</xdr:colOff>
      <xdr:row>7</xdr:row>
      <xdr:rowOff>137883</xdr:rowOff>
    </xdr:to>
    <mc:AlternateContent xmlns:mc="http://schemas.openxmlformats.org/markup-compatibility/2006" xmlns:a14="http://schemas.microsoft.com/office/drawing/2010/main">
      <mc:Choice Requires="a14">
        <xdr:graphicFrame macro="">
          <xdr:nvGraphicFramePr>
            <xdr:cNvPr id="3" name="Day">
              <a:extLst>
                <a:ext uri="{FF2B5EF4-FFF2-40B4-BE49-F238E27FC236}">
                  <a16:creationId xmlns:a16="http://schemas.microsoft.com/office/drawing/2014/main" id="{2CD8CAC7-445F-4B07-A43E-9032612C277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232832" y="823383"/>
              <a:ext cx="7069667"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4</xdr:row>
      <xdr:rowOff>63501</xdr:rowOff>
    </xdr:from>
    <xdr:to>
      <xdr:col>20</xdr:col>
      <xdr:colOff>408213</xdr:colOff>
      <xdr:row>7</xdr:row>
      <xdr:rowOff>140001</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13E3F2C1-54E0-46E4-9AFC-84A8686F72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55417" y="825501"/>
              <a:ext cx="4434415"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544285</xdr:colOff>
      <xdr:row>4</xdr:row>
      <xdr:rowOff>52918</xdr:rowOff>
    </xdr:from>
    <xdr:to>
      <xdr:col>28</xdr:col>
      <xdr:colOff>462643</xdr:colOff>
      <xdr:row>7</xdr:row>
      <xdr:rowOff>129418</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9A6A812B-FD88-42A3-93C4-BB770D01EF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53334" y="814918"/>
              <a:ext cx="398991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74086</xdr:colOff>
      <xdr:row>8</xdr:row>
      <xdr:rowOff>105834</xdr:rowOff>
    </xdr:from>
    <xdr:to>
      <xdr:col>8</xdr:col>
      <xdr:colOff>288961</xdr:colOff>
      <xdr:row>25</xdr:row>
      <xdr:rowOff>0</xdr:rowOff>
    </xdr:to>
    <xdr:sp macro="" textlink="">
      <xdr:nvSpPr>
        <xdr:cNvPr id="17" name="Rectangle 16">
          <a:extLst>
            <a:ext uri="{FF2B5EF4-FFF2-40B4-BE49-F238E27FC236}">
              <a16:creationId xmlns:a16="http://schemas.microsoft.com/office/drawing/2014/main" id="{3AD6939F-8969-2B18-0E7F-8600B928FECD}"/>
            </a:ext>
          </a:extLst>
        </xdr:cNvPr>
        <xdr:cNvSpPr/>
      </xdr:nvSpPr>
      <xdr:spPr>
        <a:xfrm>
          <a:off x="74086" y="1629834"/>
          <a:ext cx="5113446" cy="313266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374578</xdr:colOff>
      <xdr:row>8</xdr:row>
      <xdr:rowOff>116418</xdr:rowOff>
    </xdr:from>
    <xdr:to>
      <xdr:col>15</xdr:col>
      <xdr:colOff>571501</xdr:colOff>
      <xdr:row>25</xdr:row>
      <xdr:rowOff>0</xdr:rowOff>
    </xdr:to>
    <xdr:sp macro="" textlink="">
      <xdr:nvSpPr>
        <xdr:cNvPr id="19" name="Rectangle 18">
          <a:extLst>
            <a:ext uri="{FF2B5EF4-FFF2-40B4-BE49-F238E27FC236}">
              <a16:creationId xmlns:a16="http://schemas.microsoft.com/office/drawing/2014/main" id="{E7CAFACD-2D57-4430-9126-10F4C7449C7E}"/>
            </a:ext>
          </a:extLst>
        </xdr:cNvPr>
        <xdr:cNvSpPr/>
      </xdr:nvSpPr>
      <xdr:spPr>
        <a:xfrm>
          <a:off x="5273149" y="1640418"/>
          <a:ext cx="4483173" cy="312208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31749</xdr:colOff>
      <xdr:row>8</xdr:row>
      <xdr:rowOff>116416</xdr:rowOff>
    </xdr:from>
    <xdr:to>
      <xdr:col>23</xdr:col>
      <xdr:colOff>285750</xdr:colOff>
      <xdr:row>24</xdr:row>
      <xdr:rowOff>163285</xdr:rowOff>
    </xdr:to>
    <xdr:sp macro="" textlink="">
      <xdr:nvSpPr>
        <xdr:cNvPr id="20" name="Rectangle 19">
          <a:extLst>
            <a:ext uri="{FF2B5EF4-FFF2-40B4-BE49-F238E27FC236}">
              <a16:creationId xmlns:a16="http://schemas.microsoft.com/office/drawing/2014/main" id="{A7E3308B-2F2D-404E-B59E-F0ADC6AEA921}"/>
            </a:ext>
          </a:extLst>
        </xdr:cNvPr>
        <xdr:cNvSpPr/>
      </xdr:nvSpPr>
      <xdr:spPr>
        <a:xfrm>
          <a:off x="9828892" y="1640416"/>
          <a:ext cx="4540251" cy="309486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24</xdr:col>
      <xdr:colOff>285749</xdr:colOff>
      <xdr:row>12</xdr:row>
      <xdr:rowOff>40821</xdr:rowOff>
    </xdr:from>
    <xdr:to>
      <xdr:col>27</xdr:col>
      <xdr:colOff>435427</xdr:colOff>
      <xdr:row>25</xdr:row>
      <xdr:rowOff>68036</xdr:rowOff>
    </xdr:to>
    <xdr:sp macro="" textlink="">
      <xdr:nvSpPr>
        <xdr:cNvPr id="22" name="Flowchart: Off-page Connector 21">
          <a:extLst>
            <a:ext uri="{FF2B5EF4-FFF2-40B4-BE49-F238E27FC236}">
              <a16:creationId xmlns:a16="http://schemas.microsoft.com/office/drawing/2014/main" id="{8A676F96-5823-E22A-9E52-34FBC1746B4F}"/>
            </a:ext>
          </a:extLst>
        </xdr:cNvPr>
        <xdr:cNvSpPr/>
      </xdr:nvSpPr>
      <xdr:spPr>
        <a:xfrm>
          <a:off x="14981463" y="2326821"/>
          <a:ext cx="1986643" cy="2503715"/>
        </a:xfrm>
        <a:prstGeom prst="flowChartOffpageConnector">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391582</xdr:colOff>
      <xdr:row>8</xdr:row>
      <xdr:rowOff>104322</xdr:rowOff>
    </xdr:from>
    <xdr:to>
      <xdr:col>28</xdr:col>
      <xdr:colOff>408214</xdr:colOff>
      <xdr:row>12</xdr:row>
      <xdr:rowOff>0</xdr:rowOff>
    </xdr:to>
    <xdr:sp macro="" textlink="">
      <xdr:nvSpPr>
        <xdr:cNvPr id="23" name="Rectangle 22">
          <a:extLst>
            <a:ext uri="{FF2B5EF4-FFF2-40B4-BE49-F238E27FC236}">
              <a16:creationId xmlns:a16="http://schemas.microsoft.com/office/drawing/2014/main" id="{7BF5FF3A-726C-4743-E09E-8B67033EFBA9}"/>
            </a:ext>
          </a:extLst>
        </xdr:cNvPr>
        <xdr:cNvSpPr/>
      </xdr:nvSpPr>
      <xdr:spPr>
        <a:xfrm>
          <a:off x="14474975" y="1628322"/>
          <a:ext cx="3078239" cy="65767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84668</xdr:colOff>
      <xdr:row>25</xdr:row>
      <xdr:rowOff>81643</xdr:rowOff>
    </xdr:from>
    <xdr:to>
      <xdr:col>8</xdr:col>
      <xdr:colOff>27215</xdr:colOff>
      <xdr:row>45</xdr:row>
      <xdr:rowOff>122465</xdr:rowOff>
    </xdr:to>
    <xdr:sp macro="" textlink="">
      <xdr:nvSpPr>
        <xdr:cNvPr id="24" name="Rectangle 23">
          <a:extLst>
            <a:ext uri="{FF2B5EF4-FFF2-40B4-BE49-F238E27FC236}">
              <a16:creationId xmlns:a16="http://schemas.microsoft.com/office/drawing/2014/main" id="{3C6CA10E-B862-4292-888E-615B4BFD9D35}"/>
            </a:ext>
          </a:extLst>
        </xdr:cNvPr>
        <xdr:cNvSpPr/>
      </xdr:nvSpPr>
      <xdr:spPr>
        <a:xfrm>
          <a:off x="84668" y="4844143"/>
          <a:ext cx="4841118" cy="385082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122464</xdr:colOff>
      <xdr:row>25</xdr:row>
      <xdr:rowOff>81643</xdr:rowOff>
    </xdr:from>
    <xdr:to>
      <xdr:col>18</xdr:col>
      <xdr:colOff>40820</xdr:colOff>
      <xdr:row>45</xdr:row>
      <xdr:rowOff>95250</xdr:rowOff>
    </xdr:to>
    <xdr:sp macro="" textlink="">
      <xdr:nvSpPr>
        <xdr:cNvPr id="26" name="Rectangle 25">
          <a:extLst>
            <a:ext uri="{FF2B5EF4-FFF2-40B4-BE49-F238E27FC236}">
              <a16:creationId xmlns:a16="http://schemas.microsoft.com/office/drawing/2014/main" id="{D932B95D-FF65-4A82-B3EA-9FD8EEF351A9}"/>
            </a:ext>
          </a:extLst>
        </xdr:cNvPr>
        <xdr:cNvSpPr/>
      </xdr:nvSpPr>
      <xdr:spPr>
        <a:xfrm>
          <a:off x="5021035" y="4844143"/>
          <a:ext cx="6041571" cy="382360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122463</xdr:colOff>
      <xdr:row>25</xdr:row>
      <xdr:rowOff>68036</xdr:rowOff>
    </xdr:from>
    <xdr:to>
      <xdr:col>29</xdr:col>
      <xdr:colOff>13607</xdr:colOff>
      <xdr:row>45</xdr:row>
      <xdr:rowOff>108856</xdr:rowOff>
    </xdr:to>
    <xdr:sp macro="" textlink="">
      <xdr:nvSpPr>
        <xdr:cNvPr id="27" name="Rectangle 26">
          <a:extLst>
            <a:ext uri="{FF2B5EF4-FFF2-40B4-BE49-F238E27FC236}">
              <a16:creationId xmlns:a16="http://schemas.microsoft.com/office/drawing/2014/main" id="{618CDFC8-970D-4386-898B-2FA044F9D2BA}"/>
            </a:ext>
          </a:extLst>
        </xdr:cNvPr>
        <xdr:cNvSpPr/>
      </xdr:nvSpPr>
      <xdr:spPr>
        <a:xfrm>
          <a:off x="11144249" y="4830536"/>
          <a:ext cx="6626679" cy="385082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74084</xdr:colOff>
      <xdr:row>9</xdr:row>
      <xdr:rowOff>0</xdr:rowOff>
    </xdr:from>
    <xdr:to>
      <xdr:col>23</xdr:col>
      <xdr:colOff>190499</xdr:colOff>
      <xdr:row>24</xdr:row>
      <xdr:rowOff>13607</xdr:rowOff>
    </xdr:to>
    <xdr:graphicFrame macro="">
      <xdr:nvGraphicFramePr>
        <xdr:cNvPr id="21" name="Chart 20">
          <a:extLst>
            <a:ext uri="{FF2B5EF4-FFF2-40B4-BE49-F238E27FC236}">
              <a16:creationId xmlns:a16="http://schemas.microsoft.com/office/drawing/2014/main" id="{5B15C146-8475-44CF-B46F-1AC06465E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438792</xdr:colOff>
      <xdr:row>9</xdr:row>
      <xdr:rowOff>0</xdr:rowOff>
    </xdr:from>
    <xdr:to>
      <xdr:col>15</xdr:col>
      <xdr:colOff>508000</xdr:colOff>
      <xdr:row>24</xdr:row>
      <xdr:rowOff>13607</xdr:rowOff>
    </xdr:to>
    <xdr:graphicFrame macro="">
      <xdr:nvGraphicFramePr>
        <xdr:cNvPr id="28" name="Chart 27">
          <a:extLst>
            <a:ext uri="{FF2B5EF4-FFF2-40B4-BE49-F238E27FC236}">
              <a16:creationId xmlns:a16="http://schemas.microsoft.com/office/drawing/2014/main" id="{1F343A72-BFD6-4238-8673-1ACE43E42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272142</xdr:colOff>
      <xdr:row>26</xdr:row>
      <xdr:rowOff>27214</xdr:rowOff>
    </xdr:from>
    <xdr:to>
      <xdr:col>17</xdr:col>
      <xdr:colOff>489857</xdr:colOff>
      <xdr:row>44</xdr:row>
      <xdr:rowOff>163286</xdr:rowOff>
    </xdr:to>
    <xdr:graphicFrame macro="">
      <xdr:nvGraphicFramePr>
        <xdr:cNvPr id="31" name="Chart 30">
          <a:extLst>
            <a:ext uri="{FF2B5EF4-FFF2-40B4-BE49-F238E27FC236}">
              <a16:creationId xmlns:a16="http://schemas.microsoft.com/office/drawing/2014/main" id="{BDBBE751-62C7-4E4E-B512-B4F6C0CBF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149831</xdr:colOff>
      <xdr:row>26</xdr:row>
      <xdr:rowOff>27214</xdr:rowOff>
    </xdr:from>
    <xdr:to>
      <xdr:col>7</xdr:col>
      <xdr:colOff>530679</xdr:colOff>
      <xdr:row>45</xdr:row>
      <xdr:rowOff>0</xdr:rowOff>
    </xdr:to>
    <xdr:graphicFrame macro="">
      <xdr:nvGraphicFramePr>
        <xdr:cNvPr id="32" name="Chart 31">
          <a:extLst>
            <a:ext uri="{FF2B5EF4-FFF2-40B4-BE49-F238E27FC236}">
              <a16:creationId xmlns:a16="http://schemas.microsoft.com/office/drawing/2014/main" id="{BC10CD39-A55A-40FC-B675-831FC1A43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244928</xdr:colOff>
      <xdr:row>26</xdr:row>
      <xdr:rowOff>0</xdr:rowOff>
    </xdr:from>
    <xdr:to>
      <xdr:col>28</xdr:col>
      <xdr:colOff>435429</xdr:colOff>
      <xdr:row>44</xdr:row>
      <xdr:rowOff>163286</xdr:rowOff>
    </xdr:to>
    <xdr:graphicFrame macro="">
      <xdr:nvGraphicFramePr>
        <xdr:cNvPr id="33" name="Chart 32">
          <a:extLst>
            <a:ext uri="{FF2B5EF4-FFF2-40B4-BE49-F238E27FC236}">
              <a16:creationId xmlns:a16="http://schemas.microsoft.com/office/drawing/2014/main" id="{87E3D79E-AF9F-44BA-8FD5-DEC761047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149831</xdr:colOff>
      <xdr:row>8</xdr:row>
      <xdr:rowOff>181938</xdr:rowOff>
    </xdr:from>
    <xdr:to>
      <xdr:col>8</xdr:col>
      <xdr:colOff>190500</xdr:colOff>
      <xdr:row>24</xdr:row>
      <xdr:rowOff>54429</xdr:rowOff>
    </xdr:to>
    <xdr:graphicFrame macro="">
      <xdr:nvGraphicFramePr>
        <xdr:cNvPr id="34" name="Chart 33">
          <a:extLst>
            <a:ext uri="{FF2B5EF4-FFF2-40B4-BE49-F238E27FC236}">
              <a16:creationId xmlns:a16="http://schemas.microsoft.com/office/drawing/2014/main" id="{1448C306-80EE-4778-910B-B2DF17149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149678</xdr:colOff>
      <xdr:row>9</xdr:row>
      <xdr:rowOff>38100</xdr:rowOff>
    </xdr:from>
    <xdr:to>
      <xdr:col>27</xdr:col>
      <xdr:colOff>517071</xdr:colOff>
      <xdr:row>11</xdr:row>
      <xdr:rowOff>85725</xdr:rowOff>
    </xdr:to>
    <xdr:sp macro="" textlink="">
      <xdr:nvSpPr>
        <xdr:cNvPr id="25" name="TextBox 24">
          <a:extLst>
            <a:ext uri="{FF2B5EF4-FFF2-40B4-BE49-F238E27FC236}">
              <a16:creationId xmlns:a16="http://schemas.microsoft.com/office/drawing/2014/main" id="{A7F21056-8D53-84C6-1731-A8B3EF3EADFD}"/>
            </a:ext>
          </a:extLst>
        </xdr:cNvPr>
        <xdr:cNvSpPr txBox="1"/>
      </xdr:nvSpPr>
      <xdr:spPr>
        <a:xfrm>
          <a:off x="15457714" y="1752600"/>
          <a:ext cx="1592036" cy="428625"/>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ADLaM Display" panose="02010000000000000000" pitchFamily="2" charset="0"/>
              <a:ea typeface="ADLaM Display" panose="02010000000000000000" pitchFamily="2" charset="0"/>
              <a:cs typeface="ADLaM Display" panose="02010000000000000000" pitchFamily="2" charset="0"/>
            </a:rPr>
            <a:t>TOP 1.</a:t>
          </a:r>
        </a:p>
      </xdr:txBody>
    </xdr:sp>
    <xdr:clientData/>
  </xdr:twoCellAnchor>
  <xdr:twoCellAnchor>
    <xdr:from>
      <xdr:col>24</xdr:col>
      <xdr:colOff>557893</xdr:colOff>
      <xdr:row>14</xdr:row>
      <xdr:rowOff>13607</xdr:rowOff>
    </xdr:from>
    <xdr:to>
      <xdr:col>27</xdr:col>
      <xdr:colOff>217714</xdr:colOff>
      <xdr:row>16</xdr:row>
      <xdr:rowOff>40821</xdr:rowOff>
    </xdr:to>
    <xdr:sp macro="" textlink="pivot!$AG$4">
      <xdr:nvSpPr>
        <xdr:cNvPr id="30" name="TextBox 29">
          <a:extLst>
            <a:ext uri="{FF2B5EF4-FFF2-40B4-BE49-F238E27FC236}">
              <a16:creationId xmlns:a16="http://schemas.microsoft.com/office/drawing/2014/main" id="{EE58EC59-12EE-4169-B694-0837EBF47826}"/>
            </a:ext>
          </a:extLst>
        </xdr:cNvPr>
        <xdr:cNvSpPr txBox="1"/>
      </xdr:nvSpPr>
      <xdr:spPr>
        <a:xfrm>
          <a:off x="15253607" y="2680607"/>
          <a:ext cx="1496786" cy="408214"/>
        </a:xfrm>
        <a:prstGeom prst="rect">
          <a:avLst/>
        </a:prstGeom>
        <a:no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F124EB-994D-4862-9CBF-E713ABEBDE38}" type="TxLink">
            <a:rPr lang="en-US" sz="2400" b="1" i="0" u="none" strike="noStrike">
              <a:solidFill>
                <a:srgbClr val="000000"/>
              </a:solidFill>
              <a:latin typeface="Arial Narrow" panose="020B0606020202030204" pitchFamily="34" charset="0"/>
              <a:ea typeface="ADLaM Display" panose="02010000000000000000" pitchFamily="2" charset="0"/>
              <a:cs typeface="ADLaM Display" panose="02010000000000000000" pitchFamily="2" charset="0"/>
            </a:rPr>
            <a:pPr marL="0" indent="0"/>
            <a:t>Dash Cam</a:t>
          </a:fld>
          <a:endParaRPr lang="en-IN" sz="2400" b="1" i="0" u="none" strike="noStrike">
            <a:solidFill>
              <a:srgbClr val="000000"/>
            </a:solidFill>
            <a:latin typeface="Arial Narrow" panose="020B0606020202030204" pitchFamily="34" charset="0"/>
            <a:ea typeface="ADLaM Display" panose="02010000000000000000" pitchFamily="2" charset="0"/>
            <a:cs typeface="ADLaM Display" panose="02010000000000000000" pitchFamily="2" charset="0"/>
          </a:endParaRPr>
        </a:p>
      </xdr:txBody>
    </xdr:sp>
    <xdr:clientData/>
  </xdr:twoCellAnchor>
  <xdr:twoCellAnchor>
    <xdr:from>
      <xdr:col>25</xdr:col>
      <xdr:colOff>408214</xdr:colOff>
      <xdr:row>16</xdr:row>
      <xdr:rowOff>136071</xdr:rowOff>
    </xdr:from>
    <xdr:to>
      <xdr:col>26</xdr:col>
      <xdr:colOff>312964</xdr:colOff>
      <xdr:row>18</xdr:row>
      <xdr:rowOff>176892</xdr:rowOff>
    </xdr:to>
    <xdr:sp macro="" textlink="pivot!$AH$4">
      <xdr:nvSpPr>
        <xdr:cNvPr id="35" name="TextBox 34">
          <a:extLst>
            <a:ext uri="{FF2B5EF4-FFF2-40B4-BE49-F238E27FC236}">
              <a16:creationId xmlns:a16="http://schemas.microsoft.com/office/drawing/2014/main" id="{C203C745-E9EA-4E21-BB0C-69BEFC4C494F}"/>
            </a:ext>
          </a:extLst>
        </xdr:cNvPr>
        <xdr:cNvSpPr txBox="1"/>
      </xdr:nvSpPr>
      <xdr:spPr>
        <a:xfrm>
          <a:off x="15716250" y="3184071"/>
          <a:ext cx="517071" cy="42182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1E86FB-7259-45F4-B139-7C44A9B950FF}" type="TxLink">
            <a:rPr lang="en-US" sz="1800" b="1" i="0" u="none" strike="noStrike">
              <a:solidFill>
                <a:srgbClr val="000000"/>
              </a:solidFill>
              <a:latin typeface="Arial Narrow" panose="020B0606020202030204" pitchFamily="34" charset="0"/>
              <a:ea typeface="ADLaM Display" panose="02010000000000000000" pitchFamily="2" charset="0"/>
              <a:cs typeface="ADLaM Display" panose="02010000000000000000" pitchFamily="2" charset="0"/>
            </a:rPr>
            <a:pPr marL="0" indent="0"/>
            <a:t>97</a:t>
          </a:fld>
          <a:endParaRPr lang="en-IN" sz="4000" b="1" i="0" u="none" strike="noStrike">
            <a:solidFill>
              <a:srgbClr val="000000"/>
            </a:solidFill>
            <a:latin typeface="Arial Narrow" panose="020B0606020202030204" pitchFamily="34" charset="0"/>
            <a:ea typeface="ADLaM Display" panose="02010000000000000000" pitchFamily="2" charset="0"/>
            <a:cs typeface="ADLaM Display" panose="020100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600076</xdr:colOff>
      <xdr:row>0</xdr:row>
      <xdr:rowOff>66675</xdr:rowOff>
    </xdr:from>
    <xdr:to>
      <xdr:col>11</xdr:col>
      <xdr:colOff>85726</xdr:colOff>
      <xdr:row>13</xdr:row>
      <xdr:rowOff>114299</xdr:rowOff>
    </xdr:to>
    <xdr:graphicFrame macro="">
      <xdr:nvGraphicFramePr>
        <xdr:cNvPr id="2" name="Chart 1">
          <a:extLst>
            <a:ext uri="{FF2B5EF4-FFF2-40B4-BE49-F238E27FC236}">
              <a16:creationId xmlns:a16="http://schemas.microsoft.com/office/drawing/2014/main" id="{B888CA85-299C-479B-BBD9-88285625F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317631</xdr:colOff>
      <xdr:row>13</xdr:row>
      <xdr:rowOff>48597</xdr:rowOff>
    </xdr:to>
    <xdr:graphicFrame macro="">
      <xdr:nvGraphicFramePr>
        <xdr:cNvPr id="2" name="Chart 1">
          <a:extLst>
            <a:ext uri="{FF2B5EF4-FFF2-40B4-BE49-F238E27FC236}">
              <a16:creationId xmlns:a16="http://schemas.microsoft.com/office/drawing/2014/main" id="{17761805-E9DD-4100-96DB-A43014CB3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599326</xdr:colOff>
      <xdr:row>0</xdr:row>
      <xdr:rowOff>64213</xdr:rowOff>
    </xdr:from>
    <xdr:to>
      <xdr:col>9</xdr:col>
      <xdr:colOff>265523</xdr:colOff>
      <xdr:row>12</xdr:row>
      <xdr:rowOff>77087</xdr:rowOff>
    </xdr:to>
    <xdr:graphicFrame macro="">
      <xdr:nvGraphicFramePr>
        <xdr:cNvPr id="2" name="Chart 1">
          <a:extLst>
            <a:ext uri="{FF2B5EF4-FFF2-40B4-BE49-F238E27FC236}">
              <a16:creationId xmlns:a16="http://schemas.microsoft.com/office/drawing/2014/main" id="{2C15532E-0A9F-4115-AD9E-2E63C43FB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315355</xdr:colOff>
      <xdr:row>12</xdr:row>
      <xdr:rowOff>120479</xdr:rowOff>
    </xdr:to>
    <xdr:graphicFrame macro="">
      <xdr:nvGraphicFramePr>
        <xdr:cNvPr id="2" name="Chart 1">
          <a:extLst>
            <a:ext uri="{FF2B5EF4-FFF2-40B4-BE49-F238E27FC236}">
              <a16:creationId xmlns:a16="http://schemas.microsoft.com/office/drawing/2014/main" id="{3D870B54-23B3-4474-AD91-B2BBFCDAD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76200</xdr:colOff>
      <xdr:row>16</xdr:row>
      <xdr:rowOff>58697</xdr:rowOff>
    </xdr:to>
    <xdr:graphicFrame macro="">
      <xdr:nvGraphicFramePr>
        <xdr:cNvPr id="2" name="Chart 1">
          <a:extLst>
            <a:ext uri="{FF2B5EF4-FFF2-40B4-BE49-F238E27FC236}">
              <a16:creationId xmlns:a16="http://schemas.microsoft.com/office/drawing/2014/main" id="{F6529786-3198-403E-A04A-8ED9A09BF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0</xdr:rowOff>
    </xdr:from>
    <xdr:to>
      <xdr:col>9</xdr:col>
      <xdr:colOff>189214</xdr:colOff>
      <xdr:row>14</xdr:row>
      <xdr:rowOff>40159</xdr:rowOff>
    </xdr:to>
    <xdr:graphicFrame macro="">
      <xdr:nvGraphicFramePr>
        <xdr:cNvPr id="2" name="Chart 1">
          <a:extLst>
            <a:ext uri="{FF2B5EF4-FFF2-40B4-BE49-F238E27FC236}">
              <a16:creationId xmlns:a16="http://schemas.microsoft.com/office/drawing/2014/main" id="{845AFE42-F0A2-4E84-B599-94ECCF0E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46.743707870373" createdVersion="8" refreshedVersion="8" minRefreshableVersion="3" recordCount="2000" xr:uid="{519E6E90-0B90-47D7-A2BF-BE28CC1B1ACF}">
  <cacheSource type="worksheet">
    <worksheetSource name="walmart"/>
  </cacheSource>
  <cacheFields count="19">
    <cacheField name="Customer_ID" numFmtId="0">
      <sharedItems/>
    </cacheField>
    <cacheField name="Age" numFmtId="0">
      <sharedItems containsSemiMixedTypes="0" containsString="0" containsNumber="1" containsInteger="1" minValue="18" maxValue="70" count="53">
        <n v="63"/>
        <n v="37"/>
        <n v="24"/>
        <n v="61"/>
        <n v="22"/>
        <n v="53"/>
        <n v="30"/>
        <n v="31"/>
        <n v="69"/>
        <n v="46"/>
        <n v="44"/>
        <n v="41"/>
        <n v="45"/>
        <n v="47"/>
        <n v="66"/>
        <n v="57"/>
        <n v="54"/>
        <n v="19"/>
        <n v="51"/>
        <n v="32"/>
        <n v="28"/>
        <n v="29"/>
        <n v="33"/>
        <n v="39"/>
        <n v="27"/>
        <n v="65"/>
        <n v="49"/>
        <n v="21"/>
        <n v="36"/>
        <n v="68"/>
        <n v="35"/>
        <n v="67"/>
        <n v="55"/>
        <n v="50"/>
        <n v="43"/>
        <n v="52"/>
        <n v="48"/>
        <n v="18"/>
        <n v="23"/>
        <n v="38"/>
        <n v="20"/>
        <n v="34"/>
        <n v="64"/>
        <n v="58"/>
        <n v="70"/>
        <n v="26"/>
        <n v="25"/>
        <n v="59"/>
        <n v="56"/>
        <n v="60"/>
        <n v="40"/>
        <n v="62"/>
        <n v="42"/>
      </sharedItems>
    </cacheField>
    <cacheField name="Gender" numFmtId="0">
      <sharedItems count="2">
        <s v="Female"/>
        <s v="Male"/>
      </sharedItems>
    </cacheField>
    <cacheField name="City" numFmtId="0">
      <sharedItems containsBlank="1" count="140">
        <s v="New York City"/>
        <s v="Los Angeles"/>
        <s v="Chicago"/>
        <s v="Houston"/>
        <s v="Phoenix"/>
        <s v="Philadelphia"/>
        <s v="San Antonio"/>
        <s v="San Diego"/>
        <s v="Dallas"/>
        <s v="San Jose"/>
        <s v="Austin"/>
        <s v="Jacksonville"/>
        <s v="San Francisco"/>
        <s v="Indianapolis"/>
        <s v="Columbus"/>
        <s v="Fort Worth"/>
        <s v="Charlotte"/>
        <s v="Memphis"/>
        <s v="Boston"/>
        <s v="Denver"/>
        <s v="Milwaukee"/>
        <s v="Seattle"/>
        <s v="Miami"/>
        <s v="Oakland"/>
        <s v="Minneapolis"/>
        <s v="Tulsa"/>
        <s v="Virginia Beach"/>
        <s v="Kansas City"/>
        <s v="St. Louis"/>
        <s v="Atlanta"/>
        <s v="Sacramento"/>
        <s v="Orlando"/>
        <s v="Portland"/>
        <s v="Tampa"/>
        <s v="Pittsburgh"/>
        <s v="Cincinnati"/>
        <s v="Cleveland"/>
        <s v="Baltimore"/>
        <s v="Detroit"/>
        <s v="Nashville"/>
        <s v="Oklahoma City"/>
        <s v="Louisville"/>
        <s v="Albuquerque"/>
        <s v="Tucson"/>
        <s v="Long Beach"/>
        <s v="Colorado Springs"/>
        <s v="Santa Ana"/>
        <s v="Anaheim"/>
        <s v="Raleigh"/>
        <s v="Omaha"/>
        <s v="Honolulu"/>
        <s v="Wichita"/>
        <s v="Arlington"/>
        <s v="St. Petersburg"/>
        <s v="Jersey City"/>
        <s v="Buffalo"/>
        <s v="Rochester"/>
        <s v="Providence"/>
        <s v="Toledo"/>
        <s v="Des Moines"/>
        <s v="Salt Lake City"/>
        <s v="Fresno"/>
        <s v="Birmingham"/>
        <s v="Hartford"/>
        <s v="Bridgeport"/>
        <s v="New Haven"/>
        <s v="Grand Rapids"/>
        <s v="Richmond"/>
        <s v="Boise"/>
        <s v="Spokane"/>
        <s v="Baton Rouge"/>
        <s v="Shreveport"/>
        <s v="Jackson"/>
        <s v="Montgomery"/>
        <s v="Madison"/>
        <s v="Knoxville"/>
        <s v="Chattanooga"/>
        <s v="Mobile"/>
        <s v="Augusta"/>
        <s v="Savannah"/>
        <s v="Charleston"/>
        <s v="Greenville"/>
        <s v="Columbia"/>
        <s v="Wilmington"/>
        <s v="Manchester"/>
        <s v="Anchorage"/>
        <s v="Juneau"/>
        <s v="Little Rock"/>
        <s v="Fayetteville"/>
        <s v="Springfield"/>
        <s v="Eugene"/>
        <s v="Salem"/>
        <s v="Syracuse"/>
        <s v="Albany"/>
        <s v="Worcester"/>
        <s v="Akron"/>
        <s v="Dayton"/>
        <s v="Peoria"/>
        <s v="Rockford"/>
        <s v="Fort Wayne"/>
        <s v="Evansville"/>
        <s v="South Bend"/>
        <s v="Gary"/>
        <s v="Hammond"/>
        <s v="Bloomington"/>
        <s v="Champaign"/>
        <s v="Decatur"/>
        <s v="Quincy"/>
        <s v="Rock Island"/>
        <s v="Moline"/>
        <s v="Davenport"/>
        <s v="Cedar Rapids"/>
        <s v="Iowa City"/>
        <s v="Waterloo"/>
        <s v="Council Bluffs"/>
        <s v="Sioux City"/>
        <s v="Rapid City"/>
        <s v="Pierre"/>
        <s v="Sioux Falls"/>
        <s v="Fargo"/>
        <s v="Bismarck"/>
        <s v="Grand Forks"/>
        <s v="Minot"/>
        <s v="Billings"/>
        <s v="Great Falls"/>
        <s v="Missoula"/>
        <s v="Butte"/>
        <s v="Bozeman"/>
        <s v="Helena"/>
        <s v="Cheyenne"/>
        <s v="Casper"/>
        <s v="Laramie"/>
        <s v="Gillette"/>
        <s v="Clarksville"/>
        <s v="Murfreesboro"/>
        <s v="Johnson City"/>
        <s v="Kingsport"/>
        <s v="Bristol"/>
        <s v="New York" u="1"/>
        <m u="1"/>
      </sharedItems>
    </cacheField>
    <cacheField name="Category" numFmtId="0">
      <sharedItems count="7">
        <s v="Clothing"/>
        <s v="Toys"/>
        <s v="Home &amp; Kitchen"/>
        <s v="Electronics"/>
        <s v="Beauty"/>
        <s v="Sports"/>
        <s v="Automotive"/>
      </sharedItems>
    </cacheField>
    <cacheField name="Product_Name" numFmtId="0">
      <sharedItems count="28">
        <s v="Jeans"/>
        <s v="Board Game"/>
        <s v="Vacuum Cleaner"/>
        <s v="Laptop"/>
        <s v="Skincare Set"/>
        <s v="Makeup Kit"/>
        <s v="Cycling Helmet"/>
        <s v="T-Shirt"/>
        <s v="Dumbbells"/>
        <s v="Treadmill"/>
        <s v="Seat Covers"/>
        <s v="Jacket"/>
        <s v="Smartphone"/>
        <s v="Dash Cam"/>
        <s v="Jump Starter"/>
        <s v="Smartwatch"/>
        <s v="Yoga Mat"/>
        <s v="Perfume"/>
        <s v="Blender"/>
        <s v="Headphones"/>
        <s v="Hair Dryer"/>
        <s v="Car Vacuum"/>
        <s v="Shoes"/>
        <s v="Doll"/>
        <s v="Cookware Set"/>
        <s v="Lego Set"/>
        <s v="Action Figure"/>
        <s v="Microwave"/>
      </sharedItems>
    </cacheField>
    <cacheField name="Purchase_Date" numFmtId="0">
      <sharedItems/>
    </cacheField>
    <cacheField name="Day" numFmtId="0">
      <sharedItems count="7">
        <s v="Fri"/>
        <s v="Tue"/>
        <s v="Sat"/>
        <s v="Thu"/>
        <s v="Wed"/>
        <s v="Sun"/>
        <s v="Mon"/>
      </sharedItems>
    </cacheField>
    <cacheField name="Month" numFmtId="0">
      <sharedItems count="12">
        <s v="Apr"/>
        <s v="Nov"/>
        <s v="Jul"/>
        <s v="Aug"/>
        <s v="May"/>
        <s v="Oct"/>
        <s v="Mar"/>
        <s v="Dec"/>
        <s v="Feb"/>
        <s v="Jan"/>
        <s v="Sep"/>
        <s v="Jun"/>
      </sharedItems>
    </cacheField>
    <cacheField name="Year" numFmtId="0">
      <sharedItems count="2">
        <s v="2024"/>
        <s v="2025"/>
      </sharedItems>
    </cacheField>
    <cacheField name="Purchase_Amount" numFmtId="164">
      <sharedItems containsSemiMixedTypes="0" containsString="0" containsNumber="1" minValue="52.44" maxValue="988.77"/>
    </cacheField>
    <cacheField name="Discount Percentage" numFmtId="0">
      <sharedItems/>
    </cacheField>
    <cacheField name="Profit" numFmtId="164">
      <sharedItems containsString="0" containsBlank="1" containsNumber="1" minValue="0" maxValue="197.75400000000002"/>
    </cacheField>
    <cacheField name="Discount_Applied" numFmtId="0">
      <sharedItems count="2">
        <s v="Yes"/>
        <s v="No"/>
      </sharedItems>
    </cacheField>
    <cacheField name="Repeat_Customer" numFmtId="0">
      <sharedItems count="2">
        <s v="Yes"/>
        <s v="No"/>
      </sharedItems>
    </cacheField>
    <cacheField name="Total Amount" numFmtId="164">
      <sharedItems containsSemiMixedTypes="0" containsString="0" containsNumber="1" minValue="52.44" maxValue="988.77"/>
    </cacheField>
    <cacheField name="Payment_Method" numFmtId="0">
      <sharedItems count="4">
        <s v="PayPal"/>
        <s v="Credit Card"/>
        <s v="Cash on Delivery"/>
        <s v="Debit Card"/>
      </sharedItems>
    </cacheField>
    <cacheField name="Rating" numFmtId="0">
      <sharedItems containsSemiMixedTypes="0" containsString="0" containsNumber="1" containsInteger="1" minValue="1" maxValue="5"/>
    </cacheField>
    <cacheField name="Customer Feedback" numFmtId="0">
      <sharedItems/>
    </cacheField>
  </cacheFields>
  <extLst>
    <ext xmlns:x14="http://schemas.microsoft.com/office/spreadsheetml/2009/9/main" uri="{725AE2AE-9491-48be-B2B4-4EB974FC3084}">
      <x14:pivotCacheDefinition pivotCacheId="1124904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1c448148-e403-42a4-91dc-802f705841fb"/>
    <x v="0"/>
    <x v="0"/>
    <x v="0"/>
    <x v="0"/>
    <x v="0"/>
    <s v="2024-04-05"/>
    <x v="0"/>
    <x v="0"/>
    <x v="0"/>
    <n v="697.86"/>
    <s v="10% off"/>
    <n v="69.786000000000001"/>
    <x v="0"/>
    <x v="0"/>
    <n v="628.07400000000007"/>
    <x v="0"/>
    <n v="1"/>
    <s v="Very Poor"/>
  </r>
  <r>
    <s v="6b4e2b64-c925-4fdd-bde0-3379da8ef0ea"/>
    <x v="1"/>
    <x v="0"/>
    <x v="1"/>
    <x v="1"/>
    <x v="1"/>
    <s v="2024-11-26"/>
    <x v="1"/>
    <x v="1"/>
    <x v="0"/>
    <n v="67.040000000000006"/>
    <s v="0% off"/>
    <n v="0"/>
    <x v="1"/>
    <x v="0"/>
    <n v="67.040000000000006"/>
    <x v="1"/>
    <n v="3"/>
    <s v="Average"/>
  </r>
  <r>
    <s v="c7b917a4-98b7-45e3-9043-2e32f4d40f71"/>
    <x v="2"/>
    <x v="1"/>
    <x v="2"/>
    <x v="2"/>
    <x v="2"/>
    <s v="2024-07-20"/>
    <x v="2"/>
    <x v="2"/>
    <x v="0"/>
    <n v="493.96"/>
    <s v="5% off"/>
    <n v="24.698"/>
    <x v="0"/>
    <x v="1"/>
    <n v="469.262"/>
    <x v="2"/>
    <n v="3"/>
    <s v="Average"/>
  </r>
  <r>
    <s v="192a0409-dcca-4237-a6e1-8ddeb6c740fd"/>
    <x v="3"/>
    <x v="1"/>
    <x v="3"/>
    <x v="3"/>
    <x v="3"/>
    <s v="2024-11-23"/>
    <x v="2"/>
    <x v="1"/>
    <x v="0"/>
    <n v="211.46"/>
    <s v="5% off"/>
    <n v="10.573"/>
    <x v="0"/>
    <x v="1"/>
    <n v="200.887"/>
    <x v="2"/>
    <n v="2"/>
    <s v="Poor"/>
  </r>
  <r>
    <s v="a9676e50-2111-4dee-af11-83d493858e2e"/>
    <x v="4"/>
    <x v="1"/>
    <x v="4"/>
    <x v="4"/>
    <x v="4"/>
    <s v="2024-08-02"/>
    <x v="0"/>
    <x v="3"/>
    <x v="0"/>
    <n v="512.94000000000005"/>
    <s v="10% off"/>
    <n v="51.294000000000011"/>
    <x v="0"/>
    <x v="0"/>
    <n v="461.64600000000007"/>
    <x v="1"/>
    <n v="2"/>
    <s v="Poor"/>
  </r>
  <r>
    <s v="583783d5-bb33-42b5-be2a-c40a5a07266f"/>
    <x v="5"/>
    <x v="0"/>
    <x v="5"/>
    <x v="0"/>
    <x v="0"/>
    <s v="2024-05-02"/>
    <x v="3"/>
    <x v="4"/>
    <x v="0"/>
    <n v="697.86"/>
    <s v="10% off"/>
    <n v="69.786000000000001"/>
    <x v="0"/>
    <x v="1"/>
    <n v="628.07400000000007"/>
    <x v="3"/>
    <n v="5"/>
    <s v="Excellent"/>
  </r>
  <r>
    <s v="76a37141-a4fb-4d2f-9b45-f0dc6610f13f"/>
    <x v="6"/>
    <x v="1"/>
    <x v="6"/>
    <x v="4"/>
    <x v="4"/>
    <s v="2024-10-17"/>
    <x v="3"/>
    <x v="5"/>
    <x v="0"/>
    <n v="512.94000000000005"/>
    <s v="10% off"/>
    <n v="51.294000000000011"/>
    <x v="0"/>
    <x v="1"/>
    <n v="461.64600000000007"/>
    <x v="2"/>
    <n v="2"/>
    <s v="Poor"/>
  </r>
  <r>
    <s v="1ecab704-565f-4375-917f-224216609bcd"/>
    <x v="7"/>
    <x v="0"/>
    <x v="7"/>
    <x v="4"/>
    <x v="5"/>
    <s v="2025-03-22"/>
    <x v="2"/>
    <x v="6"/>
    <x v="1"/>
    <n v="988.77"/>
    <s v="20% off"/>
    <n v="197.75400000000002"/>
    <x v="0"/>
    <x v="0"/>
    <n v="791.01599999999996"/>
    <x v="3"/>
    <n v="3"/>
    <s v="Average"/>
  </r>
  <r>
    <s v="160a5941-df78-4f00-9897-49efdb9dce10"/>
    <x v="4"/>
    <x v="0"/>
    <x v="8"/>
    <x v="5"/>
    <x v="6"/>
    <s v="2024-05-29"/>
    <x v="4"/>
    <x v="4"/>
    <x v="0"/>
    <n v="76.81"/>
    <s v="0% off"/>
    <n v="0"/>
    <x v="1"/>
    <x v="1"/>
    <n v="76.81"/>
    <x v="1"/>
    <n v="4"/>
    <s v="Good"/>
  </r>
  <r>
    <s v="7a5cba55-66dd-416d-b31a-cee1ca2de2e6"/>
    <x v="8"/>
    <x v="0"/>
    <x v="9"/>
    <x v="0"/>
    <x v="7"/>
    <s v="2024-10-09"/>
    <x v="4"/>
    <x v="5"/>
    <x v="0"/>
    <n v="78.349999999999994"/>
    <s v="0% off"/>
    <n v="0"/>
    <x v="1"/>
    <x v="0"/>
    <n v="78.349999999999994"/>
    <x v="0"/>
    <n v="3"/>
    <s v="Average"/>
  </r>
  <r>
    <s v="eff09a2c-4682-4208-ac25-04149fb59a79"/>
    <x v="9"/>
    <x v="1"/>
    <x v="10"/>
    <x v="0"/>
    <x v="7"/>
    <s v="2024-08-04"/>
    <x v="5"/>
    <x v="3"/>
    <x v="0"/>
    <n v="78.349999999999994"/>
    <s v="0% off"/>
    <n v="0"/>
    <x v="1"/>
    <x v="0"/>
    <n v="78.349999999999994"/>
    <x v="3"/>
    <n v="3"/>
    <s v="Average"/>
  </r>
  <r>
    <s v="35f30f02-e865-4b88-b823-4af7902c291b"/>
    <x v="10"/>
    <x v="0"/>
    <x v="11"/>
    <x v="5"/>
    <x v="8"/>
    <s v="2025-03-05"/>
    <x v="4"/>
    <x v="6"/>
    <x v="1"/>
    <n v="374.92"/>
    <s v="5% off"/>
    <n v="18.746000000000002"/>
    <x v="0"/>
    <x v="1"/>
    <n v="356.17400000000004"/>
    <x v="2"/>
    <n v="3"/>
    <s v="Average"/>
  </r>
  <r>
    <s v="7b5ef052-2792-4adf-8e30-a1a827d509c7"/>
    <x v="11"/>
    <x v="0"/>
    <x v="12"/>
    <x v="5"/>
    <x v="9"/>
    <s v="2025-03-05"/>
    <x v="4"/>
    <x v="6"/>
    <x v="1"/>
    <n v="452.97"/>
    <s v="5% off"/>
    <n v="22.648500000000002"/>
    <x v="0"/>
    <x v="1"/>
    <n v="430.32150000000001"/>
    <x v="1"/>
    <n v="2"/>
    <s v="Poor"/>
  </r>
  <r>
    <s v="788d2376-8b1e-463b-82b6-61934b07df27"/>
    <x v="12"/>
    <x v="1"/>
    <x v="13"/>
    <x v="5"/>
    <x v="6"/>
    <s v="2024-12-04"/>
    <x v="4"/>
    <x v="7"/>
    <x v="0"/>
    <n v="76.81"/>
    <s v="0% off"/>
    <n v="0"/>
    <x v="1"/>
    <x v="0"/>
    <n v="76.81"/>
    <x v="1"/>
    <n v="2"/>
    <s v="Poor"/>
  </r>
  <r>
    <s v="0fd3d40a-ddcf-4693-904d-b63a9ec90f34"/>
    <x v="5"/>
    <x v="0"/>
    <x v="14"/>
    <x v="4"/>
    <x v="5"/>
    <s v="2024-07-10"/>
    <x v="4"/>
    <x v="2"/>
    <x v="0"/>
    <n v="988.77"/>
    <s v="20% off"/>
    <n v="197.75400000000002"/>
    <x v="0"/>
    <x v="1"/>
    <n v="791.01599999999996"/>
    <x v="0"/>
    <n v="1"/>
    <s v="Very Poor"/>
  </r>
  <r>
    <s v="b952bcc1-cba8-4261-9f22-3a616f48c712"/>
    <x v="13"/>
    <x v="1"/>
    <x v="15"/>
    <x v="6"/>
    <x v="10"/>
    <s v="2025-02-24"/>
    <x v="6"/>
    <x v="8"/>
    <x v="1"/>
    <n v="782.29"/>
    <s v="15% off"/>
    <n v="117.34349999999999"/>
    <x v="0"/>
    <x v="0"/>
    <n v="664.94650000000001"/>
    <x v="1"/>
    <n v="2"/>
    <s v="Poor"/>
  </r>
  <r>
    <s v="370ae611-95e4-440d-8a4c-3d9a745a9e34"/>
    <x v="14"/>
    <x v="0"/>
    <x v="16"/>
    <x v="0"/>
    <x v="11"/>
    <s v="2024-07-01"/>
    <x v="6"/>
    <x v="2"/>
    <x v="0"/>
    <n v="116.78"/>
    <s v="0% off"/>
    <n v="0"/>
    <x v="1"/>
    <x v="0"/>
    <n v="116.78"/>
    <x v="2"/>
    <n v="4"/>
    <s v="Good"/>
  </r>
  <r>
    <s v="ca3d05d5-7b92-47f7-aaf7-867286db7bf3"/>
    <x v="4"/>
    <x v="1"/>
    <x v="17"/>
    <x v="5"/>
    <x v="8"/>
    <s v="2025-02-06"/>
    <x v="3"/>
    <x v="8"/>
    <x v="1"/>
    <n v="374.92"/>
    <s v="5% off"/>
    <n v="18.746000000000002"/>
    <x v="0"/>
    <x v="0"/>
    <n v="356.17400000000004"/>
    <x v="3"/>
    <n v="2"/>
    <s v="Poor"/>
  </r>
  <r>
    <s v="b2b8d5ba-5089-4602-bd36-714371f078ac"/>
    <x v="15"/>
    <x v="0"/>
    <x v="18"/>
    <x v="3"/>
    <x v="12"/>
    <s v="2024-04-28"/>
    <x v="5"/>
    <x v="0"/>
    <x v="0"/>
    <n v="270.41000000000003"/>
    <s v="5% off"/>
    <n v="13.520500000000002"/>
    <x v="0"/>
    <x v="0"/>
    <n v="256.8895"/>
    <x v="1"/>
    <n v="4"/>
    <s v="Good"/>
  </r>
  <r>
    <s v="faba4dd0-5e3d-42f7-bfd9-d3bf159ac62f"/>
    <x v="16"/>
    <x v="1"/>
    <x v="19"/>
    <x v="6"/>
    <x v="10"/>
    <s v="2025-01-06"/>
    <x v="6"/>
    <x v="9"/>
    <x v="1"/>
    <n v="782.29"/>
    <s v="15% off"/>
    <n v="117.34349999999999"/>
    <x v="0"/>
    <x v="0"/>
    <n v="664.94650000000001"/>
    <x v="2"/>
    <n v="1"/>
    <s v="Very Poor"/>
  </r>
  <r>
    <s v="c17621f4-8d38-4224-84cc-ca4946ea9b45"/>
    <x v="17"/>
    <x v="0"/>
    <x v="20"/>
    <x v="0"/>
    <x v="7"/>
    <s v="2024-09-12"/>
    <x v="3"/>
    <x v="10"/>
    <x v="0"/>
    <n v="78.349999999999994"/>
    <s v="0% off"/>
    <n v="0"/>
    <x v="1"/>
    <x v="0"/>
    <n v="78.349999999999994"/>
    <x v="3"/>
    <n v="2"/>
    <s v="Poor"/>
  </r>
  <r>
    <s v="d85ce615-06ae-454f-b619-98a43e0437b7"/>
    <x v="8"/>
    <x v="0"/>
    <x v="21"/>
    <x v="3"/>
    <x v="12"/>
    <s v="2024-06-12"/>
    <x v="4"/>
    <x v="11"/>
    <x v="0"/>
    <n v="270.41000000000003"/>
    <s v="5% off"/>
    <n v="13.520500000000002"/>
    <x v="0"/>
    <x v="1"/>
    <n v="256.8895"/>
    <x v="1"/>
    <n v="2"/>
    <s v="Poor"/>
  </r>
  <r>
    <s v="2e2ac41b-c2e3-4142-a750-4690cd1c7de1"/>
    <x v="7"/>
    <x v="1"/>
    <x v="22"/>
    <x v="6"/>
    <x v="13"/>
    <s v="2024-05-26"/>
    <x v="5"/>
    <x v="4"/>
    <x v="0"/>
    <n v="418.55"/>
    <s v="5% off"/>
    <n v="20.927500000000002"/>
    <x v="0"/>
    <x v="0"/>
    <n v="397.6225"/>
    <x v="3"/>
    <n v="4"/>
    <s v="Good"/>
  </r>
  <r>
    <s v="74ab1b49-20ab-48d7-bbba-c2814fbb26f5"/>
    <x v="18"/>
    <x v="0"/>
    <x v="23"/>
    <x v="6"/>
    <x v="14"/>
    <s v="2024-12-25"/>
    <x v="4"/>
    <x v="7"/>
    <x v="0"/>
    <n v="965.09"/>
    <s v="20% off"/>
    <n v="193.01800000000003"/>
    <x v="0"/>
    <x v="1"/>
    <n v="772.072"/>
    <x v="0"/>
    <n v="4"/>
    <s v="Good"/>
  </r>
  <r>
    <s v="e32b0f0a-0a12-4ab6-9128-87c49ae296b7"/>
    <x v="19"/>
    <x v="1"/>
    <x v="24"/>
    <x v="3"/>
    <x v="15"/>
    <s v="2024-08-18"/>
    <x v="5"/>
    <x v="3"/>
    <x v="0"/>
    <n v="855.21"/>
    <s v="15% off"/>
    <n v="128.28149999999999"/>
    <x v="0"/>
    <x v="0"/>
    <n v="726.92849999999999"/>
    <x v="1"/>
    <n v="5"/>
    <s v="Excellent"/>
  </r>
  <r>
    <s v="76ca1e8d-320d-4d6d-95b4-b4f62ffb7a29"/>
    <x v="7"/>
    <x v="1"/>
    <x v="25"/>
    <x v="5"/>
    <x v="16"/>
    <s v="2025-02-17"/>
    <x v="6"/>
    <x v="8"/>
    <x v="1"/>
    <n v="592.26"/>
    <s v="10% off"/>
    <n v="59.225999999999999"/>
    <x v="0"/>
    <x v="1"/>
    <n v="533.03399999999999"/>
    <x v="1"/>
    <n v="2"/>
    <s v="Poor"/>
  </r>
  <r>
    <s v="07ee55a0-5bef-4e61-abe9-63db35ac4527"/>
    <x v="2"/>
    <x v="1"/>
    <x v="26"/>
    <x v="4"/>
    <x v="17"/>
    <s v="2025-03-15"/>
    <x v="2"/>
    <x v="6"/>
    <x v="1"/>
    <n v="315.56"/>
    <s v="5% off"/>
    <n v="15.778"/>
    <x v="0"/>
    <x v="1"/>
    <n v="299.78199999999998"/>
    <x v="1"/>
    <n v="3"/>
    <s v="Average"/>
  </r>
  <r>
    <s v="483110a6-2f7d-4b97-8a2d-484d4048c9b4"/>
    <x v="20"/>
    <x v="1"/>
    <x v="27"/>
    <x v="3"/>
    <x v="12"/>
    <s v="2024-04-07"/>
    <x v="5"/>
    <x v="0"/>
    <x v="0"/>
    <n v="270.41000000000003"/>
    <s v="5% off"/>
    <n v="13.520500000000002"/>
    <x v="0"/>
    <x v="1"/>
    <n v="256.8895"/>
    <x v="0"/>
    <n v="3"/>
    <s v="Average"/>
  </r>
  <r>
    <s v="5886f8ba-2ebb-4b48-a84e-a863b44d6601"/>
    <x v="21"/>
    <x v="0"/>
    <x v="28"/>
    <x v="1"/>
    <x v="1"/>
    <s v="2024-08-14"/>
    <x v="4"/>
    <x v="3"/>
    <x v="0"/>
    <n v="67.040000000000006"/>
    <s v="0% off"/>
    <n v="0"/>
    <x v="1"/>
    <x v="1"/>
    <n v="67.040000000000006"/>
    <x v="3"/>
    <n v="1"/>
    <s v="Very Poor"/>
  </r>
  <r>
    <s v="41b4880d-4b05-419a-a516-c841df0f4e16"/>
    <x v="0"/>
    <x v="0"/>
    <x v="29"/>
    <x v="3"/>
    <x v="15"/>
    <s v="2025-02-26"/>
    <x v="4"/>
    <x v="8"/>
    <x v="1"/>
    <n v="855.21"/>
    <s v="15% off"/>
    <n v="128.28149999999999"/>
    <x v="0"/>
    <x v="1"/>
    <n v="726.92849999999999"/>
    <x v="0"/>
    <n v="2"/>
    <s v="Poor"/>
  </r>
  <r>
    <s v="729f5f17-62a5-4aff-a2f5-1ea6d9e75de4"/>
    <x v="22"/>
    <x v="0"/>
    <x v="30"/>
    <x v="2"/>
    <x v="18"/>
    <s v="2024-11-27"/>
    <x v="4"/>
    <x v="1"/>
    <x v="0"/>
    <n v="492.1"/>
    <s v="5% off"/>
    <n v="24.605000000000004"/>
    <x v="0"/>
    <x v="0"/>
    <n v="467.495"/>
    <x v="2"/>
    <n v="4"/>
    <s v="Good"/>
  </r>
  <r>
    <s v="8bebd040-0b45-4627-af0c-cf644cefab2e"/>
    <x v="19"/>
    <x v="0"/>
    <x v="31"/>
    <x v="2"/>
    <x v="18"/>
    <s v="2024-11-11"/>
    <x v="6"/>
    <x v="1"/>
    <x v="0"/>
    <n v="492.1"/>
    <s v="5% off"/>
    <n v="24.605000000000004"/>
    <x v="0"/>
    <x v="1"/>
    <n v="467.495"/>
    <x v="2"/>
    <n v="3"/>
    <s v="Average"/>
  </r>
  <r>
    <s v="36b9edea-a2c8-4245-89ba-237e2e7e60fc"/>
    <x v="1"/>
    <x v="0"/>
    <x v="32"/>
    <x v="3"/>
    <x v="19"/>
    <s v="2024-06-11"/>
    <x v="1"/>
    <x v="11"/>
    <x v="0"/>
    <n v="165.68"/>
    <s v="5% off"/>
    <n v="8.2840000000000007"/>
    <x v="0"/>
    <x v="1"/>
    <n v="157.39600000000002"/>
    <x v="2"/>
    <n v="3"/>
    <s v="Average"/>
  </r>
  <r>
    <s v="87e7f4df-f932-4153-97a3-9d43e2d01d01"/>
    <x v="11"/>
    <x v="0"/>
    <x v="33"/>
    <x v="4"/>
    <x v="20"/>
    <s v="2024-08-04"/>
    <x v="5"/>
    <x v="3"/>
    <x v="0"/>
    <n v="260.77999999999997"/>
    <s v="5% off"/>
    <n v="13.039"/>
    <x v="0"/>
    <x v="0"/>
    <n v="247.74099999999999"/>
    <x v="2"/>
    <n v="3"/>
    <s v="Average"/>
  </r>
  <r>
    <s v="fc530a6b-6bbc-47c0-9727-41499e5a33bb"/>
    <x v="15"/>
    <x v="1"/>
    <x v="34"/>
    <x v="2"/>
    <x v="18"/>
    <s v="2024-07-17"/>
    <x v="4"/>
    <x v="2"/>
    <x v="0"/>
    <n v="492.1"/>
    <s v="5% off"/>
    <n v="24.605000000000004"/>
    <x v="0"/>
    <x v="1"/>
    <n v="467.495"/>
    <x v="0"/>
    <n v="1"/>
    <s v="Very Poor"/>
  </r>
  <r>
    <s v="57097d67-3a3e-4901-9f1c-b08303a81415"/>
    <x v="11"/>
    <x v="0"/>
    <x v="35"/>
    <x v="4"/>
    <x v="5"/>
    <s v="2025-02-02"/>
    <x v="5"/>
    <x v="8"/>
    <x v="1"/>
    <n v="988.77"/>
    <s v="20% off"/>
    <n v="197.75400000000002"/>
    <x v="0"/>
    <x v="1"/>
    <n v="791.01599999999996"/>
    <x v="2"/>
    <n v="4"/>
    <s v="Good"/>
  </r>
  <r>
    <s v="06d7733c-cb49-40bb-825e-41269baee0f1"/>
    <x v="23"/>
    <x v="0"/>
    <x v="36"/>
    <x v="5"/>
    <x v="9"/>
    <s v="2024-10-05"/>
    <x v="2"/>
    <x v="5"/>
    <x v="0"/>
    <n v="452.97"/>
    <s v="5% off"/>
    <n v="22.648500000000002"/>
    <x v="0"/>
    <x v="0"/>
    <n v="430.32150000000001"/>
    <x v="2"/>
    <n v="2"/>
    <s v="Poor"/>
  </r>
  <r>
    <s v="718b3460-8ddb-47b2-9b67-7e609dda1237"/>
    <x v="21"/>
    <x v="1"/>
    <x v="37"/>
    <x v="5"/>
    <x v="16"/>
    <s v="2024-07-28"/>
    <x v="5"/>
    <x v="2"/>
    <x v="0"/>
    <n v="592.26"/>
    <s v="10% off"/>
    <n v="59.225999999999999"/>
    <x v="0"/>
    <x v="0"/>
    <n v="533.03399999999999"/>
    <x v="0"/>
    <n v="3"/>
    <s v="Average"/>
  </r>
  <r>
    <s v="ade6096b-9767-4598-ba14-adf02b534743"/>
    <x v="9"/>
    <x v="1"/>
    <x v="38"/>
    <x v="3"/>
    <x v="19"/>
    <s v="2024-11-18"/>
    <x v="6"/>
    <x v="1"/>
    <x v="0"/>
    <n v="165.68"/>
    <s v="5% off"/>
    <n v="8.2840000000000007"/>
    <x v="0"/>
    <x v="0"/>
    <n v="157.39600000000002"/>
    <x v="0"/>
    <n v="4"/>
    <s v="Good"/>
  </r>
  <r>
    <s v="c7c0cd9e-ac9d-43fa-8edb-6df0197f5bd5"/>
    <x v="24"/>
    <x v="1"/>
    <x v="39"/>
    <x v="6"/>
    <x v="13"/>
    <s v="2024-07-26"/>
    <x v="0"/>
    <x v="2"/>
    <x v="0"/>
    <n v="418.55"/>
    <s v="5% off"/>
    <n v="20.927500000000002"/>
    <x v="0"/>
    <x v="1"/>
    <n v="397.6225"/>
    <x v="3"/>
    <n v="1"/>
    <s v="Very Poor"/>
  </r>
  <r>
    <s v="290ac72d-29d7-4b64-9dcb-a530f0c0de7f"/>
    <x v="16"/>
    <x v="1"/>
    <x v="40"/>
    <x v="0"/>
    <x v="0"/>
    <s v="2024-05-05"/>
    <x v="5"/>
    <x v="4"/>
    <x v="0"/>
    <n v="697.86"/>
    <s v="10% off"/>
    <n v="69.786000000000001"/>
    <x v="0"/>
    <x v="1"/>
    <n v="628.07400000000007"/>
    <x v="0"/>
    <n v="5"/>
    <s v="Excellent"/>
  </r>
  <r>
    <s v="c7266b10-3d85-4b77-bfbd-7de84a2a1cda"/>
    <x v="25"/>
    <x v="1"/>
    <x v="41"/>
    <x v="4"/>
    <x v="5"/>
    <s v="2024-09-03"/>
    <x v="1"/>
    <x v="10"/>
    <x v="0"/>
    <n v="988.77"/>
    <s v="20% off"/>
    <n v="197.75400000000002"/>
    <x v="0"/>
    <x v="0"/>
    <n v="791.01599999999996"/>
    <x v="0"/>
    <n v="5"/>
    <s v="Excellent"/>
  </r>
  <r>
    <s v="cad81686-9699-4c12-b7ed-651dd2aa0027"/>
    <x v="15"/>
    <x v="0"/>
    <x v="42"/>
    <x v="6"/>
    <x v="21"/>
    <s v="2024-07-20"/>
    <x v="2"/>
    <x v="2"/>
    <x v="0"/>
    <n v="461.81"/>
    <s v="5% off"/>
    <n v="23.090500000000002"/>
    <x v="0"/>
    <x v="1"/>
    <n v="438.71949999999998"/>
    <x v="3"/>
    <n v="2"/>
    <s v="Poor"/>
  </r>
  <r>
    <s v="9a24fb6e-9d4e-4573-aa63-282d59d615a9"/>
    <x v="26"/>
    <x v="0"/>
    <x v="43"/>
    <x v="4"/>
    <x v="20"/>
    <s v="2025-03-02"/>
    <x v="5"/>
    <x v="6"/>
    <x v="1"/>
    <n v="260.77999999999997"/>
    <s v="5% off"/>
    <n v="13.039"/>
    <x v="0"/>
    <x v="1"/>
    <n v="247.74099999999999"/>
    <x v="3"/>
    <n v="1"/>
    <s v="Very Poor"/>
  </r>
  <r>
    <s v="4a2f76f4-a8a7-4424-a009-2c1d1f2e9c3d"/>
    <x v="27"/>
    <x v="1"/>
    <x v="44"/>
    <x v="0"/>
    <x v="22"/>
    <s v="2024-12-26"/>
    <x v="3"/>
    <x v="7"/>
    <x v="0"/>
    <n v="485.26"/>
    <s v="5% off"/>
    <n v="24.263000000000002"/>
    <x v="0"/>
    <x v="1"/>
    <n v="460.99700000000001"/>
    <x v="0"/>
    <n v="1"/>
    <s v="Very Poor"/>
  </r>
  <r>
    <s v="1fd0a5f5-1449-4267-8590-c65f3366844d"/>
    <x v="10"/>
    <x v="1"/>
    <x v="45"/>
    <x v="2"/>
    <x v="2"/>
    <s v="2024-06-03"/>
    <x v="6"/>
    <x v="11"/>
    <x v="0"/>
    <n v="493.96"/>
    <s v="5% off"/>
    <n v="24.698"/>
    <x v="0"/>
    <x v="1"/>
    <n v="469.262"/>
    <x v="2"/>
    <n v="1"/>
    <s v="Very Poor"/>
  </r>
  <r>
    <s v="2ca8ccd9-c160-4a7f-8a91-d2a7018e3b9e"/>
    <x v="15"/>
    <x v="1"/>
    <x v="46"/>
    <x v="2"/>
    <x v="18"/>
    <s v="2024-04-27"/>
    <x v="2"/>
    <x v="0"/>
    <x v="0"/>
    <n v="492.1"/>
    <s v="5% off"/>
    <n v="24.605000000000004"/>
    <x v="0"/>
    <x v="1"/>
    <n v="467.495"/>
    <x v="3"/>
    <n v="2"/>
    <s v="Poor"/>
  </r>
  <r>
    <s v="8cc288eb-50f3-406e-b50b-0c1b6050af25"/>
    <x v="14"/>
    <x v="0"/>
    <x v="47"/>
    <x v="5"/>
    <x v="16"/>
    <s v="2024-10-31"/>
    <x v="3"/>
    <x v="5"/>
    <x v="0"/>
    <n v="592.26"/>
    <s v="10% off"/>
    <n v="59.225999999999999"/>
    <x v="0"/>
    <x v="0"/>
    <n v="533.03399999999999"/>
    <x v="0"/>
    <n v="1"/>
    <s v="Very Poor"/>
  </r>
  <r>
    <s v="bd0af87c-172c-4c60-8cf7-f22289ffcf78"/>
    <x v="28"/>
    <x v="0"/>
    <x v="48"/>
    <x v="5"/>
    <x v="9"/>
    <s v="2024-05-13"/>
    <x v="6"/>
    <x v="4"/>
    <x v="0"/>
    <n v="452.97"/>
    <s v="5% off"/>
    <n v="22.648500000000002"/>
    <x v="0"/>
    <x v="1"/>
    <n v="430.32150000000001"/>
    <x v="1"/>
    <n v="5"/>
    <s v="Excellent"/>
  </r>
  <r>
    <s v="d649722a-6e46-4ca9-9df1-d0450774cec4"/>
    <x v="29"/>
    <x v="0"/>
    <x v="49"/>
    <x v="4"/>
    <x v="5"/>
    <s v="2024-12-05"/>
    <x v="3"/>
    <x v="7"/>
    <x v="0"/>
    <n v="988.77"/>
    <s v="20% off"/>
    <n v="197.75400000000002"/>
    <x v="0"/>
    <x v="1"/>
    <n v="791.01599999999996"/>
    <x v="1"/>
    <n v="4"/>
    <s v="Good"/>
  </r>
  <r>
    <s v="42c669e1-9263-4ce0-9452-58e4fbb8a0b0"/>
    <x v="30"/>
    <x v="1"/>
    <x v="50"/>
    <x v="1"/>
    <x v="1"/>
    <s v="2024-09-21"/>
    <x v="2"/>
    <x v="10"/>
    <x v="0"/>
    <n v="67.040000000000006"/>
    <s v="0% off"/>
    <n v="0"/>
    <x v="1"/>
    <x v="0"/>
    <n v="67.040000000000006"/>
    <x v="2"/>
    <n v="2"/>
    <s v="Poor"/>
  </r>
  <r>
    <s v="f0f50f5f-68c5-4f5b-b524-2ea3125c899f"/>
    <x v="16"/>
    <x v="1"/>
    <x v="51"/>
    <x v="2"/>
    <x v="2"/>
    <s v="2024-06-24"/>
    <x v="6"/>
    <x v="11"/>
    <x v="0"/>
    <n v="493.96"/>
    <s v="5% off"/>
    <n v="24.698"/>
    <x v="0"/>
    <x v="1"/>
    <n v="469.262"/>
    <x v="1"/>
    <n v="5"/>
    <s v="Excellent"/>
  </r>
  <r>
    <s v="f636b2d7-53be-4fb5-9bd7-c6ad48fcd953"/>
    <x v="28"/>
    <x v="1"/>
    <x v="52"/>
    <x v="6"/>
    <x v="21"/>
    <s v="2024-04-07"/>
    <x v="5"/>
    <x v="0"/>
    <x v="0"/>
    <n v="461.81"/>
    <s v="5% off"/>
    <n v="23.090500000000002"/>
    <x v="0"/>
    <x v="1"/>
    <n v="438.71949999999998"/>
    <x v="2"/>
    <n v="2"/>
    <s v="Poor"/>
  </r>
  <r>
    <s v="d54b3c02-29d9-493a-8ffb-82316962702b"/>
    <x v="7"/>
    <x v="1"/>
    <x v="53"/>
    <x v="6"/>
    <x v="10"/>
    <s v="2024-10-15"/>
    <x v="1"/>
    <x v="5"/>
    <x v="0"/>
    <n v="782.29"/>
    <s v="15% off"/>
    <n v="117.34349999999999"/>
    <x v="0"/>
    <x v="1"/>
    <n v="664.94650000000001"/>
    <x v="2"/>
    <n v="5"/>
    <s v="Excellent"/>
  </r>
  <r>
    <s v="34875ad5-a5e5-4fa8-8329-c3192bdfcd9f"/>
    <x v="31"/>
    <x v="0"/>
    <x v="33"/>
    <x v="1"/>
    <x v="23"/>
    <s v="2024-11-29"/>
    <x v="0"/>
    <x v="1"/>
    <x v="0"/>
    <n v="362.55"/>
    <s v="5% off"/>
    <n v="18.127500000000001"/>
    <x v="0"/>
    <x v="0"/>
    <n v="344.42250000000001"/>
    <x v="0"/>
    <n v="2"/>
    <s v="Poor"/>
  </r>
  <r>
    <s v="c23de11c-5df4-4473-a611-56e6e5c9d0e0"/>
    <x v="31"/>
    <x v="1"/>
    <x v="54"/>
    <x v="5"/>
    <x v="9"/>
    <s v="2024-10-22"/>
    <x v="1"/>
    <x v="5"/>
    <x v="0"/>
    <n v="452.97"/>
    <s v="5% off"/>
    <n v="22.648500000000002"/>
    <x v="0"/>
    <x v="0"/>
    <n v="430.32150000000001"/>
    <x v="1"/>
    <n v="5"/>
    <s v="Excellent"/>
  </r>
  <r>
    <s v="b93d7ae1-7080-42d5-a3db-f38e30217feb"/>
    <x v="32"/>
    <x v="1"/>
    <x v="55"/>
    <x v="0"/>
    <x v="22"/>
    <s v="2025-01-27"/>
    <x v="6"/>
    <x v="9"/>
    <x v="1"/>
    <n v="485.26"/>
    <s v="5% off"/>
    <n v="24.263000000000002"/>
    <x v="0"/>
    <x v="1"/>
    <n v="460.99700000000001"/>
    <x v="2"/>
    <n v="2"/>
    <s v="Poor"/>
  </r>
  <r>
    <s v="adb0ae0e-1adc-4415-b97d-9f9a1494f006"/>
    <x v="33"/>
    <x v="0"/>
    <x v="56"/>
    <x v="2"/>
    <x v="24"/>
    <s v="2024-04-05"/>
    <x v="0"/>
    <x v="0"/>
    <x v="0"/>
    <n v="52.44"/>
    <s v="0% off"/>
    <n v="0"/>
    <x v="1"/>
    <x v="0"/>
    <n v="52.44"/>
    <x v="2"/>
    <n v="2"/>
    <s v="Poor"/>
  </r>
  <r>
    <s v="e787a34a-ca2a-451a-bb5f-ae10f6ffb63b"/>
    <x v="7"/>
    <x v="1"/>
    <x v="57"/>
    <x v="0"/>
    <x v="0"/>
    <s v="2024-11-05"/>
    <x v="1"/>
    <x v="1"/>
    <x v="0"/>
    <n v="697.86"/>
    <s v="10% off"/>
    <n v="69.786000000000001"/>
    <x v="0"/>
    <x v="1"/>
    <n v="628.07400000000007"/>
    <x v="1"/>
    <n v="2"/>
    <s v="Poor"/>
  </r>
  <r>
    <s v="5cb83918-bec9-478d-8c72-27e6e262474c"/>
    <x v="33"/>
    <x v="1"/>
    <x v="58"/>
    <x v="4"/>
    <x v="5"/>
    <s v="2024-12-25"/>
    <x v="4"/>
    <x v="7"/>
    <x v="0"/>
    <n v="988.77"/>
    <s v="20% off"/>
    <n v="197.75400000000002"/>
    <x v="0"/>
    <x v="1"/>
    <n v="791.01599999999996"/>
    <x v="0"/>
    <n v="1"/>
    <s v="Very Poor"/>
  </r>
  <r>
    <s v="4b4e1e48-9d91-4530-835b-c34ddc7aa0f3"/>
    <x v="19"/>
    <x v="1"/>
    <x v="59"/>
    <x v="1"/>
    <x v="1"/>
    <s v="2024-12-22"/>
    <x v="5"/>
    <x v="7"/>
    <x v="0"/>
    <n v="67.040000000000006"/>
    <s v="0% off"/>
    <n v="0"/>
    <x v="1"/>
    <x v="1"/>
    <n v="67.040000000000006"/>
    <x v="1"/>
    <n v="2"/>
    <s v="Poor"/>
  </r>
  <r>
    <s v="56f235bb-d7f2-4363-b677-269e0fe44580"/>
    <x v="0"/>
    <x v="1"/>
    <x v="60"/>
    <x v="4"/>
    <x v="4"/>
    <s v="2024-10-26"/>
    <x v="2"/>
    <x v="5"/>
    <x v="0"/>
    <n v="512.94000000000005"/>
    <s v="10% off"/>
    <n v="51.294000000000011"/>
    <x v="0"/>
    <x v="0"/>
    <n v="461.64600000000007"/>
    <x v="1"/>
    <n v="4"/>
    <s v="Good"/>
  </r>
  <r>
    <s v="fc941fbc-db51-431a-9475-65395da6ba7c"/>
    <x v="14"/>
    <x v="0"/>
    <x v="61"/>
    <x v="4"/>
    <x v="4"/>
    <s v="2024-08-02"/>
    <x v="0"/>
    <x v="3"/>
    <x v="0"/>
    <n v="512.94000000000005"/>
    <s v="10% off"/>
    <n v="51.294000000000011"/>
    <x v="0"/>
    <x v="1"/>
    <n v="461.64600000000007"/>
    <x v="0"/>
    <n v="1"/>
    <s v="Very Poor"/>
  </r>
  <r>
    <s v="af9ad884-9633-4cb0-b220-46ba6a0076d5"/>
    <x v="22"/>
    <x v="1"/>
    <x v="42"/>
    <x v="3"/>
    <x v="19"/>
    <s v="2024-06-08"/>
    <x v="2"/>
    <x v="11"/>
    <x v="0"/>
    <n v="165.68"/>
    <s v="5% off"/>
    <n v="8.2840000000000007"/>
    <x v="0"/>
    <x v="0"/>
    <n v="157.39600000000002"/>
    <x v="0"/>
    <n v="1"/>
    <s v="Very Poor"/>
  </r>
  <r>
    <s v="f2375f1f-d64d-4e95-9e0d-f65a59451412"/>
    <x v="9"/>
    <x v="1"/>
    <x v="62"/>
    <x v="0"/>
    <x v="7"/>
    <s v="2024-10-19"/>
    <x v="2"/>
    <x v="5"/>
    <x v="0"/>
    <n v="78.349999999999994"/>
    <s v="0% off"/>
    <n v="0"/>
    <x v="1"/>
    <x v="0"/>
    <n v="78.349999999999994"/>
    <x v="1"/>
    <n v="3"/>
    <s v="Average"/>
  </r>
  <r>
    <s v="3752ac82-e1b6-421c-b976-9a2d160a4f7e"/>
    <x v="17"/>
    <x v="1"/>
    <x v="63"/>
    <x v="3"/>
    <x v="19"/>
    <s v="2024-05-30"/>
    <x v="3"/>
    <x v="4"/>
    <x v="0"/>
    <n v="165.68"/>
    <s v="5% off"/>
    <n v="8.2840000000000007"/>
    <x v="0"/>
    <x v="0"/>
    <n v="157.39600000000002"/>
    <x v="2"/>
    <n v="1"/>
    <s v="Very Poor"/>
  </r>
  <r>
    <s v="c2894311-6cb4-4f3d-94ba-db33ccf721b3"/>
    <x v="34"/>
    <x v="1"/>
    <x v="64"/>
    <x v="5"/>
    <x v="6"/>
    <s v="2024-10-15"/>
    <x v="1"/>
    <x v="5"/>
    <x v="0"/>
    <n v="76.81"/>
    <s v="0% off"/>
    <n v="0"/>
    <x v="1"/>
    <x v="1"/>
    <n v="76.81"/>
    <x v="1"/>
    <n v="4"/>
    <s v="Good"/>
  </r>
  <r>
    <s v="baf66752-fd8b-432c-abb5-401950123fe0"/>
    <x v="25"/>
    <x v="1"/>
    <x v="65"/>
    <x v="1"/>
    <x v="25"/>
    <s v="2024-12-14"/>
    <x v="2"/>
    <x v="7"/>
    <x v="0"/>
    <n v="527.16999999999996"/>
    <s v="10% off"/>
    <n v="52.716999999999999"/>
    <x v="0"/>
    <x v="1"/>
    <n v="474.45299999999997"/>
    <x v="3"/>
    <n v="5"/>
    <s v="Excellent"/>
  </r>
  <r>
    <s v="4252fb38-627b-4cc1-adff-9e0c7eb946e3"/>
    <x v="2"/>
    <x v="0"/>
    <x v="66"/>
    <x v="5"/>
    <x v="9"/>
    <s v="2024-06-29"/>
    <x v="2"/>
    <x v="11"/>
    <x v="0"/>
    <n v="452.97"/>
    <s v="5% off"/>
    <n v="22.648500000000002"/>
    <x v="0"/>
    <x v="1"/>
    <n v="430.32150000000001"/>
    <x v="3"/>
    <n v="1"/>
    <s v="Very Poor"/>
  </r>
  <r>
    <s v="56db86ed-e9c5-4230-818a-9bdcd1dd269f"/>
    <x v="11"/>
    <x v="0"/>
    <x v="67"/>
    <x v="2"/>
    <x v="24"/>
    <s v="2024-04-29"/>
    <x v="6"/>
    <x v="0"/>
    <x v="0"/>
    <n v="52.44"/>
    <s v="0% off"/>
    <n v="0"/>
    <x v="1"/>
    <x v="1"/>
    <n v="52.44"/>
    <x v="0"/>
    <n v="1"/>
    <s v="Very Poor"/>
  </r>
  <r>
    <s v="8866eb8e-d60a-4c6a-ad18-9dba76dc6e6a"/>
    <x v="32"/>
    <x v="0"/>
    <x v="68"/>
    <x v="6"/>
    <x v="14"/>
    <s v="2024-05-23"/>
    <x v="3"/>
    <x v="4"/>
    <x v="0"/>
    <n v="965.09"/>
    <s v="20% off"/>
    <n v="193.01800000000003"/>
    <x v="0"/>
    <x v="1"/>
    <n v="772.072"/>
    <x v="2"/>
    <n v="1"/>
    <s v="Very Poor"/>
  </r>
  <r>
    <s v="e39c866e-7480-4a9b-be75-ee116571689d"/>
    <x v="14"/>
    <x v="0"/>
    <x v="69"/>
    <x v="6"/>
    <x v="21"/>
    <s v="2025-02-27"/>
    <x v="3"/>
    <x v="8"/>
    <x v="1"/>
    <n v="461.81"/>
    <s v="5% off"/>
    <n v="23.090500000000002"/>
    <x v="0"/>
    <x v="1"/>
    <n v="438.71949999999998"/>
    <x v="1"/>
    <n v="4"/>
    <s v="Good"/>
  </r>
  <r>
    <s v="24a9f98c-7cc7-47ce-9c3f-b79254990e1d"/>
    <x v="28"/>
    <x v="0"/>
    <x v="70"/>
    <x v="6"/>
    <x v="10"/>
    <s v="2025-02-12"/>
    <x v="4"/>
    <x v="8"/>
    <x v="1"/>
    <n v="782.29"/>
    <s v="15% off"/>
    <n v="117.34349999999999"/>
    <x v="0"/>
    <x v="1"/>
    <n v="664.94650000000001"/>
    <x v="0"/>
    <n v="3"/>
    <s v="Average"/>
  </r>
  <r>
    <s v="ea171c5f-0029-4fa3-a8e1-d810e0b18823"/>
    <x v="31"/>
    <x v="0"/>
    <x v="71"/>
    <x v="6"/>
    <x v="21"/>
    <s v="2024-05-12"/>
    <x v="5"/>
    <x v="4"/>
    <x v="0"/>
    <n v="461.81"/>
    <s v="5% off"/>
    <n v="23.090500000000002"/>
    <x v="0"/>
    <x v="1"/>
    <n v="438.71949999999998"/>
    <x v="1"/>
    <n v="1"/>
    <s v="Very Poor"/>
  </r>
  <r>
    <s v="48bf0a11-719e-4257-ab36-40f63786ad53"/>
    <x v="35"/>
    <x v="0"/>
    <x v="72"/>
    <x v="2"/>
    <x v="2"/>
    <s v="2024-08-17"/>
    <x v="2"/>
    <x v="3"/>
    <x v="0"/>
    <n v="493.96"/>
    <s v="5% off"/>
    <n v="24.698"/>
    <x v="0"/>
    <x v="1"/>
    <n v="469.262"/>
    <x v="2"/>
    <n v="1"/>
    <s v="Very Poor"/>
  </r>
  <r>
    <s v="7b57d516-6ad5-4362-bdc5-f531bec0fe7b"/>
    <x v="6"/>
    <x v="1"/>
    <x v="73"/>
    <x v="5"/>
    <x v="16"/>
    <s v="2024-03-28"/>
    <x v="3"/>
    <x v="6"/>
    <x v="0"/>
    <n v="592.26"/>
    <s v="10% off"/>
    <n v="59.225999999999999"/>
    <x v="0"/>
    <x v="1"/>
    <n v="533.03399999999999"/>
    <x v="0"/>
    <n v="3"/>
    <s v="Average"/>
  </r>
  <r>
    <s v="7bd59a4a-1976-411f-8b37-4ef5768d4eaa"/>
    <x v="36"/>
    <x v="0"/>
    <x v="74"/>
    <x v="4"/>
    <x v="17"/>
    <s v="2024-11-04"/>
    <x v="6"/>
    <x v="1"/>
    <x v="0"/>
    <n v="315.56"/>
    <s v="5% off"/>
    <n v="15.778"/>
    <x v="0"/>
    <x v="0"/>
    <n v="299.78199999999998"/>
    <x v="0"/>
    <n v="3"/>
    <s v="Average"/>
  </r>
  <r>
    <s v="2eab9751-5871-4da1-abf5-5a497a944d95"/>
    <x v="32"/>
    <x v="1"/>
    <x v="75"/>
    <x v="3"/>
    <x v="19"/>
    <s v="2024-08-21"/>
    <x v="4"/>
    <x v="3"/>
    <x v="0"/>
    <n v="165.68"/>
    <s v="5% off"/>
    <n v="8.2840000000000007"/>
    <x v="0"/>
    <x v="0"/>
    <n v="157.39600000000002"/>
    <x v="0"/>
    <n v="4"/>
    <s v="Good"/>
  </r>
  <r>
    <s v="16aa0f6f-abfd-4d4d-8812-11f43e62f782"/>
    <x v="37"/>
    <x v="1"/>
    <x v="76"/>
    <x v="1"/>
    <x v="26"/>
    <s v="2024-06-13"/>
    <x v="3"/>
    <x v="11"/>
    <x v="0"/>
    <n v="775.75"/>
    <s v="15% off"/>
    <n v="116.3625"/>
    <x v="0"/>
    <x v="1"/>
    <n v="659.38750000000005"/>
    <x v="1"/>
    <n v="1"/>
    <s v="Very Poor"/>
  </r>
  <r>
    <s v="7a1ed397-7d49-4db0-9106-2eb500b89242"/>
    <x v="38"/>
    <x v="0"/>
    <x v="77"/>
    <x v="1"/>
    <x v="23"/>
    <s v="2024-08-03"/>
    <x v="2"/>
    <x v="3"/>
    <x v="0"/>
    <n v="362.55"/>
    <s v="5% off"/>
    <n v="18.127500000000001"/>
    <x v="0"/>
    <x v="1"/>
    <n v="344.42250000000001"/>
    <x v="0"/>
    <n v="3"/>
    <s v="Average"/>
  </r>
  <r>
    <s v="07902b96-e26e-4f9c-b1b6-b27ed76dae8a"/>
    <x v="23"/>
    <x v="0"/>
    <x v="78"/>
    <x v="1"/>
    <x v="25"/>
    <s v="2024-08-03"/>
    <x v="2"/>
    <x v="3"/>
    <x v="0"/>
    <n v="527.16999999999996"/>
    <s v="10% off"/>
    <n v="52.716999999999999"/>
    <x v="0"/>
    <x v="0"/>
    <n v="474.45299999999997"/>
    <x v="3"/>
    <n v="3"/>
    <s v="Average"/>
  </r>
  <r>
    <s v="a5835a87-ba26-417e-b642-de2dbd40516e"/>
    <x v="34"/>
    <x v="1"/>
    <x v="79"/>
    <x v="0"/>
    <x v="11"/>
    <s v="2025-02-03"/>
    <x v="6"/>
    <x v="8"/>
    <x v="1"/>
    <n v="116.78"/>
    <s v="0% off"/>
    <n v="0"/>
    <x v="1"/>
    <x v="0"/>
    <n v="116.78"/>
    <x v="1"/>
    <n v="4"/>
    <s v="Good"/>
  </r>
  <r>
    <s v="6e68b2e1-5072-4e7e-a825-957fe4728653"/>
    <x v="39"/>
    <x v="0"/>
    <x v="80"/>
    <x v="1"/>
    <x v="23"/>
    <s v="2024-11-12"/>
    <x v="1"/>
    <x v="1"/>
    <x v="0"/>
    <n v="362.55"/>
    <s v="5% off"/>
    <n v="18.127500000000001"/>
    <x v="0"/>
    <x v="1"/>
    <n v="344.42250000000001"/>
    <x v="1"/>
    <n v="2"/>
    <s v="Poor"/>
  </r>
  <r>
    <s v="30dbb79d-e9c2-44e3-bf1b-81deda78998c"/>
    <x v="8"/>
    <x v="1"/>
    <x v="81"/>
    <x v="0"/>
    <x v="7"/>
    <s v="2024-08-08"/>
    <x v="3"/>
    <x v="3"/>
    <x v="0"/>
    <n v="78.349999999999994"/>
    <s v="0% off"/>
    <n v="0"/>
    <x v="1"/>
    <x v="1"/>
    <n v="78.349999999999994"/>
    <x v="3"/>
    <n v="2"/>
    <s v="Poor"/>
  </r>
  <r>
    <s v="1df22d35-e982-4d0d-a7ed-d1745e034471"/>
    <x v="17"/>
    <x v="0"/>
    <x v="82"/>
    <x v="2"/>
    <x v="18"/>
    <s v="2024-12-27"/>
    <x v="0"/>
    <x v="7"/>
    <x v="0"/>
    <n v="492.1"/>
    <s v="5% off"/>
    <n v="24.605000000000004"/>
    <x v="0"/>
    <x v="0"/>
    <n v="467.495"/>
    <x v="2"/>
    <n v="2"/>
    <s v="Poor"/>
  </r>
  <r>
    <s v="770da663-bdf5-4f2d-b924-ea3a5fa0da71"/>
    <x v="1"/>
    <x v="1"/>
    <x v="83"/>
    <x v="3"/>
    <x v="3"/>
    <s v="2025-02-03"/>
    <x v="6"/>
    <x v="8"/>
    <x v="1"/>
    <n v="211.46"/>
    <s v="5% off"/>
    <n v="10.573"/>
    <x v="0"/>
    <x v="0"/>
    <n v="200.887"/>
    <x v="1"/>
    <n v="2"/>
    <s v="Poor"/>
  </r>
  <r>
    <s v="db667548-8324-4425-bf14-f8b96c219b7a"/>
    <x v="31"/>
    <x v="0"/>
    <x v="84"/>
    <x v="5"/>
    <x v="6"/>
    <s v="2025-03-06"/>
    <x v="3"/>
    <x v="6"/>
    <x v="1"/>
    <n v="76.81"/>
    <s v="0% off"/>
    <n v="0"/>
    <x v="1"/>
    <x v="1"/>
    <n v="76.81"/>
    <x v="0"/>
    <n v="5"/>
    <s v="Excellent"/>
  </r>
  <r>
    <s v="6f03ac2f-a0cb-4e8c-9f7d-0f6c7b3113c5"/>
    <x v="37"/>
    <x v="1"/>
    <x v="85"/>
    <x v="1"/>
    <x v="1"/>
    <s v="2025-01-07"/>
    <x v="1"/>
    <x v="9"/>
    <x v="1"/>
    <n v="67.040000000000006"/>
    <s v="0% off"/>
    <n v="0"/>
    <x v="1"/>
    <x v="0"/>
    <n v="67.040000000000006"/>
    <x v="3"/>
    <n v="1"/>
    <s v="Very Poor"/>
  </r>
  <r>
    <s v="067f1e0d-f4bc-4d95-996d-2dfae6fbe72a"/>
    <x v="40"/>
    <x v="0"/>
    <x v="86"/>
    <x v="1"/>
    <x v="1"/>
    <s v="2025-02-24"/>
    <x v="6"/>
    <x v="8"/>
    <x v="1"/>
    <n v="67.040000000000006"/>
    <s v="0% off"/>
    <n v="0"/>
    <x v="1"/>
    <x v="0"/>
    <n v="67.040000000000006"/>
    <x v="1"/>
    <n v="4"/>
    <s v="Good"/>
  </r>
  <r>
    <s v="46c8717d-59ba-406b-916e-320e2d0f174c"/>
    <x v="24"/>
    <x v="1"/>
    <x v="87"/>
    <x v="1"/>
    <x v="25"/>
    <s v="2024-09-06"/>
    <x v="0"/>
    <x v="10"/>
    <x v="0"/>
    <n v="527.16999999999996"/>
    <s v="10% off"/>
    <n v="52.716999999999999"/>
    <x v="0"/>
    <x v="0"/>
    <n v="474.45299999999997"/>
    <x v="3"/>
    <n v="5"/>
    <s v="Excellent"/>
  </r>
  <r>
    <s v="5d86f3f1-4127-44f7-bf3d-9a7b5ffbd7ee"/>
    <x v="40"/>
    <x v="1"/>
    <x v="88"/>
    <x v="2"/>
    <x v="2"/>
    <s v="2024-10-10"/>
    <x v="3"/>
    <x v="5"/>
    <x v="0"/>
    <n v="493.96"/>
    <s v="5% off"/>
    <n v="24.698"/>
    <x v="0"/>
    <x v="1"/>
    <n v="469.262"/>
    <x v="3"/>
    <n v="4"/>
    <s v="Good"/>
  </r>
  <r>
    <s v="7f04513c-449a-41a6-868e-7281463bc1d2"/>
    <x v="11"/>
    <x v="1"/>
    <x v="89"/>
    <x v="2"/>
    <x v="24"/>
    <s v="2025-03-02"/>
    <x v="5"/>
    <x v="6"/>
    <x v="1"/>
    <n v="52.44"/>
    <s v="0% off"/>
    <n v="0"/>
    <x v="1"/>
    <x v="1"/>
    <n v="52.44"/>
    <x v="0"/>
    <n v="1"/>
    <s v="Very Poor"/>
  </r>
  <r>
    <s v="3dd80a37-c0b1-4166-a577-a6f6fa5c1f91"/>
    <x v="21"/>
    <x v="0"/>
    <x v="90"/>
    <x v="4"/>
    <x v="4"/>
    <s v="2024-07-12"/>
    <x v="0"/>
    <x v="2"/>
    <x v="0"/>
    <n v="512.94000000000005"/>
    <s v="10% off"/>
    <n v="51.294000000000011"/>
    <x v="0"/>
    <x v="0"/>
    <n v="461.64600000000007"/>
    <x v="2"/>
    <n v="3"/>
    <s v="Average"/>
  </r>
  <r>
    <s v="94be25b7-4a04-4461-9228-77ef4cf4989d"/>
    <x v="15"/>
    <x v="0"/>
    <x v="91"/>
    <x v="1"/>
    <x v="25"/>
    <s v="2024-12-11"/>
    <x v="4"/>
    <x v="7"/>
    <x v="0"/>
    <n v="527.16999999999996"/>
    <s v="10% off"/>
    <n v="52.716999999999999"/>
    <x v="0"/>
    <x v="1"/>
    <n v="474.45299999999997"/>
    <x v="2"/>
    <n v="3"/>
    <s v="Average"/>
  </r>
  <r>
    <s v="5fa05c17-cdc1-4fee-8db5-342454342d2e"/>
    <x v="1"/>
    <x v="1"/>
    <x v="92"/>
    <x v="1"/>
    <x v="23"/>
    <s v="2024-04-03"/>
    <x v="4"/>
    <x v="0"/>
    <x v="0"/>
    <n v="362.55"/>
    <s v="5% off"/>
    <n v="18.127500000000001"/>
    <x v="0"/>
    <x v="0"/>
    <n v="344.42250000000001"/>
    <x v="3"/>
    <n v="2"/>
    <s v="Poor"/>
  </r>
  <r>
    <s v="b910e054-e2f4-4e42-8734-1f4a09bdb808"/>
    <x v="2"/>
    <x v="1"/>
    <x v="93"/>
    <x v="3"/>
    <x v="19"/>
    <s v="2024-04-22"/>
    <x v="6"/>
    <x v="0"/>
    <x v="0"/>
    <n v="165.68"/>
    <s v="5% off"/>
    <n v="8.2840000000000007"/>
    <x v="0"/>
    <x v="1"/>
    <n v="157.39600000000002"/>
    <x v="2"/>
    <n v="2"/>
    <s v="Poor"/>
  </r>
  <r>
    <s v="bf49f830-3c05-4e53-bb8d-7d0a370c7962"/>
    <x v="27"/>
    <x v="0"/>
    <x v="56"/>
    <x v="6"/>
    <x v="21"/>
    <s v="2024-11-08"/>
    <x v="0"/>
    <x v="1"/>
    <x v="0"/>
    <n v="461.81"/>
    <s v="5% off"/>
    <n v="23.090500000000002"/>
    <x v="0"/>
    <x v="0"/>
    <n v="438.71949999999998"/>
    <x v="3"/>
    <n v="5"/>
    <s v="Excellent"/>
  </r>
  <r>
    <s v="65c8742e-6832-42b5-b88c-27ea20da9ee3"/>
    <x v="41"/>
    <x v="1"/>
    <x v="94"/>
    <x v="6"/>
    <x v="14"/>
    <s v="2025-02-08"/>
    <x v="2"/>
    <x v="8"/>
    <x v="1"/>
    <n v="965.09"/>
    <s v="20% off"/>
    <n v="193.01800000000003"/>
    <x v="0"/>
    <x v="1"/>
    <n v="772.072"/>
    <x v="2"/>
    <n v="5"/>
    <s v="Excellent"/>
  </r>
  <r>
    <s v="27b9b936-79c0-4a63-aa8f-382e15b1cf0f"/>
    <x v="14"/>
    <x v="0"/>
    <x v="89"/>
    <x v="0"/>
    <x v="7"/>
    <s v="2024-04-30"/>
    <x v="1"/>
    <x v="0"/>
    <x v="0"/>
    <n v="78.349999999999994"/>
    <s v="0% off"/>
    <n v="0"/>
    <x v="1"/>
    <x v="1"/>
    <n v="78.349999999999994"/>
    <x v="1"/>
    <n v="5"/>
    <s v="Excellent"/>
  </r>
  <r>
    <s v="f3c41dbc-5426-41a1-85a7-17ca33edc575"/>
    <x v="42"/>
    <x v="1"/>
    <x v="95"/>
    <x v="5"/>
    <x v="8"/>
    <s v="2024-04-02"/>
    <x v="1"/>
    <x v="0"/>
    <x v="0"/>
    <n v="374.92"/>
    <s v="5% off"/>
    <n v="18.746000000000002"/>
    <x v="0"/>
    <x v="0"/>
    <n v="356.17400000000004"/>
    <x v="0"/>
    <n v="1"/>
    <s v="Very Poor"/>
  </r>
  <r>
    <s v="54c9dbee-4c4b-48a2-8d71-e98ba45f1dcd"/>
    <x v="43"/>
    <x v="1"/>
    <x v="96"/>
    <x v="4"/>
    <x v="17"/>
    <s v="2024-07-21"/>
    <x v="5"/>
    <x v="2"/>
    <x v="0"/>
    <n v="315.56"/>
    <s v="5% off"/>
    <n v="15.778"/>
    <x v="0"/>
    <x v="0"/>
    <n v="299.78199999999998"/>
    <x v="0"/>
    <n v="4"/>
    <s v="Good"/>
  </r>
  <r>
    <s v="87a7b742-dd21-42b5-a1e9-921ca56056d2"/>
    <x v="32"/>
    <x v="0"/>
    <x v="58"/>
    <x v="2"/>
    <x v="2"/>
    <s v="2024-06-25"/>
    <x v="1"/>
    <x v="11"/>
    <x v="0"/>
    <n v="493.96"/>
    <s v="5% off"/>
    <n v="24.698"/>
    <x v="0"/>
    <x v="0"/>
    <n v="469.262"/>
    <x v="2"/>
    <n v="5"/>
    <s v="Excellent"/>
  </r>
  <r>
    <s v="097f8a83-6664-4675-aa22-05c43ffd0ed7"/>
    <x v="25"/>
    <x v="1"/>
    <x v="90"/>
    <x v="5"/>
    <x v="16"/>
    <s v="2025-03-14"/>
    <x v="0"/>
    <x v="6"/>
    <x v="1"/>
    <n v="592.26"/>
    <s v="10% off"/>
    <n v="59.225999999999999"/>
    <x v="0"/>
    <x v="0"/>
    <n v="533.03399999999999"/>
    <x v="2"/>
    <n v="1"/>
    <s v="Very Poor"/>
  </r>
  <r>
    <s v="e911ea98-94a1-45a6-b5d6-3e93e46728a9"/>
    <x v="12"/>
    <x v="1"/>
    <x v="91"/>
    <x v="3"/>
    <x v="15"/>
    <s v="2024-05-04"/>
    <x v="2"/>
    <x v="4"/>
    <x v="0"/>
    <n v="855.21"/>
    <s v="15% off"/>
    <n v="128.28149999999999"/>
    <x v="0"/>
    <x v="0"/>
    <n v="726.92849999999999"/>
    <x v="3"/>
    <n v="2"/>
    <s v="Poor"/>
  </r>
  <r>
    <s v="f2a9e17b-3560-4fbf-bc0d-1881ab47918e"/>
    <x v="24"/>
    <x v="1"/>
    <x v="97"/>
    <x v="6"/>
    <x v="10"/>
    <s v="2024-10-18"/>
    <x v="0"/>
    <x v="5"/>
    <x v="0"/>
    <n v="782.29"/>
    <s v="15% off"/>
    <n v="117.34349999999999"/>
    <x v="0"/>
    <x v="1"/>
    <n v="664.94650000000001"/>
    <x v="2"/>
    <n v="3"/>
    <s v="Average"/>
  </r>
  <r>
    <s v="5fa7aac3-81d5-45ab-b9ac-d7e7f6b0f73a"/>
    <x v="44"/>
    <x v="1"/>
    <x v="98"/>
    <x v="2"/>
    <x v="24"/>
    <s v="2025-03-20"/>
    <x v="3"/>
    <x v="6"/>
    <x v="1"/>
    <n v="52.44"/>
    <s v="0% off"/>
    <n v="0"/>
    <x v="1"/>
    <x v="0"/>
    <n v="52.44"/>
    <x v="1"/>
    <n v="3"/>
    <s v="Average"/>
  </r>
  <r>
    <s v="d15eafd3-5160-44c0-b072-ccca3ced7c88"/>
    <x v="37"/>
    <x v="1"/>
    <x v="99"/>
    <x v="1"/>
    <x v="23"/>
    <s v="2024-09-18"/>
    <x v="4"/>
    <x v="10"/>
    <x v="0"/>
    <n v="362.55"/>
    <s v="5% off"/>
    <n v="18.127500000000001"/>
    <x v="0"/>
    <x v="1"/>
    <n v="344.42250000000001"/>
    <x v="1"/>
    <n v="5"/>
    <s v="Excellent"/>
  </r>
  <r>
    <s v="c2d3de44-a0a3-450f-ac88-bef9bbc293fa"/>
    <x v="25"/>
    <x v="0"/>
    <x v="100"/>
    <x v="1"/>
    <x v="25"/>
    <s v="2025-02-27"/>
    <x v="3"/>
    <x v="8"/>
    <x v="1"/>
    <n v="527.16999999999996"/>
    <s v="10% off"/>
    <n v="52.716999999999999"/>
    <x v="0"/>
    <x v="0"/>
    <n v="474.45299999999997"/>
    <x v="2"/>
    <n v="3"/>
    <s v="Average"/>
  </r>
  <r>
    <s v="691cb53e-7f4f-40ae-83bc-b12573a1267f"/>
    <x v="32"/>
    <x v="0"/>
    <x v="101"/>
    <x v="6"/>
    <x v="13"/>
    <s v="2024-10-19"/>
    <x v="2"/>
    <x v="5"/>
    <x v="0"/>
    <n v="418.55"/>
    <s v="5% off"/>
    <n v="20.927500000000002"/>
    <x v="0"/>
    <x v="0"/>
    <n v="397.6225"/>
    <x v="3"/>
    <n v="5"/>
    <s v="Excellent"/>
  </r>
  <r>
    <s v="070da6ad-74bb-4444-bcd0-11ac272b13a4"/>
    <x v="30"/>
    <x v="1"/>
    <x v="102"/>
    <x v="1"/>
    <x v="26"/>
    <s v="2025-02-07"/>
    <x v="0"/>
    <x v="8"/>
    <x v="1"/>
    <n v="775.75"/>
    <s v="15% off"/>
    <n v="116.3625"/>
    <x v="0"/>
    <x v="0"/>
    <n v="659.38750000000005"/>
    <x v="3"/>
    <n v="2"/>
    <s v="Poor"/>
  </r>
  <r>
    <s v="05425190-d4dc-4334-a497-65e97f33ed29"/>
    <x v="44"/>
    <x v="1"/>
    <x v="103"/>
    <x v="1"/>
    <x v="25"/>
    <s v="2024-10-11"/>
    <x v="0"/>
    <x v="5"/>
    <x v="0"/>
    <n v="527.16999999999996"/>
    <s v="10% off"/>
    <n v="52.716999999999999"/>
    <x v="0"/>
    <x v="0"/>
    <n v="474.45299999999997"/>
    <x v="0"/>
    <n v="5"/>
    <s v="Excellent"/>
  </r>
  <r>
    <s v="80ce360d-3cde-4071-af57-ca1b327713d3"/>
    <x v="41"/>
    <x v="0"/>
    <x v="104"/>
    <x v="4"/>
    <x v="17"/>
    <s v="2024-12-28"/>
    <x v="2"/>
    <x v="7"/>
    <x v="0"/>
    <n v="315.56"/>
    <s v="5% off"/>
    <n v="15.778"/>
    <x v="0"/>
    <x v="1"/>
    <n v="299.78199999999998"/>
    <x v="0"/>
    <n v="3"/>
    <s v="Average"/>
  </r>
  <r>
    <s v="0f01c2d6-d283-4c3a-895d-89f86bbf02fe"/>
    <x v="38"/>
    <x v="1"/>
    <x v="105"/>
    <x v="5"/>
    <x v="9"/>
    <s v="2025-01-13"/>
    <x v="6"/>
    <x v="9"/>
    <x v="1"/>
    <n v="452.97"/>
    <s v="5% off"/>
    <n v="22.648500000000002"/>
    <x v="0"/>
    <x v="1"/>
    <n v="430.32150000000001"/>
    <x v="1"/>
    <n v="3"/>
    <s v="Average"/>
  </r>
  <r>
    <s v="8de032e7-b47b-4f8e-8880-29638a26a014"/>
    <x v="16"/>
    <x v="0"/>
    <x v="106"/>
    <x v="1"/>
    <x v="26"/>
    <s v="2025-03-22"/>
    <x v="2"/>
    <x v="6"/>
    <x v="1"/>
    <n v="775.75"/>
    <s v="15% off"/>
    <n v="116.3625"/>
    <x v="0"/>
    <x v="0"/>
    <n v="659.38750000000005"/>
    <x v="2"/>
    <n v="4"/>
    <s v="Good"/>
  </r>
  <r>
    <s v="993b40fd-6292-40c9-8c85-560a8577b06d"/>
    <x v="43"/>
    <x v="0"/>
    <x v="89"/>
    <x v="1"/>
    <x v="25"/>
    <s v="2024-06-01"/>
    <x v="2"/>
    <x v="11"/>
    <x v="0"/>
    <n v="527.16999999999996"/>
    <s v="10% off"/>
    <n v="52.716999999999999"/>
    <x v="0"/>
    <x v="1"/>
    <n v="474.45299999999997"/>
    <x v="2"/>
    <n v="5"/>
    <s v="Excellent"/>
  </r>
  <r>
    <s v="87a840b7-b09e-4dd0-be4b-dc603fffd421"/>
    <x v="42"/>
    <x v="1"/>
    <x v="107"/>
    <x v="2"/>
    <x v="2"/>
    <s v="2024-04-25"/>
    <x v="3"/>
    <x v="0"/>
    <x v="0"/>
    <n v="493.96"/>
    <s v="5% off"/>
    <n v="24.698"/>
    <x v="0"/>
    <x v="1"/>
    <n v="469.262"/>
    <x v="3"/>
    <n v="1"/>
    <s v="Very Poor"/>
  </r>
  <r>
    <s v="bb95927e-d412-41de-8dfc-5f50689f8502"/>
    <x v="22"/>
    <x v="0"/>
    <x v="108"/>
    <x v="5"/>
    <x v="16"/>
    <s v="2024-07-18"/>
    <x v="3"/>
    <x v="2"/>
    <x v="0"/>
    <n v="592.26"/>
    <s v="10% off"/>
    <n v="59.225999999999999"/>
    <x v="0"/>
    <x v="1"/>
    <n v="533.03399999999999"/>
    <x v="1"/>
    <n v="2"/>
    <s v="Poor"/>
  </r>
  <r>
    <s v="d7aefb33-28c8-4d50-a7a3-540ebaae80d8"/>
    <x v="45"/>
    <x v="0"/>
    <x v="109"/>
    <x v="0"/>
    <x v="11"/>
    <s v="2025-02-08"/>
    <x v="2"/>
    <x v="8"/>
    <x v="1"/>
    <n v="116.78"/>
    <s v="0% off"/>
    <n v="0"/>
    <x v="1"/>
    <x v="1"/>
    <n v="116.78"/>
    <x v="0"/>
    <n v="4"/>
    <s v="Good"/>
  </r>
  <r>
    <s v="c2741120-7562-42a6-acbb-85b8b63ea663"/>
    <x v="12"/>
    <x v="0"/>
    <x v="110"/>
    <x v="3"/>
    <x v="3"/>
    <s v="2024-12-26"/>
    <x v="3"/>
    <x v="7"/>
    <x v="0"/>
    <n v="211.46"/>
    <s v="5% off"/>
    <n v="10.573"/>
    <x v="0"/>
    <x v="0"/>
    <n v="200.887"/>
    <x v="0"/>
    <n v="5"/>
    <s v="Excellent"/>
  </r>
  <r>
    <s v="81707df5-e722-430a-94cf-40249900eda2"/>
    <x v="32"/>
    <x v="1"/>
    <x v="111"/>
    <x v="1"/>
    <x v="25"/>
    <s v="2025-01-24"/>
    <x v="0"/>
    <x v="9"/>
    <x v="1"/>
    <n v="527.16999999999996"/>
    <s v="10% off"/>
    <n v="52.716999999999999"/>
    <x v="0"/>
    <x v="0"/>
    <n v="474.45299999999997"/>
    <x v="3"/>
    <n v="4"/>
    <s v="Good"/>
  </r>
  <r>
    <s v="f84f6afe-a157-441d-9bf4-b3ee0f7ccb10"/>
    <x v="15"/>
    <x v="0"/>
    <x v="59"/>
    <x v="6"/>
    <x v="10"/>
    <s v="2025-02-09"/>
    <x v="5"/>
    <x v="8"/>
    <x v="1"/>
    <n v="782.29"/>
    <s v="15% off"/>
    <n v="117.34349999999999"/>
    <x v="0"/>
    <x v="1"/>
    <n v="664.94650000000001"/>
    <x v="2"/>
    <n v="4"/>
    <s v="Good"/>
  </r>
  <r>
    <s v="c25c03f9-983e-4d51-a053-c748351a5e15"/>
    <x v="31"/>
    <x v="1"/>
    <x v="112"/>
    <x v="5"/>
    <x v="8"/>
    <s v="2024-07-14"/>
    <x v="5"/>
    <x v="2"/>
    <x v="0"/>
    <n v="374.92"/>
    <s v="5% off"/>
    <n v="18.746000000000002"/>
    <x v="0"/>
    <x v="0"/>
    <n v="356.17400000000004"/>
    <x v="0"/>
    <n v="3"/>
    <s v="Average"/>
  </r>
  <r>
    <s v="a4ffd645-17ee-46c8-864d-cc655f0588b4"/>
    <x v="46"/>
    <x v="0"/>
    <x v="113"/>
    <x v="2"/>
    <x v="24"/>
    <s v="2024-09-28"/>
    <x v="2"/>
    <x v="10"/>
    <x v="0"/>
    <n v="52.44"/>
    <s v="0% off"/>
    <n v="0"/>
    <x v="1"/>
    <x v="0"/>
    <n v="52.44"/>
    <x v="0"/>
    <n v="1"/>
    <s v="Very Poor"/>
  </r>
  <r>
    <s v="bf47e860-e543-43d3-b262-edfddc353ca4"/>
    <x v="12"/>
    <x v="1"/>
    <x v="114"/>
    <x v="2"/>
    <x v="24"/>
    <s v="2024-09-27"/>
    <x v="0"/>
    <x v="10"/>
    <x v="0"/>
    <n v="52.44"/>
    <s v="0% off"/>
    <n v="0"/>
    <x v="1"/>
    <x v="0"/>
    <n v="52.44"/>
    <x v="1"/>
    <n v="2"/>
    <s v="Poor"/>
  </r>
  <r>
    <s v="1fb7fda9-587d-401b-9561-d16e7d6afd5f"/>
    <x v="3"/>
    <x v="1"/>
    <x v="115"/>
    <x v="3"/>
    <x v="3"/>
    <s v="2024-05-01"/>
    <x v="4"/>
    <x v="4"/>
    <x v="0"/>
    <n v="211.46"/>
    <s v="5% off"/>
    <n v="10.573"/>
    <x v="0"/>
    <x v="0"/>
    <n v="200.887"/>
    <x v="3"/>
    <n v="1"/>
    <s v="Very Poor"/>
  </r>
  <r>
    <s v="083532a9-38e0-4034-83f8-45aa7c625ec1"/>
    <x v="16"/>
    <x v="1"/>
    <x v="116"/>
    <x v="5"/>
    <x v="8"/>
    <s v="2025-03-09"/>
    <x v="5"/>
    <x v="6"/>
    <x v="1"/>
    <n v="374.92"/>
    <s v="5% off"/>
    <n v="18.746000000000002"/>
    <x v="0"/>
    <x v="0"/>
    <n v="356.17400000000004"/>
    <x v="2"/>
    <n v="4"/>
    <s v="Good"/>
  </r>
  <r>
    <s v="ab0cbb21-4e4a-4ad9-8e4a-05e0fd29b1e0"/>
    <x v="0"/>
    <x v="1"/>
    <x v="117"/>
    <x v="2"/>
    <x v="2"/>
    <s v="2024-05-29"/>
    <x v="4"/>
    <x v="4"/>
    <x v="0"/>
    <n v="493.96"/>
    <s v="5% off"/>
    <n v="24.698"/>
    <x v="0"/>
    <x v="0"/>
    <n v="469.262"/>
    <x v="2"/>
    <n v="5"/>
    <s v="Excellent"/>
  </r>
  <r>
    <s v="61bfdc90-a5b8-4a09-94dc-4a0ba7d570ac"/>
    <x v="6"/>
    <x v="0"/>
    <x v="118"/>
    <x v="4"/>
    <x v="5"/>
    <s v="2024-05-04"/>
    <x v="2"/>
    <x v="4"/>
    <x v="0"/>
    <n v="988.77"/>
    <s v="20% off"/>
    <n v="197.75400000000002"/>
    <x v="0"/>
    <x v="0"/>
    <n v="791.01599999999996"/>
    <x v="0"/>
    <n v="3"/>
    <s v="Average"/>
  </r>
  <r>
    <s v="fd8305de-a04e-4651-80bd-13a999db3678"/>
    <x v="31"/>
    <x v="0"/>
    <x v="119"/>
    <x v="3"/>
    <x v="12"/>
    <s v="2025-03-15"/>
    <x v="2"/>
    <x v="6"/>
    <x v="1"/>
    <n v="270.41000000000003"/>
    <s v="5% off"/>
    <n v="13.520500000000002"/>
    <x v="0"/>
    <x v="0"/>
    <n v="256.8895"/>
    <x v="2"/>
    <n v="5"/>
    <s v="Excellent"/>
  </r>
  <r>
    <s v="f90b0126-4599-45d3-bf46-ade6e0c6a8a1"/>
    <x v="8"/>
    <x v="1"/>
    <x v="120"/>
    <x v="2"/>
    <x v="27"/>
    <s v="2024-06-24"/>
    <x v="6"/>
    <x v="11"/>
    <x v="0"/>
    <n v="340.04"/>
    <s v="5% off"/>
    <n v="17.002000000000002"/>
    <x v="0"/>
    <x v="1"/>
    <n v="323.03800000000001"/>
    <x v="3"/>
    <n v="1"/>
    <s v="Very Poor"/>
  </r>
  <r>
    <s v="d065c1d4-8938-4efe-8abf-5031d04b7cf4"/>
    <x v="36"/>
    <x v="0"/>
    <x v="121"/>
    <x v="2"/>
    <x v="18"/>
    <s v="2025-03-23"/>
    <x v="5"/>
    <x v="6"/>
    <x v="1"/>
    <n v="492.1"/>
    <s v="5% off"/>
    <n v="24.605000000000004"/>
    <x v="0"/>
    <x v="0"/>
    <n v="467.495"/>
    <x v="1"/>
    <n v="4"/>
    <s v="Good"/>
  </r>
  <r>
    <s v="05aa8e02-8f04-4d2b-b01b-6759ddcd3881"/>
    <x v="25"/>
    <x v="1"/>
    <x v="122"/>
    <x v="5"/>
    <x v="8"/>
    <s v="2024-08-28"/>
    <x v="4"/>
    <x v="3"/>
    <x v="0"/>
    <n v="374.92"/>
    <s v="5% off"/>
    <n v="18.746000000000002"/>
    <x v="0"/>
    <x v="0"/>
    <n v="356.17400000000004"/>
    <x v="1"/>
    <n v="3"/>
    <s v="Average"/>
  </r>
  <r>
    <s v="3859ad56-e38f-43ef-9153-d35d6d77a30b"/>
    <x v="6"/>
    <x v="1"/>
    <x v="123"/>
    <x v="2"/>
    <x v="27"/>
    <s v="2024-12-07"/>
    <x v="2"/>
    <x v="7"/>
    <x v="0"/>
    <n v="340.04"/>
    <s v="5% off"/>
    <n v="17.002000000000002"/>
    <x v="0"/>
    <x v="1"/>
    <n v="323.03800000000001"/>
    <x v="0"/>
    <n v="1"/>
    <s v="Very Poor"/>
  </r>
  <r>
    <s v="d5d3e1df-22ca-40f6-886c-2cc391d96078"/>
    <x v="47"/>
    <x v="1"/>
    <x v="124"/>
    <x v="1"/>
    <x v="23"/>
    <s v="2024-06-03"/>
    <x v="6"/>
    <x v="11"/>
    <x v="0"/>
    <n v="362.55"/>
    <s v="5% off"/>
    <n v="18.127500000000001"/>
    <x v="0"/>
    <x v="0"/>
    <n v="344.42250000000001"/>
    <x v="2"/>
    <n v="5"/>
    <s v="Excellent"/>
  </r>
  <r>
    <s v="b822e562-08f2-4d68-8fb6-96fb9dfbf3bc"/>
    <x v="5"/>
    <x v="0"/>
    <x v="125"/>
    <x v="1"/>
    <x v="26"/>
    <s v="2024-08-21"/>
    <x v="4"/>
    <x v="3"/>
    <x v="0"/>
    <n v="775.75"/>
    <s v="15% off"/>
    <n v="116.3625"/>
    <x v="0"/>
    <x v="1"/>
    <n v="659.38750000000005"/>
    <x v="3"/>
    <n v="2"/>
    <s v="Poor"/>
  </r>
  <r>
    <s v="6b24daa5-7cc4-4e0d-83db-783aa4159213"/>
    <x v="30"/>
    <x v="1"/>
    <x v="126"/>
    <x v="2"/>
    <x v="2"/>
    <s v="2024-05-30"/>
    <x v="3"/>
    <x v="4"/>
    <x v="0"/>
    <n v="493.96"/>
    <s v="5% off"/>
    <n v="24.698"/>
    <x v="0"/>
    <x v="0"/>
    <n v="469.262"/>
    <x v="2"/>
    <n v="1"/>
    <s v="Very Poor"/>
  </r>
  <r>
    <s v="9460f4d9-97a3-4798-931c-54ac188aafbe"/>
    <x v="11"/>
    <x v="0"/>
    <x v="127"/>
    <x v="5"/>
    <x v="8"/>
    <s v="2025-03-24"/>
    <x v="6"/>
    <x v="6"/>
    <x v="1"/>
    <n v="374.92"/>
    <s v="5% off"/>
    <n v="18.746000000000002"/>
    <x v="0"/>
    <x v="1"/>
    <n v="356.17400000000004"/>
    <x v="3"/>
    <n v="5"/>
    <s v="Excellent"/>
  </r>
  <r>
    <s v="71d29644-ee8a-41b6-b739-c1defcbb88b5"/>
    <x v="26"/>
    <x v="0"/>
    <x v="128"/>
    <x v="4"/>
    <x v="4"/>
    <s v="2024-08-23"/>
    <x v="0"/>
    <x v="3"/>
    <x v="0"/>
    <n v="512.94000000000005"/>
    <s v="10% off"/>
    <n v="51.294000000000011"/>
    <x v="0"/>
    <x v="1"/>
    <n v="461.64600000000007"/>
    <x v="3"/>
    <n v="4"/>
    <s v="Good"/>
  </r>
  <r>
    <s v="3ffb8157-b359-4e72-b8d5-47c6f7cab760"/>
    <x v="39"/>
    <x v="0"/>
    <x v="129"/>
    <x v="5"/>
    <x v="9"/>
    <s v="2024-04-01"/>
    <x v="6"/>
    <x v="0"/>
    <x v="0"/>
    <n v="452.97"/>
    <s v="5% off"/>
    <n v="22.648500000000002"/>
    <x v="0"/>
    <x v="1"/>
    <n v="430.32150000000001"/>
    <x v="1"/>
    <n v="2"/>
    <s v="Poor"/>
  </r>
  <r>
    <s v="b6eb5450-e0b2-4321-b5ff-e0cce09bb21d"/>
    <x v="46"/>
    <x v="0"/>
    <x v="130"/>
    <x v="4"/>
    <x v="4"/>
    <s v="2024-08-05"/>
    <x v="6"/>
    <x v="3"/>
    <x v="0"/>
    <n v="512.94000000000005"/>
    <s v="10% off"/>
    <n v="51.294000000000011"/>
    <x v="0"/>
    <x v="0"/>
    <n v="461.64600000000007"/>
    <x v="1"/>
    <n v="2"/>
    <s v="Poor"/>
  </r>
  <r>
    <s v="0fe0264e-4f18-4309-809c-501df7c81a6a"/>
    <x v="39"/>
    <x v="0"/>
    <x v="131"/>
    <x v="5"/>
    <x v="9"/>
    <s v="2024-05-14"/>
    <x v="1"/>
    <x v="4"/>
    <x v="0"/>
    <n v="452.97"/>
    <s v="5% off"/>
    <n v="22.648500000000002"/>
    <x v="0"/>
    <x v="0"/>
    <n v="430.32150000000001"/>
    <x v="0"/>
    <n v="4"/>
    <s v="Good"/>
  </r>
  <r>
    <s v="f01c791c-2935-4d7e-8df1-7c8a9bb0e538"/>
    <x v="27"/>
    <x v="0"/>
    <x v="132"/>
    <x v="3"/>
    <x v="15"/>
    <s v="2024-12-17"/>
    <x v="1"/>
    <x v="7"/>
    <x v="0"/>
    <n v="855.21"/>
    <s v="15% off"/>
    <n v="128.28149999999999"/>
    <x v="0"/>
    <x v="0"/>
    <n v="726.92849999999999"/>
    <x v="2"/>
    <n v="2"/>
    <s v="Poor"/>
  </r>
  <r>
    <s v="c0dbc287-cabb-431e-a006-3ccaedf82a65"/>
    <x v="48"/>
    <x v="0"/>
    <x v="72"/>
    <x v="3"/>
    <x v="12"/>
    <s v="2025-02-04"/>
    <x v="1"/>
    <x v="8"/>
    <x v="1"/>
    <n v="270.41000000000003"/>
    <s v="5% off"/>
    <n v="13.520500000000002"/>
    <x v="0"/>
    <x v="1"/>
    <n v="256.8895"/>
    <x v="0"/>
    <n v="3"/>
    <s v="Average"/>
  </r>
  <r>
    <s v="39f90945-be31-4908-b5e1-e5a01deefd4d"/>
    <x v="49"/>
    <x v="0"/>
    <x v="75"/>
    <x v="0"/>
    <x v="0"/>
    <s v="2024-06-22"/>
    <x v="2"/>
    <x v="11"/>
    <x v="0"/>
    <n v="697.86"/>
    <s v="10% off"/>
    <n v="69.786000000000001"/>
    <x v="0"/>
    <x v="0"/>
    <n v="628.07400000000007"/>
    <x v="3"/>
    <n v="1"/>
    <s v="Very Poor"/>
  </r>
  <r>
    <s v="78ff1300-94df-4a46-9757-e9e4660b78d1"/>
    <x v="13"/>
    <x v="1"/>
    <x v="76"/>
    <x v="1"/>
    <x v="1"/>
    <s v="2024-04-29"/>
    <x v="6"/>
    <x v="0"/>
    <x v="0"/>
    <n v="67.040000000000006"/>
    <s v="0% off"/>
    <n v="0"/>
    <x v="1"/>
    <x v="1"/>
    <n v="67.040000000000006"/>
    <x v="3"/>
    <n v="2"/>
    <s v="Poor"/>
  </r>
  <r>
    <s v="d91d55a2-c4b8-4852-a03d-b564d484682c"/>
    <x v="23"/>
    <x v="1"/>
    <x v="133"/>
    <x v="6"/>
    <x v="13"/>
    <s v="2025-01-13"/>
    <x v="6"/>
    <x v="9"/>
    <x v="1"/>
    <n v="418.55"/>
    <s v="5% off"/>
    <n v="20.927500000000002"/>
    <x v="0"/>
    <x v="1"/>
    <n v="397.6225"/>
    <x v="2"/>
    <n v="1"/>
    <s v="Very Poor"/>
  </r>
  <r>
    <s v="5993a299-9157-4ba2-b14c-63d5cccffe25"/>
    <x v="40"/>
    <x v="1"/>
    <x v="134"/>
    <x v="2"/>
    <x v="24"/>
    <s v="2025-01-03"/>
    <x v="0"/>
    <x v="9"/>
    <x v="1"/>
    <n v="52.44"/>
    <s v="0% off"/>
    <n v="0"/>
    <x v="1"/>
    <x v="1"/>
    <n v="52.44"/>
    <x v="0"/>
    <n v="1"/>
    <s v="Very Poor"/>
  </r>
  <r>
    <s v="4febc070-db60-4adb-88ea-0a2d740c7cd2"/>
    <x v="30"/>
    <x v="0"/>
    <x v="135"/>
    <x v="4"/>
    <x v="20"/>
    <s v="2024-10-31"/>
    <x v="3"/>
    <x v="5"/>
    <x v="0"/>
    <n v="260.77999999999997"/>
    <s v="5% off"/>
    <n v="13.039"/>
    <x v="0"/>
    <x v="0"/>
    <n v="247.74099999999999"/>
    <x v="0"/>
    <n v="3"/>
    <s v="Average"/>
  </r>
  <r>
    <s v="38d123d6-e914-4bb7-a3fa-57aca8b1d0ff"/>
    <x v="43"/>
    <x v="1"/>
    <x v="136"/>
    <x v="0"/>
    <x v="0"/>
    <s v="2024-11-27"/>
    <x v="4"/>
    <x v="1"/>
    <x v="0"/>
    <n v="697.86"/>
    <s v="10% off"/>
    <n v="69.786000000000001"/>
    <x v="0"/>
    <x v="0"/>
    <n v="628.07400000000007"/>
    <x v="3"/>
    <n v="5"/>
    <s v="Excellent"/>
  </r>
  <r>
    <s v="59d92417-0067-4d6b-9bee-f413317f7eac"/>
    <x v="31"/>
    <x v="1"/>
    <x v="137"/>
    <x v="4"/>
    <x v="20"/>
    <s v="2024-07-27"/>
    <x v="2"/>
    <x v="2"/>
    <x v="0"/>
    <n v="260.77999999999997"/>
    <s v="5% off"/>
    <n v="13.039"/>
    <x v="0"/>
    <x v="0"/>
    <n v="247.74099999999999"/>
    <x v="0"/>
    <n v="1"/>
    <s v="Very Poor"/>
  </r>
  <r>
    <s v="d320a7d4-d543-4f46-8748-ecf9246550d4"/>
    <x v="22"/>
    <x v="1"/>
    <x v="0"/>
    <x v="4"/>
    <x v="5"/>
    <s v="2025-02-17"/>
    <x v="6"/>
    <x v="8"/>
    <x v="1"/>
    <n v="988.77"/>
    <s v="20% off"/>
    <n v="197.75400000000002"/>
    <x v="0"/>
    <x v="1"/>
    <n v="791.01599999999996"/>
    <x v="0"/>
    <n v="3"/>
    <s v="Average"/>
  </r>
  <r>
    <s v="eab064e5-e3ec-40ec-8c90-890c4fadea4a"/>
    <x v="50"/>
    <x v="0"/>
    <x v="1"/>
    <x v="4"/>
    <x v="5"/>
    <s v="2024-07-15"/>
    <x v="6"/>
    <x v="2"/>
    <x v="0"/>
    <n v="988.77"/>
    <s v="20% off"/>
    <n v="197.75400000000002"/>
    <x v="0"/>
    <x v="0"/>
    <n v="791.01599999999996"/>
    <x v="2"/>
    <n v="3"/>
    <s v="Average"/>
  </r>
  <r>
    <s v="ae8e8d1e-79ad-48c2-a16e-5a4b67c24568"/>
    <x v="11"/>
    <x v="1"/>
    <x v="2"/>
    <x v="3"/>
    <x v="12"/>
    <s v="2024-10-01"/>
    <x v="1"/>
    <x v="5"/>
    <x v="0"/>
    <n v="270.41000000000003"/>
    <s v="5% off"/>
    <n v="13.520500000000002"/>
    <x v="0"/>
    <x v="0"/>
    <n v="256.8895"/>
    <x v="2"/>
    <n v="3"/>
    <s v="Average"/>
  </r>
  <r>
    <s v="cbd11c00-1475-4fbe-afb6-3087a820b39f"/>
    <x v="37"/>
    <x v="1"/>
    <x v="3"/>
    <x v="5"/>
    <x v="8"/>
    <s v="2024-06-27"/>
    <x v="3"/>
    <x v="11"/>
    <x v="0"/>
    <n v="374.92"/>
    <s v="5% off"/>
    <n v="18.746000000000002"/>
    <x v="0"/>
    <x v="0"/>
    <n v="356.17400000000004"/>
    <x v="3"/>
    <n v="5"/>
    <s v="Excellent"/>
  </r>
  <r>
    <s v="cc067bc5-ed72-48c0-8deb-258cef5ef98d"/>
    <x v="13"/>
    <x v="0"/>
    <x v="4"/>
    <x v="6"/>
    <x v="14"/>
    <s v="2024-04-15"/>
    <x v="6"/>
    <x v="0"/>
    <x v="0"/>
    <n v="965.09"/>
    <s v="20% off"/>
    <n v="193.01800000000003"/>
    <x v="0"/>
    <x v="1"/>
    <n v="772.072"/>
    <x v="3"/>
    <n v="2"/>
    <s v="Poor"/>
  </r>
  <r>
    <s v="bc5ca70e-925e-406e-8b8f-b3cae8afc36b"/>
    <x v="33"/>
    <x v="1"/>
    <x v="5"/>
    <x v="0"/>
    <x v="11"/>
    <s v="2024-10-04"/>
    <x v="0"/>
    <x v="5"/>
    <x v="0"/>
    <n v="116.78"/>
    <s v="0% off"/>
    <n v="0"/>
    <x v="1"/>
    <x v="1"/>
    <n v="116.78"/>
    <x v="2"/>
    <n v="1"/>
    <s v="Very Poor"/>
  </r>
  <r>
    <s v="246847bc-6d13-4b85-b4c9-0cc3247b2c54"/>
    <x v="18"/>
    <x v="0"/>
    <x v="6"/>
    <x v="1"/>
    <x v="1"/>
    <s v="2024-08-30"/>
    <x v="0"/>
    <x v="3"/>
    <x v="0"/>
    <n v="67.040000000000006"/>
    <s v="0% off"/>
    <n v="0"/>
    <x v="1"/>
    <x v="1"/>
    <n v="67.040000000000006"/>
    <x v="3"/>
    <n v="1"/>
    <s v="Very Poor"/>
  </r>
  <r>
    <s v="340ac4ec-1bfa-4f17-ab9b-fc31778b2f08"/>
    <x v="29"/>
    <x v="1"/>
    <x v="7"/>
    <x v="1"/>
    <x v="1"/>
    <s v="2024-07-20"/>
    <x v="2"/>
    <x v="2"/>
    <x v="0"/>
    <n v="67.040000000000006"/>
    <s v="0% off"/>
    <n v="0"/>
    <x v="1"/>
    <x v="1"/>
    <n v="67.040000000000006"/>
    <x v="0"/>
    <n v="3"/>
    <s v="Average"/>
  </r>
  <r>
    <s v="cd4a54c5-197b-4dc8-984a-0c095eca22c0"/>
    <x v="3"/>
    <x v="0"/>
    <x v="8"/>
    <x v="2"/>
    <x v="18"/>
    <s v="2024-12-19"/>
    <x v="3"/>
    <x v="7"/>
    <x v="0"/>
    <n v="492.1"/>
    <s v="5% off"/>
    <n v="24.605000000000004"/>
    <x v="0"/>
    <x v="1"/>
    <n v="467.495"/>
    <x v="0"/>
    <n v="5"/>
    <s v="Excellent"/>
  </r>
  <r>
    <s v="1f1dc70c-4c68-4f53-a5a1-ee41d6f146e1"/>
    <x v="6"/>
    <x v="1"/>
    <x v="9"/>
    <x v="2"/>
    <x v="27"/>
    <s v="2024-04-23"/>
    <x v="1"/>
    <x v="0"/>
    <x v="0"/>
    <n v="340.04"/>
    <s v="5% off"/>
    <n v="17.002000000000002"/>
    <x v="0"/>
    <x v="0"/>
    <n v="323.03800000000001"/>
    <x v="3"/>
    <n v="4"/>
    <s v="Good"/>
  </r>
  <r>
    <s v="2ed002e1-f60f-4a42-a5a2-8fb18c7685a8"/>
    <x v="40"/>
    <x v="1"/>
    <x v="10"/>
    <x v="2"/>
    <x v="27"/>
    <s v="2024-07-02"/>
    <x v="1"/>
    <x v="2"/>
    <x v="0"/>
    <n v="340.04"/>
    <s v="5% off"/>
    <n v="17.002000000000002"/>
    <x v="0"/>
    <x v="0"/>
    <n v="323.03800000000001"/>
    <x v="3"/>
    <n v="3"/>
    <s v="Average"/>
  </r>
  <r>
    <s v="f288ea78-855b-40bc-9a77-2125510427b9"/>
    <x v="43"/>
    <x v="0"/>
    <x v="11"/>
    <x v="3"/>
    <x v="3"/>
    <s v="2024-11-01"/>
    <x v="0"/>
    <x v="1"/>
    <x v="0"/>
    <n v="211.46"/>
    <s v="5% off"/>
    <n v="10.573"/>
    <x v="0"/>
    <x v="0"/>
    <n v="200.887"/>
    <x v="0"/>
    <n v="4"/>
    <s v="Good"/>
  </r>
  <r>
    <s v="0d76e68b-11c7-45ff-9904-0adc8e05b51f"/>
    <x v="33"/>
    <x v="0"/>
    <x v="12"/>
    <x v="4"/>
    <x v="17"/>
    <s v="2024-11-22"/>
    <x v="0"/>
    <x v="1"/>
    <x v="0"/>
    <n v="315.56"/>
    <s v="5% off"/>
    <n v="15.778"/>
    <x v="0"/>
    <x v="1"/>
    <n v="299.78199999999998"/>
    <x v="0"/>
    <n v="2"/>
    <s v="Poor"/>
  </r>
  <r>
    <s v="fec6aae2-8c2f-4925-aa33-729e9de0cbc3"/>
    <x v="39"/>
    <x v="1"/>
    <x v="13"/>
    <x v="2"/>
    <x v="24"/>
    <s v="2024-04-30"/>
    <x v="1"/>
    <x v="0"/>
    <x v="0"/>
    <n v="52.44"/>
    <s v="0% off"/>
    <n v="0"/>
    <x v="1"/>
    <x v="1"/>
    <n v="52.44"/>
    <x v="2"/>
    <n v="5"/>
    <s v="Excellent"/>
  </r>
  <r>
    <s v="27dff3d4-1865-4cf9-8de1-157ee5f583a6"/>
    <x v="0"/>
    <x v="0"/>
    <x v="14"/>
    <x v="4"/>
    <x v="20"/>
    <s v="2024-10-10"/>
    <x v="3"/>
    <x v="5"/>
    <x v="0"/>
    <n v="260.77999999999997"/>
    <s v="5% off"/>
    <n v="13.039"/>
    <x v="0"/>
    <x v="0"/>
    <n v="247.74099999999999"/>
    <x v="0"/>
    <n v="2"/>
    <s v="Poor"/>
  </r>
  <r>
    <s v="5a690547-5eb0-4636-9696-fda81db4bc5a"/>
    <x v="49"/>
    <x v="0"/>
    <x v="15"/>
    <x v="0"/>
    <x v="22"/>
    <s v="2024-07-13"/>
    <x v="2"/>
    <x v="2"/>
    <x v="0"/>
    <n v="485.26"/>
    <s v="5% off"/>
    <n v="24.263000000000002"/>
    <x v="0"/>
    <x v="0"/>
    <n v="460.99700000000001"/>
    <x v="0"/>
    <n v="3"/>
    <s v="Average"/>
  </r>
  <r>
    <s v="7c64cc36-671f-40c6-acd6-ab8a54a9b2fe"/>
    <x v="25"/>
    <x v="0"/>
    <x v="16"/>
    <x v="2"/>
    <x v="27"/>
    <s v="2024-08-27"/>
    <x v="1"/>
    <x v="3"/>
    <x v="0"/>
    <n v="340.04"/>
    <s v="5% off"/>
    <n v="17.002000000000002"/>
    <x v="0"/>
    <x v="0"/>
    <n v="323.03800000000001"/>
    <x v="3"/>
    <n v="4"/>
    <s v="Good"/>
  </r>
  <r>
    <s v="94df65f9-d5b5-47a4-9dbf-0046401db53e"/>
    <x v="24"/>
    <x v="0"/>
    <x v="17"/>
    <x v="0"/>
    <x v="7"/>
    <s v="2024-06-27"/>
    <x v="3"/>
    <x v="11"/>
    <x v="0"/>
    <n v="78.349999999999994"/>
    <s v="0% off"/>
    <n v="0"/>
    <x v="1"/>
    <x v="0"/>
    <n v="78.349999999999994"/>
    <x v="2"/>
    <n v="3"/>
    <s v="Average"/>
  </r>
  <r>
    <s v="b7efd9b8-6c28-4938-9a74-f41ccf83e3f9"/>
    <x v="22"/>
    <x v="0"/>
    <x v="18"/>
    <x v="0"/>
    <x v="11"/>
    <s v="2024-04-26"/>
    <x v="0"/>
    <x v="0"/>
    <x v="0"/>
    <n v="116.78"/>
    <s v="0% off"/>
    <n v="0"/>
    <x v="1"/>
    <x v="1"/>
    <n v="116.78"/>
    <x v="2"/>
    <n v="1"/>
    <s v="Very Poor"/>
  </r>
  <r>
    <s v="b7ffef8e-b78a-4bfd-87f0-7a49602cb598"/>
    <x v="44"/>
    <x v="0"/>
    <x v="19"/>
    <x v="0"/>
    <x v="11"/>
    <s v="2025-02-12"/>
    <x v="4"/>
    <x v="8"/>
    <x v="1"/>
    <n v="116.78"/>
    <s v="0% off"/>
    <n v="0"/>
    <x v="1"/>
    <x v="1"/>
    <n v="116.78"/>
    <x v="2"/>
    <n v="2"/>
    <s v="Poor"/>
  </r>
  <r>
    <s v="815b8121-48c9-4672-a52d-aaea2664bc87"/>
    <x v="6"/>
    <x v="1"/>
    <x v="20"/>
    <x v="0"/>
    <x v="22"/>
    <s v="2024-08-09"/>
    <x v="0"/>
    <x v="3"/>
    <x v="0"/>
    <n v="485.26"/>
    <s v="5% off"/>
    <n v="24.263000000000002"/>
    <x v="0"/>
    <x v="0"/>
    <n v="460.99700000000001"/>
    <x v="1"/>
    <n v="1"/>
    <s v="Very Poor"/>
  </r>
  <r>
    <s v="0baab046-990a-46db-aa1b-b7bbefc7ffd7"/>
    <x v="33"/>
    <x v="1"/>
    <x v="21"/>
    <x v="1"/>
    <x v="23"/>
    <s v="2024-07-22"/>
    <x v="6"/>
    <x v="2"/>
    <x v="0"/>
    <n v="362.55"/>
    <s v="5% off"/>
    <n v="18.127500000000001"/>
    <x v="0"/>
    <x v="0"/>
    <n v="344.42250000000001"/>
    <x v="3"/>
    <n v="5"/>
    <s v="Excellent"/>
  </r>
  <r>
    <s v="485dd1b2-3889-435e-a999-c3144a2fe213"/>
    <x v="27"/>
    <x v="0"/>
    <x v="22"/>
    <x v="2"/>
    <x v="18"/>
    <s v="2024-12-21"/>
    <x v="2"/>
    <x v="7"/>
    <x v="0"/>
    <n v="492.1"/>
    <s v="5% off"/>
    <n v="24.605000000000004"/>
    <x v="0"/>
    <x v="1"/>
    <n v="467.495"/>
    <x v="2"/>
    <n v="2"/>
    <s v="Poor"/>
  </r>
  <r>
    <s v="24acab12-d69a-4970-acc8-30b65f72a0d5"/>
    <x v="9"/>
    <x v="0"/>
    <x v="23"/>
    <x v="3"/>
    <x v="12"/>
    <s v="2025-03-09"/>
    <x v="5"/>
    <x v="6"/>
    <x v="1"/>
    <n v="270.41000000000003"/>
    <s v="5% off"/>
    <n v="13.520500000000002"/>
    <x v="0"/>
    <x v="1"/>
    <n v="256.8895"/>
    <x v="3"/>
    <n v="2"/>
    <s v="Poor"/>
  </r>
  <r>
    <s v="d269299a-7bc5-4464-a0a2-9350d6638ed9"/>
    <x v="27"/>
    <x v="0"/>
    <x v="24"/>
    <x v="4"/>
    <x v="17"/>
    <s v="2024-10-06"/>
    <x v="5"/>
    <x v="5"/>
    <x v="0"/>
    <n v="315.56"/>
    <s v="5% off"/>
    <n v="15.778"/>
    <x v="0"/>
    <x v="0"/>
    <n v="299.78199999999998"/>
    <x v="1"/>
    <n v="1"/>
    <s v="Very Poor"/>
  </r>
  <r>
    <s v="a70169ff-cd34-43b5-a5d2-ce0352f827ca"/>
    <x v="11"/>
    <x v="1"/>
    <x v="25"/>
    <x v="0"/>
    <x v="11"/>
    <s v="2024-06-15"/>
    <x v="2"/>
    <x v="11"/>
    <x v="0"/>
    <n v="116.78"/>
    <s v="0% off"/>
    <n v="0"/>
    <x v="1"/>
    <x v="0"/>
    <n v="116.78"/>
    <x v="0"/>
    <n v="3"/>
    <s v="Average"/>
  </r>
  <r>
    <s v="1513cab0-6581-40d9-891d-88eb4fbdccfb"/>
    <x v="33"/>
    <x v="0"/>
    <x v="26"/>
    <x v="0"/>
    <x v="11"/>
    <s v="2024-06-16"/>
    <x v="5"/>
    <x v="11"/>
    <x v="0"/>
    <n v="116.78"/>
    <s v="0% off"/>
    <n v="0"/>
    <x v="1"/>
    <x v="1"/>
    <n v="116.78"/>
    <x v="0"/>
    <n v="1"/>
    <s v="Very Poor"/>
  </r>
  <r>
    <s v="3e7fd9f1-d7e4-4b4a-a2ce-0130ddcc5e03"/>
    <x v="50"/>
    <x v="1"/>
    <x v="27"/>
    <x v="3"/>
    <x v="12"/>
    <s v="2024-08-02"/>
    <x v="0"/>
    <x v="3"/>
    <x v="0"/>
    <n v="270.41000000000003"/>
    <s v="5% off"/>
    <n v="13.520500000000002"/>
    <x v="0"/>
    <x v="1"/>
    <n v="256.8895"/>
    <x v="1"/>
    <n v="2"/>
    <s v="Poor"/>
  </r>
  <r>
    <s v="ede06645-d2b3-4e20-abc1-4a786fd89c14"/>
    <x v="34"/>
    <x v="0"/>
    <x v="28"/>
    <x v="1"/>
    <x v="23"/>
    <s v="2024-06-17"/>
    <x v="6"/>
    <x v="11"/>
    <x v="0"/>
    <n v="362.55"/>
    <s v="5% off"/>
    <n v="18.127500000000001"/>
    <x v="0"/>
    <x v="0"/>
    <n v="344.42250000000001"/>
    <x v="3"/>
    <n v="1"/>
    <s v="Very Poor"/>
  </r>
  <r>
    <s v="06357ff2-18a4-4f0b-bf1b-cd71c99e0e81"/>
    <x v="34"/>
    <x v="1"/>
    <x v="29"/>
    <x v="3"/>
    <x v="3"/>
    <s v="2024-04-17"/>
    <x v="4"/>
    <x v="0"/>
    <x v="0"/>
    <n v="211.46"/>
    <s v="5% off"/>
    <n v="10.573"/>
    <x v="0"/>
    <x v="0"/>
    <n v="200.887"/>
    <x v="3"/>
    <n v="2"/>
    <s v="Poor"/>
  </r>
  <r>
    <s v="ec276a0a-f7d5-4aca-8131-09de0bfde4a4"/>
    <x v="22"/>
    <x v="0"/>
    <x v="30"/>
    <x v="2"/>
    <x v="18"/>
    <s v="2024-07-28"/>
    <x v="5"/>
    <x v="2"/>
    <x v="0"/>
    <n v="492.1"/>
    <s v="5% off"/>
    <n v="24.605000000000004"/>
    <x v="0"/>
    <x v="0"/>
    <n v="467.495"/>
    <x v="2"/>
    <n v="2"/>
    <s v="Poor"/>
  </r>
  <r>
    <s v="fb446f69-3e22-4492-871c-bb61c56b3278"/>
    <x v="13"/>
    <x v="0"/>
    <x v="31"/>
    <x v="1"/>
    <x v="1"/>
    <s v="2024-11-24"/>
    <x v="5"/>
    <x v="1"/>
    <x v="0"/>
    <n v="67.040000000000006"/>
    <s v="0% off"/>
    <n v="0"/>
    <x v="1"/>
    <x v="1"/>
    <n v="67.040000000000006"/>
    <x v="3"/>
    <n v="2"/>
    <s v="Poor"/>
  </r>
  <r>
    <s v="8b9a8b96-6f7e-4e0b-b385-23929489e005"/>
    <x v="13"/>
    <x v="0"/>
    <x v="32"/>
    <x v="4"/>
    <x v="17"/>
    <s v="2024-07-18"/>
    <x v="3"/>
    <x v="2"/>
    <x v="0"/>
    <n v="315.56"/>
    <s v="5% off"/>
    <n v="15.778"/>
    <x v="0"/>
    <x v="1"/>
    <n v="299.78199999999998"/>
    <x v="3"/>
    <n v="3"/>
    <s v="Average"/>
  </r>
  <r>
    <s v="b576031d-a7ff-41e7-80d6-8e9e66e41931"/>
    <x v="17"/>
    <x v="1"/>
    <x v="33"/>
    <x v="6"/>
    <x v="21"/>
    <s v="2025-02-20"/>
    <x v="3"/>
    <x v="8"/>
    <x v="1"/>
    <n v="461.81"/>
    <s v="5% off"/>
    <n v="23.090500000000002"/>
    <x v="0"/>
    <x v="1"/>
    <n v="438.71949999999998"/>
    <x v="0"/>
    <n v="3"/>
    <s v="Average"/>
  </r>
  <r>
    <s v="efbe51b5-3a81-4bd6-83e3-c2f55b119e9e"/>
    <x v="0"/>
    <x v="1"/>
    <x v="34"/>
    <x v="5"/>
    <x v="9"/>
    <s v="2024-10-28"/>
    <x v="6"/>
    <x v="5"/>
    <x v="0"/>
    <n v="452.97"/>
    <s v="5% off"/>
    <n v="22.648500000000002"/>
    <x v="0"/>
    <x v="0"/>
    <n v="430.32150000000001"/>
    <x v="1"/>
    <n v="1"/>
    <s v="Very Poor"/>
  </r>
  <r>
    <s v="c6134b20-e155-4d74-aee1-994290f1d202"/>
    <x v="36"/>
    <x v="0"/>
    <x v="35"/>
    <x v="2"/>
    <x v="18"/>
    <s v="2025-02-16"/>
    <x v="5"/>
    <x v="8"/>
    <x v="1"/>
    <n v="492.1"/>
    <s v="5% off"/>
    <n v="24.605000000000004"/>
    <x v="0"/>
    <x v="0"/>
    <n v="467.495"/>
    <x v="0"/>
    <n v="1"/>
    <s v="Very Poor"/>
  </r>
  <r>
    <s v="2dcfc30f-5578-437c-ba5a-230495fb43bb"/>
    <x v="36"/>
    <x v="0"/>
    <x v="36"/>
    <x v="4"/>
    <x v="5"/>
    <s v="2024-05-15"/>
    <x v="4"/>
    <x v="4"/>
    <x v="0"/>
    <n v="988.77"/>
    <s v="20% off"/>
    <n v="197.75400000000002"/>
    <x v="0"/>
    <x v="1"/>
    <n v="791.01599999999996"/>
    <x v="3"/>
    <n v="5"/>
    <s v="Excellent"/>
  </r>
  <r>
    <s v="54c64915-398e-4f1c-8c98-673cb1b440c1"/>
    <x v="27"/>
    <x v="1"/>
    <x v="37"/>
    <x v="3"/>
    <x v="12"/>
    <s v="2025-02-19"/>
    <x v="4"/>
    <x v="8"/>
    <x v="1"/>
    <n v="270.41000000000003"/>
    <s v="5% off"/>
    <n v="13.520500000000002"/>
    <x v="0"/>
    <x v="0"/>
    <n v="256.8895"/>
    <x v="2"/>
    <n v="4"/>
    <s v="Good"/>
  </r>
  <r>
    <s v="cee521f0-29aa-4d16-b6d1-11ee3e1b6f8d"/>
    <x v="24"/>
    <x v="0"/>
    <x v="38"/>
    <x v="1"/>
    <x v="23"/>
    <s v="2024-03-27"/>
    <x v="4"/>
    <x v="6"/>
    <x v="0"/>
    <n v="362.55"/>
    <s v="5% off"/>
    <n v="18.127500000000001"/>
    <x v="0"/>
    <x v="0"/>
    <n v="344.42250000000001"/>
    <x v="2"/>
    <n v="3"/>
    <s v="Average"/>
  </r>
  <r>
    <s v="97d59b17-299c-4bb2-aff1-7ec3096f1dcd"/>
    <x v="28"/>
    <x v="1"/>
    <x v="39"/>
    <x v="0"/>
    <x v="0"/>
    <s v="2024-12-27"/>
    <x v="0"/>
    <x v="7"/>
    <x v="0"/>
    <n v="697.86"/>
    <s v="10% off"/>
    <n v="69.786000000000001"/>
    <x v="0"/>
    <x v="1"/>
    <n v="628.07400000000007"/>
    <x v="3"/>
    <n v="2"/>
    <s v="Poor"/>
  </r>
  <r>
    <s v="546fce77-feba-4b7f-ac35-f3191fa2e9ba"/>
    <x v="37"/>
    <x v="0"/>
    <x v="40"/>
    <x v="1"/>
    <x v="26"/>
    <s v="2024-11-23"/>
    <x v="2"/>
    <x v="1"/>
    <x v="0"/>
    <n v="775.75"/>
    <s v="15% off"/>
    <n v="116.3625"/>
    <x v="0"/>
    <x v="0"/>
    <n v="659.38750000000005"/>
    <x v="3"/>
    <n v="2"/>
    <s v="Poor"/>
  </r>
  <r>
    <s v="f959edb2-ad90-49e9-aad1-91c256af92a2"/>
    <x v="29"/>
    <x v="0"/>
    <x v="41"/>
    <x v="4"/>
    <x v="5"/>
    <s v="2024-09-17"/>
    <x v="1"/>
    <x v="10"/>
    <x v="0"/>
    <n v="988.77"/>
    <s v="20% off"/>
    <n v="197.75400000000002"/>
    <x v="0"/>
    <x v="1"/>
    <n v="791.01599999999996"/>
    <x v="0"/>
    <n v="1"/>
    <s v="Very Poor"/>
  </r>
  <r>
    <s v="16eb0b60-c15c-45f1-8465-731d36d1ce8d"/>
    <x v="23"/>
    <x v="1"/>
    <x v="42"/>
    <x v="0"/>
    <x v="11"/>
    <s v="2024-07-09"/>
    <x v="1"/>
    <x v="2"/>
    <x v="0"/>
    <n v="116.78"/>
    <s v="0% off"/>
    <n v="0"/>
    <x v="1"/>
    <x v="0"/>
    <n v="116.78"/>
    <x v="1"/>
    <n v="2"/>
    <s v="Poor"/>
  </r>
  <r>
    <s v="69f9b1cf-f719-4ce6-8668-f396000bd345"/>
    <x v="41"/>
    <x v="1"/>
    <x v="43"/>
    <x v="1"/>
    <x v="26"/>
    <s v="2024-07-31"/>
    <x v="4"/>
    <x v="2"/>
    <x v="0"/>
    <n v="775.75"/>
    <s v="15% off"/>
    <n v="116.3625"/>
    <x v="0"/>
    <x v="0"/>
    <n v="659.38750000000005"/>
    <x v="2"/>
    <n v="3"/>
    <s v="Average"/>
  </r>
  <r>
    <s v="584f3324-01a7-4913-aa11-659e8725d610"/>
    <x v="49"/>
    <x v="0"/>
    <x v="44"/>
    <x v="2"/>
    <x v="27"/>
    <s v="2024-04-24"/>
    <x v="4"/>
    <x v="0"/>
    <x v="0"/>
    <n v="340.04"/>
    <s v="5% off"/>
    <n v="17.002000000000002"/>
    <x v="0"/>
    <x v="0"/>
    <n v="323.03800000000001"/>
    <x v="0"/>
    <n v="1"/>
    <s v="Very Poor"/>
  </r>
  <r>
    <s v="b6bca141-6ebc-4475-80c0-966cb65237c0"/>
    <x v="3"/>
    <x v="0"/>
    <x v="45"/>
    <x v="1"/>
    <x v="26"/>
    <s v="2024-10-09"/>
    <x v="4"/>
    <x v="5"/>
    <x v="0"/>
    <n v="775.75"/>
    <s v="15% off"/>
    <n v="116.3625"/>
    <x v="0"/>
    <x v="1"/>
    <n v="659.38750000000005"/>
    <x v="1"/>
    <n v="4"/>
    <s v="Good"/>
  </r>
  <r>
    <s v="6a22c482-b12e-47df-9baa-2c7476155232"/>
    <x v="28"/>
    <x v="0"/>
    <x v="46"/>
    <x v="0"/>
    <x v="7"/>
    <s v="2024-06-06"/>
    <x v="3"/>
    <x v="11"/>
    <x v="0"/>
    <n v="78.349999999999994"/>
    <s v="0% off"/>
    <n v="0"/>
    <x v="1"/>
    <x v="1"/>
    <n v="78.349999999999994"/>
    <x v="2"/>
    <n v="3"/>
    <s v="Average"/>
  </r>
  <r>
    <s v="aa9cbbec-04e4-4097-a7ae-2bb121f366c6"/>
    <x v="27"/>
    <x v="0"/>
    <x v="47"/>
    <x v="1"/>
    <x v="23"/>
    <s v="2025-03-18"/>
    <x v="1"/>
    <x v="6"/>
    <x v="1"/>
    <n v="362.55"/>
    <s v="5% off"/>
    <n v="18.127500000000001"/>
    <x v="0"/>
    <x v="1"/>
    <n v="344.42250000000001"/>
    <x v="1"/>
    <n v="5"/>
    <s v="Excellent"/>
  </r>
  <r>
    <s v="5fc93d33-c262-4dbe-8df2-bb89d8b9b8f6"/>
    <x v="51"/>
    <x v="1"/>
    <x v="48"/>
    <x v="6"/>
    <x v="21"/>
    <s v="2025-01-11"/>
    <x v="2"/>
    <x v="9"/>
    <x v="1"/>
    <n v="461.81"/>
    <s v="5% off"/>
    <n v="23.090500000000002"/>
    <x v="0"/>
    <x v="1"/>
    <n v="438.71949999999998"/>
    <x v="3"/>
    <n v="5"/>
    <s v="Excellent"/>
  </r>
  <r>
    <s v="decc5dcb-745f-457d-8e60-27e78de142e0"/>
    <x v="6"/>
    <x v="0"/>
    <x v="49"/>
    <x v="1"/>
    <x v="1"/>
    <s v="2024-11-22"/>
    <x v="0"/>
    <x v="1"/>
    <x v="0"/>
    <n v="67.040000000000006"/>
    <s v="0% off"/>
    <n v="0"/>
    <x v="1"/>
    <x v="0"/>
    <n v="67.040000000000006"/>
    <x v="2"/>
    <n v="5"/>
    <s v="Excellent"/>
  </r>
  <r>
    <s v="f40a9a95-7f36-4f8b-a93d-f927efcbec04"/>
    <x v="25"/>
    <x v="0"/>
    <x v="50"/>
    <x v="5"/>
    <x v="8"/>
    <s v="2024-08-16"/>
    <x v="0"/>
    <x v="3"/>
    <x v="0"/>
    <n v="374.92"/>
    <s v="5% off"/>
    <n v="18.746000000000002"/>
    <x v="0"/>
    <x v="0"/>
    <n v="356.17400000000004"/>
    <x v="1"/>
    <n v="5"/>
    <s v="Excellent"/>
  </r>
  <r>
    <s v="8854bac1-5744-4a35-8403-4ff9af8af9d1"/>
    <x v="27"/>
    <x v="0"/>
    <x v="51"/>
    <x v="0"/>
    <x v="7"/>
    <s v="2024-06-23"/>
    <x v="5"/>
    <x v="11"/>
    <x v="0"/>
    <n v="78.349999999999994"/>
    <s v="0% off"/>
    <n v="0"/>
    <x v="1"/>
    <x v="1"/>
    <n v="78.349999999999994"/>
    <x v="1"/>
    <n v="3"/>
    <s v="Average"/>
  </r>
  <r>
    <s v="3091f743-1c47-4eae-a4a5-a06e74cb0398"/>
    <x v="23"/>
    <x v="0"/>
    <x v="52"/>
    <x v="3"/>
    <x v="19"/>
    <s v="2024-12-19"/>
    <x v="3"/>
    <x v="7"/>
    <x v="0"/>
    <n v="165.68"/>
    <s v="5% off"/>
    <n v="8.2840000000000007"/>
    <x v="0"/>
    <x v="0"/>
    <n v="157.39600000000002"/>
    <x v="0"/>
    <n v="4"/>
    <s v="Good"/>
  </r>
  <r>
    <s v="ecf04ac3-8275-4c3d-be97-8aa57ee7082a"/>
    <x v="2"/>
    <x v="1"/>
    <x v="53"/>
    <x v="3"/>
    <x v="19"/>
    <s v="2024-06-24"/>
    <x v="6"/>
    <x v="11"/>
    <x v="0"/>
    <n v="165.68"/>
    <s v="5% off"/>
    <n v="8.2840000000000007"/>
    <x v="0"/>
    <x v="0"/>
    <n v="157.39600000000002"/>
    <x v="3"/>
    <n v="1"/>
    <s v="Very Poor"/>
  </r>
  <r>
    <s v="dcb2c77f-d3aa-4cae-b6bd-789aeb7fb6d8"/>
    <x v="19"/>
    <x v="1"/>
    <x v="33"/>
    <x v="4"/>
    <x v="5"/>
    <s v="2024-12-19"/>
    <x v="3"/>
    <x v="7"/>
    <x v="0"/>
    <n v="988.77"/>
    <s v="20% off"/>
    <n v="197.75400000000002"/>
    <x v="0"/>
    <x v="0"/>
    <n v="791.01599999999996"/>
    <x v="0"/>
    <n v="2"/>
    <s v="Poor"/>
  </r>
  <r>
    <s v="caffdb53-edf8-495c-8f89-29462a4118e9"/>
    <x v="47"/>
    <x v="1"/>
    <x v="54"/>
    <x v="1"/>
    <x v="23"/>
    <s v="2024-05-08"/>
    <x v="4"/>
    <x v="4"/>
    <x v="0"/>
    <n v="362.55"/>
    <s v="5% off"/>
    <n v="18.127500000000001"/>
    <x v="0"/>
    <x v="0"/>
    <n v="344.42250000000001"/>
    <x v="1"/>
    <n v="4"/>
    <s v="Good"/>
  </r>
  <r>
    <s v="5a72a09b-1154-4746-9387-1c67cb85a937"/>
    <x v="48"/>
    <x v="0"/>
    <x v="55"/>
    <x v="4"/>
    <x v="17"/>
    <s v="2024-07-18"/>
    <x v="3"/>
    <x v="2"/>
    <x v="0"/>
    <n v="315.56"/>
    <s v="5% off"/>
    <n v="15.778"/>
    <x v="0"/>
    <x v="1"/>
    <n v="299.78199999999998"/>
    <x v="0"/>
    <n v="3"/>
    <s v="Average"/>
  </r>
  <r>
    <s v="5037931c-7224-4414-b444-984a4682946a"/>
    <x v="20"/>
    <x v="0"/>
    <x v="56"/>
    <x v="1"/>
    <x v="1"/>
    <s v="2024-06-29"/>
    <x v="2"/>
    <x v="11"/>
    <x v="0"/>
    <n v="67.040000000000006"/>
    <s v="0% off"/>
    <n v="0"/>
    <x v="1"/>
    <x v="0"/>
    <n v="67.040000000000006"/>
    <x v="2"/>
    <n v="1"/>
    <s v="Very Poor"/>
  </r>
  <r>
    <s v="3b470241-823c-40fe-8fc9-ecc3fdce0993"/>
    <x v="44"/>
    <x v="1"/>
    <x v="57"/>
    <x v="2"/>
    <x v="27"/>
    <s v="2024-11-15"/>
    <x v="0"/>
    <x v="1"/>
    <x v="0"/>
    <n v="340.04"/>
    <s v="5% off"/>
    <n v="17.002000000000002"/>
    <x v="0"/>
    <x v="0"/>
    <n v="323.03800000000001"/>
    <x v="3"/>
    <n v="1"/>
    <s v="Very Poor"/>
  </r>
  <r>
    <s v="1b689d3d-c049-454a-97ca-870e5175425c"/>
    <x v="47"/>
    <x v="0"/>
    <x v="58"/>
    <x v="4"/>
    <x v="5"/>
    <s v="2024-04-20"/>
    <x v="2"/>
    <x v="0"/>
    <x v="0"/>
    <n v="988.77"/>
    <s v="20% off"/>
    <n v="197.75400000000002"/>
    <x v="0"/>
    <x v="0"/>
    <n v="791.01599999999996"/>
    <x v="1"/>
    <n v="3"/>
    <s v="Average"/>
  </r>
  <r>
    <s v="9ecab6ba-cfad-4adb-a2de-41b6fbd4e55c"/>
    <x v="34"/>
    <x v="1"/>
    <x v="59"/>
    <x v="5"/>
    <x v="6"/>
    <s v="2024-04-01"/>
    <x v="6"/>
    <x v="0"/>
    <x v="0"/>
    <n v="76.81"/>
    <s v="0% off"/>
    <n v="0"/>
    <x v="1"/>
    <x v="0"/>
    <n v="76.81"/>
    <x v="3"/>
    <n v="5"/>
    <s v="Excellent"/>
  </r>
  <r>
    <s v="d3de0038-dc0e-47d4-89e0-884e07aa578e"/>
    <x v="19"/>
    <x v="1"/>
    <x v="60"/>
    <x v="4"/>
    <x v="5"/>
    <s v="2024-07-06"/>
    <x v="2"/>
    <x v="2"/>
    <x v="0"/>
    <n v="988.77"/>
    <s v="20% off"/>
    <n v="197.75400000000002"/>
    <x v="0"/>
    <x v="1"/>
    <n v="791.01599999999996"/>
    <x v="1"/>
    <n v="1"/>
    <s v="Very Poor"/>
  </r>
  <r>
    <s v="9c0f7844-bfde-4997-9f4b-64b0d1796299"/>
    <x v="29"/>
    <x v="0"/>
    <x v="61"/>
    <x v="4"/>
    <x v="5"/>
    <s v="2024-08-24"/>
    <x v="2"/>
    <x v="3"/>
    <x v="0"/>
    <n v="988.77"/>
    <s v="20% off"/>
    <n v="197.75400000000002"/>
    <x v="0"/>
    <x v="1"/>
    <n v="791.01599999999996"/>
    <x v="1"/>
    <n v="3"/>
    <s v="Average"/>
  </r>
  <r>
    <s v="5182390c-c20b-458a-999d-c56d0d358e49"/>
    <x v="38"/>
    <x v="1"/>
    <x v="42"/>
    <x v="5"/>
    <x v="6"/>
    <s v="2024-04-09"/>
    <x v="1"/>
    <x v="0"/>
    <x v="0"/>
    <n v="76.81"/>
    <s v="0% off"/>
    <n v="0"/>
    <x v="1"/>
    <x v="1"/>
    <n v="76.81"/>
    <x v="3"/>
    <n v="3"/>
    <s v="Average"/>
  </r>
  <r>
    <s v="89a4c68d-1c35-4581-80ae-983ec37c7506"/>
    <x v="12"/>
    <x v="0"/>
    <x v="62"/>
    <x v="3"/>
    <x v="3"/>
    <s v="2024-04-28"/>
    <x v="5"/>
    <x v="0"/>
    <x v="0"/>
    <n v="211.46"/>
    <s v="5% off"/>
    <n v="10.573"/>
    <x v="0"/>
    <x v="1"/>
    <n v="200.887"/>
    <x v="2"/>
    <n v="1"/>
    <s v="Very Poor"/>
  </r>
  <r>
    <s v="c831b7f6-7ffb-4630-a5e7-874c1fe0f3e9"/>
    <x v="9"/>
    <x v="0"/>
    <x v="63"/>
    <x v="4"/>
    <x v="20"/>
    <s v="2024-08-27"/>
    <x v="1"/>
    <x v="3"/>
    <x v="0"/>
    <n v="260.77999999999997"/>
    <s v="5% off"/>
    <n v="13.039"/>
    <x v="0"/>
    <x v="0"/>
    <n v="247.74099999999999"/>
    <x v="1"/>
    <n v="1"/>
    <s v="Very Poor"/>
  </r>
  <r>
    <s v="19c2bfc5-3a53-464e-bb03-b8e07083d46b"/>
    <x v="19"/>
    <x v="0"/>
    <x v="64"/>
    <x v="4"/>
    <x v="20"/>
    <s v="2024-08-13"/>
    <x v="1"/>
    <x v="3"/>
    <x v="0"/>
    <n v="260.77999999999997"/>
    <s v="5% off"/>
    <n v="13.039"/>
    <x v="0"/>
    <x v="1"/>
    <n v="247.74099999999999"/>
    <x v="2"/>
    <n v="1"/>
    <s v="Very Poor"/>
  </r>
  <r>
    <s v="a650bf1e-ab94-4e9d-ad64-283627e48a1e"/>
    <x v="30"/>
    <x v="1"/>
    <x v="65"/>
    <x v="0"/>
    <x v="0"/>
    <s v="2024-11-02"/>
    <x v="2"/>
    <x v="1"/>
    <x v="0"/>
    <n v="697.86"/>
    <s v="10% off"/>
    <n v="69.786000000000001"/>
    <x v="0"/>
    <x v="1"/>
    <n v="628.07400000000007"/>
    <x v="2"/>
    <n v="4"/>
    <s v="Good"/>
  </r>
  <r>
    <s v="126fda63-37bf-4a3a-bf25-5679baea702f"/>
    <x v="32"/>
    <x v="0"/>
    <x v="66"/>
    <x v="6"/>
    <x v="10"/>
    <s v="2024-08-06"/>
    <x v="1"/>
    <x v="3"/>
    <x v="0"/>
    <n v="782.29"/>
    <s v="15% off"/>
    <n v="117.34349999999999"/>
    <x v="0"/>
    <x v="1"/>
    <n v="664.94650000000001"/>
    <x v="3"/>
    <n v="1"/>
    <s v="Very Poor"/>
  </r>
  <r>
    <s v="4f46bb2c-e73e-4924-bd78-2e49d3f6e95c"/>
    <x v="1"/>
    <x v="0"/>
    <x v="67"/>
    <x v="3"/>
    <x v="3"/>
    <s v="2024-03-27"/>
    <x v="4"/>
    <x v="6"/>
    <x v="0"/>
    <n v="211.46"/>
    <s v="5% off"/>
    <n v="10.573"/>
    <x v="0"/>
    <x v="0"/>
    <n v="200.887"/>
    <x v="3"/>
    <n v="1"/>
    <s v="Very Poor"/>
  </r>
  <r>
    <s v="25abb86f-6e03-4650-9f3b-d54d9baac1d8"/>
    <x v="25"/>
    <x v="1"/>
    <x v="68"/>
    <x v="0"/>
    <x v="11"/>
    <s v="2025-01-27"/>
    <x v="6"/>
    <x v="9"/>
    <x v="1"/>
    <n v="116.78"/>
    <s v="0% off"/>
    <n v="0"/>
    <x v="1"/>
    <x v="0"/>
    <n v="116.78"/>
    <x v="2"/>
    <n v="5"/>
    <s v="Excellent"/>
  </r>
  <r>
    <s v="d7f80161-f922-4dc5-a0ba-bed9be85239f"/>
    <x v="52"/>
    <x v="1"/>
    <x v="69"/>
    <x v="2"/>
    <x v="18"/>
    <s v="2024-07-09"/>
    <x v="1"/>
    <x v="2"/>
    <x v="0"/>
    <n v="492.1"/>
    <s v="5% off"/>
    <n v="24.605000000000004"/>
    <x v="0"/>
    <x v="1"/>
    <n v="467.495"/>
    <x v="3"/>
    <n v="5"/>
    <s v="Excellent"/>
  </r>
  <r>
    <s v="72d8d1b1-eba1-4356-b18f-c9707556e68d"/>
    <x v="48"/>
    <x v="0"/>
    <x v="70"/>
    <x v="1"/>
    <x v="26"/>
    <s v="2024-10-28"/>
    <x v="6"/>
    <x v="5"/>
    <x v="0"/>
    <n v="775.75"/>
    <s v="15% off"/>
    <n v="116.3625"/>
    <x v="0"/>
    <x v="0"/>
    <n v="659.38750000000005"/>
    <x v="1"/>
    <n v="3"/>
    <s v="Average"/>
  </r>
  <r>
    <s v="36d8c61a-3d27-4c54-afb1-95d3fb3d2311"/>
    <x v="50"/>
    <x v="1"/>
    <x v="71"/>
    <x v="1"/>
    <x v="25"/>
    <s v="2024-06-24"/>
    <x v="6"/>
    <x v="11"/>
    <x v="0"/>
    <n v="527.16999999999996"/>
    <s v="10% off"/>
    <n v="52.716999999999999"/>
    <x v="0"/>
    <x v="0"/>
    <n v="474.45299999999997"/>
    <x v="2"/>
    <n v="1"/>
    <s v="Very Poor"/>
  </r>
  <r>
    <s v="a1f9c6c1-75ff-483f-b879-49c62c7e786c"/>
    <x v="30"/>
    <x v="0"/>
    <x v="72"/>
    <x v="2"/>
    <x v="24"/>
    <s v="2024-05-12"/>
    <x v="5"/>
    <x v="4"/>
    <x v="0"/>
    <n v="52.44"/>
    <s v="0% off"/>
    <n v="0"/>
    <x v="1"/>
    <x v="0"/>
    <n v="52.44"/>
    <x v="1"/>
    <n v="1"/>
    <s v="Very Poor"/>
  </r>
  <r>
    <s v="0e9e78ba-1239-4660-abbe-f1b965f61345"/>
    <x v="52"/>
    <x v="1"/>
    <x v="73"/>
    <x v="6"/>
    <x v="13"/>
    <s v="2024-04-11"/>
    <x v="3"/>
    <x v="0"/>
    <x v="0"/>
    <n v="418.55"/>
    <s v="5% off"/>
    <n v="20.927500000000002"/>
    <x v="0"/>
    <x v="1"/>
    <n v="397.6225"/>
    <x v="2"/>
    <n v="2"/>
    <s v="Poor"/>
  </r>
  <r>
    <s v="6b82ec2e-5060-4ae2-8500-3bf42b314944"/>
    <x v="1"/>
    <x v="1"/>
    <x v="74"/>
    <x v="0"/>
    <x v="7"/>
    <s v="2024-08-20"/>
    <x v="1"/>
    <x v="3"/>
    <x v="0"/>
    <n v="78.349999999999994"/>
    <s v="0% off"/>
    <n v="0"/>
    <x v="1"/>
    <x v="1"/>
    <n v="78.349999999999994"/>
    <x v="0"/>
    <n v="5"/>
    <s v="Excellent"/>
  </r>
  <r>
    <s v="2ec251ce-8dc0-4c1d-85a2-ecfe77cb7067"/>
    <x v="29"/>
    <x v="0"/>
    <x v="75"/>
    <x v="3"/>
    <x v="3"/>
    <s v="2025-03-13"/>
    <x v="3"/>
    <x v="6"/>
    <x v="1"/>
    <n v="211.46"/>
    <s v="5% off"/>
    <n v="10.573"/>
    <x v="0"/>
    <x v="0"/>
    <n v="200.887"/>
    <x v="3"/>
    <n v="4"/>
    <s v="Good"/>
  </r>
  <r>
    <s v="53c92334-6238-40de-ab72-2f705d5a3382"/>
    <x v="49"/>
    <x v="1"/>
    <x v="76"/>
    <x v="5"/>
    <x v="8"/>
    <s v="2025-03-10"/>
    <x v="6"/>
    <x v="6"/>
    <x v="1"/>
    <n v="374.92"/>
    <s v="5% off"/>
    <n v="18.746000000000002"/>
    <x v="0"/>
    <x v="0"/>
    <n v="356.17400000000004"/>
    <x v="3"/>
    <n v="3"/>
    <s v="Average"/>
  </r>
  <r>
    <s v="151dd460-1c78-4033-aab9-e5438bb57d16"/>
    <x v="8"/>
    <x v="0"/>
    <x v="77"/>
    <x v="2"/>
    <x v="2"/>
    <s v="2025-02-25"/>
    <x v="1"/>
    <x v="8"/>
    <x v="1"/>
    <n v="493.96"/>
    <s v="5% off"/>
    <n v="24.698"/>
    <x v="0"/>
    <x v="0"/>
    <n v="469.262"/>
    <x v="0"/>
    <n v="1"/>
    <s v="Very Poor"/>
  </r>
  <r>
    <s v="6fc392a5-b27f-4889-b029-31756a5efd8f"/>
    <x v="43"/>
    <x v="0"/>
    <x v="78"/>
    <x v="2"/>
    <x v="27"/>
    <s v="2024-04-12"/>
    <x v="0"/>
    <x v="0"/>
    <x v="0"/>
    <n v="340.04"/>
    <s v="5% off"/>
    <n v="17.002000000000002"/>
    <x v="0"/>
    <x v="0"/>
    <n v="323.03800000000001"/>
    <x v="0"/>
    <n v="3"/>
    <s v="Average"/>
  </r>
  <r>
    <s v="a16a4874-95b4-4322-beee-90964a6cc8f2"/>
    <x v="39"/>
    <x v="0"/>
    <x v="79"/>
    <x v="6"/>
    <x v="13"/>
    <s v="2024-07-21"/>
    <x v="5"/>
    <x v="2"/>
    <x v="0"/>
    <n v="418.55"/>
    <s v="5% off"/>
    <n v="20.927500000000002"/>
    <x v="0"/>
    <x v="0"/>
    <n v="397.6225"/>
    <x v="1"/>
    <n v="5"/>
    <s v="Excellent"/>
  </r>
  <r>
    <s v="78918639-c4b3-4759-bfd1-ab2375026ed7"/>
    <x v="6"/>
    <x v="0"/>
    <x v="80"/>
    <x v="0"/>
    <x v="0"/>
    <s v="2024-09-15"/>
    <x v="5"/>
    <x v="10"/>
    <x v="0"/>
    <n v="697.86"/>
    <s v="10% off"/>
    <n v="69.786000000000001"/>
    <x v="0"/>
    <x v="0"/>
    <n v="628.07400000000007"/>
    <x v="3"/>
    <n v="4"/>
    <s v="Good"/>
  </r>
  <r>
    <s v="cf01e8a7-cf45-4a74-becf-1203ff2d4aae"/>
    <x v="34"/>
    <x v="0"/>
    <x v="81"/>
    <x v="0"/>
    <x v="11"/>
    <s v="2024-10-10"/>
    <x v="3"/>
    <x v="5"/>
    <x v="0"/>
    <n v="116.78"/>
    <s v="0% off"/>
    <n v="0"/>
    <x v="1"/>
    <x v="1"/>
    <n v="116.78"/>
    <x v="1"/>
    <n v="2"/>
    <s v="Poor"/>
  </r>
  <r>
    <s v="c5c89def-27ae-492e-b9f7-b479b8b97ded"/>
    <x v="49"/>
    <x v="1"/>
    <x v="82"/>
    <x v="2"/>
    <x v="2"/>
    <s v="2024-04-15"/>
    <x v="6"/>
    <x v="0"/>
    <x v="0"/>
    <n v="493.96"/>
    <s v="5% off"/>
    <n v="24.698"/>
    <x v="0"/>
    <x v="0"/>
    <n v="469.262"/>
    <x v="2"/>
    <n v="5"/>
    <s v="Excellent"/>
  </r>
  <r>
    <s v="845fc3c3-4d32-4b64-9b80-bc9115100914"/>
    <x v="28"/>
    <x v="1"/>
    <x v="83"/>
    <x v="5"/>
    <x v="9"/>
    <s v="2024-06-19"/>
    <x v="4"/>
    <x v="11"/>
    <x v="0"/>
    <n v="452.97"/>
    <s v="5% off"/>
    <n v="22.648500000000002"/>
    <x v="0"/>
    <x v="1"/>
    <n v="430.32150000000001"/>
    <x v="0"/>
    <n v="5"/>
    <s v="Excellent"/>
  </r>
  <r>
    <s v="8eddbc28-2421-4432-81dd-e7755ae9d707"/>
    <x v="13"/>
    <x v="0"/>
    <x v="84"/>
    <x v="1"/>
    <x v="23"/>
    <s v="2025-03-21"/>
    <x v="0"/>
    <x v="6"/>
    <x v="1"/>
    <n v="362.55"/>
    <s v="5% off"/>
    <n v="18.127500000000001"/>
    <x v="0"/>
    <x v="1"/>
    <n v="344.42250000000001"/>
    <x v="2"/>
    <n v="3"/>
    <s v="Average"/>
  </r>
  <r>
    <s v="a81e3d1b-6dfe-4e70-8bac-6011ddc14f4a"/>
    <x v="13"/>
    <x v="1"/>
    <x v="85"/>
    <x v="4"/>
    <x v="17"/>
    <s v="2024-09-24"/>
    <x v="1"/>
    <x v="10"/>
    <x v="0"/>
    <n v="315.56"/>
    <s v="5% off"/>
    <n v="15.778"/>
    <x v="0"/>
    <x v="1"/>
    <n v="299.78199999999998"/>
    <x v="0"/>
    <n v="1"/>
    <s v="Very Poor"/>
  </r>
  <r>
    <s v="121dc45f-1271-4afa-8d95-d745979fc9d6"/>
    <x v="17"/>
    <x v="1"/>
    <x v="86"/>
    <x v="3"/>
    <x v="19"/>
    <s v="2024-10-14"/>
    <x v="6"/>
    <x v="5"/>
    <x v="0"/>
    <n v="165.68"/>
    <s v="5% off"/>
    <n v="8.2840000000000007"/>
    <x v="0"/>
    <x v="1"/>
    <n v="157.39600000000002"/>
    <x v="2"/>
    <n v="2"/>
    <s v="Poor"/>
  </r>
  <r>
    <s v="28b02891-cc71-431f-ad99-d3e86222d277"/>
    <x v="5"/>
    <x v="0"/>
    <x v="87"/>
    <x v="1"/>
    <x v="1"/>
    <s v="2024-05-31"/>
    <x v="0"/>
    <x v="4"/>
    <x v="0"/>
    <n v="67.040000000000006"/>
    <s v="0% off"/>
    <n v="0"/>
    <x v="1"/>
    <x v="0"/>
    <n v="67.040000000000006"/>
    <x v="2"/>
    <n v="5"/>
    <s v="Excellent"/>
  </r>
  <r>
    <s v="e93bcf6b-db3b-4388-8f00-044eff373515"/>
    <x v="41"/>
    <x v="1"/>
    <x v="88"/>
    <x v="0"/>
    <x v="11"/>
    <s v="2025-01-15"/>
    <x v="4"/>
    <x v="9"/>
    <x v="1"/>
    <n v="116.78"/>
    <s v="0% off"/>
    <n v="0"/>
    <x v="1"/>
    <x v="0"/>
    <n v="116.78"/>
    <x v="2"/>
    <n v="2"/>
    <s v="Poor"/>
  </r>
  <r>
    <s v="a067faf9-5b3d-4944-8140-37935b6a9fe8"/>
    <x v="2"/>
    <x v="0"/>
    <x v="89"/>
    <x v="6"/>
    <x v="14"/>
    <s v="2025-03-19"/>
    <x v="4"/>
    <x v="6"/>
    <x v="1"/>
    <n v="965.09"/>
    <s v="20% off"/>
    <n v="193.01800000000003"/>
    <x v="0"/>
    <x v="1"/>
    <n v="772.072"/>
    <x v="1"/>
    <n v="1"/>
    <s v="Very Poor"/>
  </r>
  <r>
    <s v="e27938ee-f066-4389-ab39-41539b9b2227"/>
    <x v="5"/>
    <x v="1"/>
    <x v="90"/>
    <x v="0"/>
    <x v="7"/>
    <s v="2025-03-26"/>
    <x v="4"/>
    <x v="6"/>
    <x v="1"/>
    <n v="78.349999999999994"/>
    <s v="0% off"/>
    <n v="0"/>
    <x v="1"/>
    <x v="0"/>
    <n v="78.349999999999994"/>
    <x v="2"/>
    <n v="3"/>
    <s v="Average"/>
  </r>
  <r>
    <s v="249ba4b9-3cc0-447a-b307-b1d6ee358ea6"/>
    <x v="27"/>
    <x v="0"/>
    <x v="91"/>
    <x v="6"/>
    <x v="10"/>
    <s v="2024-12-30"/>
    <x v="6"/>
    <x v="7"/>
    <x v="0"/>
    <n v="782.29"/>
    <s v="15% off"/>
    <n v="117.34349999999999"/>
    <x v="0"/>
    <x v="0"/>
    <n v="664.94650000000001"/>
    <x v="2"/>
    <n v="1"/>
    <s v="Very Poor"/>
  </r>
  <r>
    <s v="6bf94f44-0c99-4c6d-aa95-d1fe72367630"/>
    <x v="6"/>
    <x v="0"/>
    <x v="92"/>
    <x v="0"/>
    <x v="0"/>
    <s v="2024-10-03"/>
    <x v="3"/>
    <x v="5"/>
    <x v="0"/>
    <n v="697.86"/>
    <s v="10% off"/>
    <n v="69.786000000000001"/>
    <x v="0"/>
    <x v="0"/>
    <n v="628.07400000000007"/>
    <x v="0"/>
    <n v="3"/>
    <s v="Average"/>
  </r>
  <r>
    <s v="b5c75ff9-a914-4813-84c2-0b750f626fa0"/>
    <x v="45"/>
    <x v="0"/>
    <x v="93"/>
    <x v="5"/>
    <x v="9"/>
    <s v="2024-04-03"/>
    <x v="4"/>
    <x v="0"/>
    <x v="0"/>
    <n v="452.97"/>
    <s v="5% off"/>
    <n v="22.648500000000002"/>
    <x v="0"/>
    <x v="1"/>
    <n v="430.32150000000001"/>
    <x v="3"/>
    <n v="5"/>
    <s v="Excellent"/>
  </r>
  <r>
    <s v="04039de3-5bb6-4a8f-9ff1-736529e30c50"/>
    <x v="18"/>
    <x v="0"/>
    <x v="56"/>
    <x v="6"/>
    <x v="21"/>
    <s v="2024-07-20"/>
    <x v="2"/>
    <x v="2"/>
    <x v="0"/>
    <n v="461.81"/>
    <s v="5% off"/>
    <n v="23.090500000000002"/>
    <x v="0"/>
    <x v="1"/>
    <n v="438.71949999999998"/>
    <x v="3"/>
    <n v="5"/>
    <s v="Excellent"/>
  </r>
  <r>
    <s v="135230b9-5f90-42e2-be65-b5bc10e97a25"/>
    <x v="15"/>
    <x v="0"/>
    <x v="94"/>
    <x v="5"/>
    <x v="6"/>
    <s v="2024-07-03"/>
    <x v="4"/>
    <x v="2"/>
    <x v="0"/>
    <n v="76.81"/>
    <s v="0% off"/>
    <n v="0"/>
    <x v="1"/>
    <x v="1"/>
    <n v="76.81"/>
    <x v="1"/>
    <n v="1"/>
    <s v="Very Poor"/>
  </r>
  <r>
    <s v="c4aa0d6f-143b-4e55-868b-713e2e58ef9b"/>
    <x v="38"/>
    <x v="1"/>
    <x v="89"/>
    <x v="1"/>
    <x v="26"/>
    <s v="2025-01-14"/>
    <x v="1"/>
    <x v="9"/>
    <x v="1"/>
    <n v="775.75"/>
    <s v="15% off"/>
    <n v="116.3625"/>
    <x v="0"/>
    <x v="1"/>
    <n v="659.38750000000005"/>
    <x v="3"/>
    <n v="5"/>
    <s v="Excellent"/>
  </r>
  <r>
    <s v="b5178b4a-e51c-4da1-8409-2e62fdf704c3"/>
    <x v="52"/>
    <x v="1"/>
    <x v="95"/>
    <x v="1"/>
    <x v="25"/>
    <s v="2024-08-14"/>
    <x v="4"/>
    <x v="3"/>
    <x v="0"/>
    <n v="527.16999999999996"/>
    <s v="10% off"/>
    <n v="52.716999999999999"/>
    <x v="0"/>
    <x v="1"/>
    <n v="474.45299999999997"/>
    <x v="0"/>
    <n v="4"/>
    <s v="Good"/>
  </r>
  <r>
    <s v="a08f5798-d3dc-44e9-92d5-030281eaf9c4"/>
    <x v="40"/>
    <x v="1"/>
    <x v="96"/>
    <x v="5"/>
    <x v="9"/>
    <s v="2024-07-17"/>
    <x v="4"/>
    <x v="2"/>
    <x v="0"/>
    <n v="452.97"/>
    <s v="5% off"/>
    <n v="22.648500000000002"/>
    <x v="0"/>
    <x v="0"/>
    <n v="430.32150000000001"/>
    <x v="0"/>
    <n v="5"/>
    <s v="Excellent"/>
  </r>
  <r>
    <s v="acbb2a9f-1642-48f7-af74-9b43fb5d7ca7"/>
    <x v="12"/>
    <x v="0"/>
    <x v="58"/>
    <x v="6"/>
    <x v="14"/>
    <s v="2024-07-04"/>
    <x v="3"/>
    <x v="2"/>
    <x v="0"/>
    <n v="965.09"/>
    <s v="20% off"/>
    <n v="193.01800000000003"/>
    <x v="0"/>
    <x v="0"/>
    <n v="772.072"/>
    <x v="3"/>
    <n v="4"/>
    <s v="Good"/>
  </r>
  <r>
    <s v="d62cf0aa-a404-4e95-830b-9b9e93a66a21"/>
    <x v="0"/>
    <x v="0"/>
    <x v="90"/>
    <x v="1"/>
    <x v="25"/>
    <s v="2024-07-28"/>
    <x v="5"/>
    <x v="2"/>
    <x v="0"/>
    <n v="527.16999999999996"/>
    <s v="10% off"/>
    <n v="52.716999999999999"/>
    <x v="0"/>
    <x v="0"/>
    <n v="474.45299999999997"/>
    <x v="3"/>
    <n v="4"/>
    <s v="Good"/>
  </r>
  <r>
    <s v="1c6555f5-bed4-4292-81f9-66e2ef0f66bc"/>
    <x v="42"/>
    <x v="1"/>
    <x v="91"/>
    <x v="3"/>
    <x v="12"/>
    <s v="2024-10-29"/>
    <x v="1"/>
    <x v="5"/>
    <x v="0"/>
    <n v="270.41000000000003"/>
    <s v="5% off"/>
    <n v="13.520500000000002"/>
    <x v="0"/>
    <x v="0"/>
    <n v="256.8895"/>
    <x v="1"/>
    <n v="4"/>
    <s v="Good"/>
  </r>
  <r>
    <s v="28bdbb57-5790-4911-9dea-22ac5cf7fc0f"/>
    <x v="47"/>
    <x v="1"/>
    <x v="97"/>
    <x v="3"/>
    <x v="15"/>
    <s v="2024-07-15"/>
    <x v="6"/>
    <x v="2"/>
    <x v="0"/>
    <n v="855.21"/>
    <s v="15% off"/>
    <n v="128.28149999999999"/>
    <x v="0"/>
    <x v="1"/>
    <n v="726.92849999999999"/>
    <x v="1"/>
    <n v="4"/>
    <s v="Good"/>
  </r>
  <r>
    <s v="ea712342-6cc5-4f70-aeb7-8419350c528e"/>
    <x v="50"/>
    <x v="0"/>
    <x v="98"/>
    <x v="6"/>
    <x v="21"/>
    <s v="2024-07-11"/>
    <x v="3"/>
    <x v="2"/>
    <x v="0"/>
    <n v="461.81"/>
    <s v="5% off"/>
    <n v="23.090500000000002"/>
    <x v="0"/>
    <x v="0"/>
    <n v="438.71949999999998"/>
    <x v="1"/>
    <n v="1"/>
    <s v="Very Poor"/>
  </r>
  <r>
    <s v="9cba27d1-02af-4471-bb07-46c542472954"/>
    <x v="35"/>
    <x v="1"/>
    <x v="99"/>
    <x v="5"/>
    <x v="6"/>
    <s v="2025-02-11"/>
    <x v="1"/>
    <x v="8"/>
    <x v="1"/>
    <n v="76.81"/>
    <s v="0% off"/>
    <n v="0"/>
    <x v="1"/>
    <x v="1"/>
    <n v="76.81"/>
    <x v="1"/>
    <n v="2"/>
    <s v="Poor"/>
  </r>
  <r>
    <s v="df0ade44-8335-41bd-982b-21f4e0feac8d"/>
    <x v="22"/>
    <x v="0"/>
    <x v="100"/>
    <x v="4"/>
    <x v="5"/>
    <s v="2024-08-07"/>
    <x v="4"/>
    <x v="3"/>
    <x v="0"/>
    <n v="988.77"/>
    <s v="20% off"/>
    <n v="197.75400000000002"/>
    <x v="0"/>
    <x v="1"/>
    <n v="791.01599999999996"/>
    <x v="2"/>
    <n v="4"/>
    <s v="Good"/>
  </r>
  <r>
    <s v="fe1ca214-7b0f-4698-a942-c6d446fb0aa8"/>
    <x v="12"/>
    <x v="1"/>
    <x v="101"/>
    <x v="2"/>
    <x v="2"/>
    <s v="2025-02-01"/>
    <x v="2"/>
    <x v="8"/>
    <x v="1"/>
    <n v="493.96"/>
    <s v="5% off"/>
    <n v="24.698"/>
    <x v="0"/>
    <x v="0"/>
    <n v="469.262"/>
    <x v="2"/>
    <n v="4"/>
    <s v="Good"/>
  </r>
  <r>
    <s v="e76d44bd-eb92-4e12-8070-a62bfd54a182"/>
    <x v="30"/>
    <x v="0"/>
    <x v="102"/>
    <x v="4"/>
    <x v="20"/>
    <s v="2024-10-31"/>
    <x v="3"/>
    <x v="5"/>
    <x v="0"/>
    <n v="260.77999999999997"/>
    <s v="5% off"/>
    <n v="13.039"/>
    <x v="0"/>
    <x v="0"/>
    <n v="247.74099999999999"/>
    <x v="3"/>
    <n v="1"/>
    <s v="Very Poor"/>
  </r>
  <r>
    <s v="67241884-3d28-4eba-b35c-98da6e99d58f"/>
    <x v="34"/>
    <x v="1"/>
    <x v="103"/>
    <x v="0"/>
    <x v="22"/>
    <s v="2024-05-29"/>
    <x v="4"/>
    <x v="4"/>
    <x v="0"/>
    <n v="485.26"/>
    <s v="5% off"/>
    <n v="24.263000000000002"/>
    <x v="0"/>
    <x v="0"/>
    <n v="460.99700000000001"/>
    <x v="1"/>
    <n v="5"/>
    <s v="Excellent"/>
  </r>
  <r>
    <s v="bb42fe39-6323-4336-82e0-a2ddcc0c118a"/>
    <x v="44"/>
    <x v="0"/>
    <x v="104"/>
    <x v="5"/>
    <x v="9"/>
    <s v="2025-03-10"/>
    <x v="6"/>
    <x v="6"/>
    <x v="1"/>
    <n v="452.97"/>
    <s v="5% off"/>
    <n v="22.648500000000002"/>
    <x v="0"/>
    <x v="0"/>
    <n v="430.32150000000001"/>
    <x v="0"/>
    <n v="1"/>
    <s v="Very Poor"/>
  </r>
  <r>
    <s v="8ff3c411-848b-445f-8370-70599d362612"/>
    <x v="35"/>
    <x v="0"/>
    <x v="105"/>
    <x v="5"/>
    <x v="8"/>
    <s v="2024-08-17"/>
    <x v="2"/>
    <x v="3"/>
    <x v="0"/>
    <n v="374.92"/>
    <s v="5% off"/>
    <n v="18.746000000000002"/>
    <x v="0"/>
    <x v="1"/>
    <n v="356.17400000000004"/>
    <x v="2"/>
    <n v="3"/>
    <s v="Average"/>
  </r>
  <r>
    <s v="8d4b020b-b4fd-4dab-badb-63c506a24378"/>
    <x v="8"/>
    <x v="0"/>
    <x v="106"/>
    <x v="0"/>
    <x v="22"/>
    <s v="2025-03-07"/>
    <x v="0"/>
    <x v="6"/>
    <x v="1"/>
    <n v="485.26"/>
    <s v="5% off"/>
    <n v="24.263000000000002"/>
    <x v="0"/>
    <x v="0"/>
    <n v="460.99700000000001"/>
    <x v="2"/>
    <n v="4"/>
    <s v="Good"/>
  </r>
  <r>
    <s v="1edcf703-a492-42aa-a222-0db0292521f8"/>
    <x v="22"/>
    <x v="1"/>
    <x v="89"/>
    <x v="5"/>
    <x v="16"/>
    <s v="2024-07-01"/>
    <x v="6"/>
    <x v="2"/>
    <x v="0"/>
    <n v="592.26"/>
    <s v="10% off"/>
    <n v="59.225999999999999"/>
    <x v="0"/>
    <x v="0"/>
    <n v="533.03399999999999"/>
    <x v="0"/>
    <n v="2"/>
    <s v="Poor"/>
  </r>
  <r>
    <s v="1ab11ee0-555b-43fb-bbc4-448fcea51dcf"/>
    <x v="35"/>
    <x v="0"/>
    <x v="107"/>
    <x v="5"/>
    <x v="8"/>
    <s v="2024-10-25"/>
    <x v="0"/>
    <x v="5"/>
    <x v="0"/>
    <n v="374.92"/>
    <s v="5% off"/>
    <n v="18.746000000000002"/>
    <x v="0"/>
    <x v="1"/>
    <n v="356.17400000000004"/>
    <x v="0"/>
    <n v="5"/>
    <s v="Excellent"/>
  </r>
  <r>
    <s v="5e973d7c-2f80-40c8-8571-6926f199a760"/>
    <x v="9"/>
    <x v="0"/>
    <x v="108"/>
    <x v="6"/>
    <x v="10"/>
    <s v="2024-10-21"/>
    <x v="6"/>
    <x v="5"/>
    <x v="0"/>
    <n v="782.29"/>
    <s v="15% off"/>
    <n v="117.34349999999999"/>
    <x v="0"/>
    <x v="0"/>
    <n v="664.94650000000001"/>
    <x v="0"/>
    <n v="3"/>
    <s v="Average"/>
  </r>
  <r>
    <s v="c8eb5699-6056-4052-bae4-2886cbdf744e"/>
    <x v="8"/>
    <x v="0"/>
    <x v="109"/>
    <x v="4"/>
    <x v="17"/>
    <s v="2024-12-26"/>
    <x v="3"/>
    <x v="7"/>
    <x v="0"/>
    <n v="315.56"/>
    <s v="5% off"/>
    <n v="15.778"/>
    <x v="0"/>
    <x v="0"/>
    <n v="299.78199999999998"/>
    <x v="0"/>
    <n v="2"/>
    <s v="Poor"/>
  </r>
  <r>
    <s v="29c8e050-bd4d-49f5-8990-18ae10b7fdd2"/>
    <x v="7"/>
    <x v="1"/>
    <x v="110"/>
    <x v="3"/>
    <x v="19"/>
    <s v="2024-07-15"/>
    <x v="6"/>
    <x v="2"/>
    <x v="0"/>
    <n v="165.68"/>
    <s v="5% off"/>
    <n v="8.2840000000000007"/>
    <x v="0"/>
    <x v="1"/>
    <n v="157.39600000000002"/>
    <x v="3"/>
    <n v="5"/>
    <s v="Excellent"/>
  </r>
  <r>
    <s v="c4858d84-4075-44dc-8220-3a5b941b9314"/>
    <x v="31"/>
    <x v="0"/>
    <x v="111"/>
    <x v="3"/>
    <x v="19"/>
    <s v="2025-01-31"/>
    <x v="0"/>
    <x v="9"/>
    <x v="1"/>
    <n v="165.68"/>
    <s v="5% off"/>
    <n v="8.2840000000000007"/>
    <x v="0"/>
    <x v="1"/>
    <n v="157.39600000000002"/>
    <x v="1"/>
    <n v="4"/>
    <s v="Good"/>
  </r>
  <r>
    <s v="c237b4f7-6e9e-4cd7-a298-6fbd02242a9d"/>
    <x v="21"/>
    <x v="0"/>
    <x v="59"/>
    <x v="3"/>
    <x v="3"/>
    <s v="2024-11-28"/>
    <x v="3"/>
    <x v="1"/>
    <x v="0"/>
    <n v="211.46"/>
    <s v="5% off"/>
    <n v="10.573"/>
    <x v="0"/>
    <x v="1"/>
    <n v="200.887"/>
    <x v="0"/>
    <n v="2"/>
    <s v="Poor"/>
  </r>
  <r>
    <s v="aa7d5d1d-9948-4d5a-8730-af9a974b5a1a"/>
    <x v="11"/>
    <x v="1"/>
    <x v="112"/>
    <x v="4"/>
    <x v="4"/>
    <s v="2024-04-30"/>
    <x v="1"/>
    <x v="0"/>
    <x v="0"/>
    <n v="512.94000000000005"/>
    <s v="10% off"/>
    <n v="51.294000000000011"/>
    <x v="0"/>
    <x v="1"/>
    <n v="461.64600000000007"/>
    <x v="2"/>
    <n v="1"/>
    <s v="Very Poor"/>
  </r>
  <r>
    <s v="a22b3e01-597f-417c-a734-5a33c80b0e41"/>
    <x v="22"/>
    <x v="0"/>
    <x v="113"/>
    <x v="4"/>
    <x v="20"/>
    <s v="2025-02-18"/>
    <x v="1"/>
    <x v="8"/>
    <x v="1"/>
    <n v="260.77999999999997"/>
    <s v="5% off"/>
    <n v="13.039"/>
    <x v="0"/>
    <x v="1"/>
    <n v="247.74099999999999"/>
    <x v="0"/>
    <n v="3"/>
    <s v="Average"/>
  </r>
  <r>
    <s v="e4b5ba60-2987-40b7-8923-7dfe0a07afe7"/>
    <x v="26"/>
    <x v="0"/>
    <x v="114"/>
    <x v="0"/>
    <x v="7"/>
    <s v="2024-07-16"/>
    <x v="1"/>
    <x v="2"/>
    <x v="0"/>
    <n v="78.349999999999994"/>
    <s v="0% off"/>
    <n v="0"/>
    <x v="1"/>
    <x v="0"/>
    <n v="78.349999999999994"/>
    <x v="1"/>
    <n v="3"/>
    <s v="Average"/>
  </r>
  <r>
    <s v="349c6def-c21c-47e2-92f8-620d824534cd"/>
    <x v="12"/>
    <x v="1"/>
    <x v="115"/>
    <x v="0"/>
    <x v="22"/>
    <s v="2024-05-27"/>
    <x v="6"/>
    <x v="4"/>
    <x v="0"/>
    <n v="485.26"/>
    <s v="5% off"/>
    <n v="24.263000000000002"/>
    <x v="0"/>
    <x v="0"/>
    <n v="460.99700000000001"/>
    <x v="2"/>
    <n v="5"/>
    <s v="Excellent"/>
  </r>
  <r>
    <s v="96256efe-9f9f-48d1-893c-732b09f43d77"/>
    <x v="22"/>
    <x v="0"/>
    <x v="116"/>
    <x v="5"/>
    <x v="6"/>
    <s v="2025-02-23"/>
    <x v="5"/>
    <x v="8"/>
    <x v="1"/>
    <n v="76.81"/>
    <s v="0% off"/>
    <n v="0"/>
    <x v="1"/>
    <x v="1"/>
    <n v="76.81"/>
    <x v="0"/>
    <n v="2"/>
    <s v="Poor"/>
  </r>
  <r>
    <s v="aef7f9f9-7748-4813-9f58-ad3ec8359a76"/>
    <x v="36"/>
    <x v="1"/>
    <x v="117"/>
    <x v="4"/>
    <x v="4"/>
    <s v="2024-12-14"/>
    <x v="2"/>
    <x v="7"/>
    <x v="0"/>
    <n v="512.94000000000005"/>
    <s v="10% off"/>
    <n v="51.294000000000011"/>
    <x v="0"/>
    <x v="0"/>
    <n v="461.64600000000007"/>
    <x v="1"/>
    <n v="1"/>
    <s v="Very Poor"/>
  </r>
  <r>
    <s v="c7b5c068-ea71-4858-bf0b-7812b204ce54"/>
    <x v="7"/>
    <x v="1"/>
    <x v="118"/>
    <x v="0"/>
    <x v="11"/>
    <s v="2024-07-03"/>
    <x v="4"/>
    <x v="2"/>
    <x v="0"/>
    <n v="116.78"/>
    <s v="0% off"/>
    <n v="0"/>
    <x v="1"/>
    <x v="1"/>
    <n v="116.78"/>
    <x v="0"/>
    <n v="4"/>
    <s v="Good"/>
  </r>
  <r>
    <s v="68aa8075-6c3b-400e-aa09-4fa7027e35b2"/>
    <x v="4"/>
    <x v="0"/>
    <x v="119"/>
    <x v="3"/>
    <x v="15"/>
    <s v="2024-11-18"/>
    <x v="6"/>
    <x v="1"/>
    <x v="0"/>
    <n v="855.21"/>
    <s v="15% off"/>
    <n v="128.28149999999999"/>
    <x v="0"/>
    <x v="0"/>
    <n v="726.92849999999999"/>
    <x v="3"/>
    <n v="2"/>
    <s v="Poor"/>
  </r>
  <r>
    <s v="85f7c92f-903b-4555-a217-ea87900f9ac7"/>
    <x v="33"/>
    <x v="1"/>
    <x v="120"/>
    <x v="3"/>
    <x v="12"/>
    <s v="2025-02-05"/>
    <x v="4"/>
    <x v="8"/>
    <x v="1"/>
    <n v="270.41000000000003"/>
    <s v="5% off"/>
    <n v="13.520500000000002"/>
    <x v="0"/>
    <x v="0"/>
    <n v="256.8895"/>
    <x v="0"/>
    <n v="2"/>
    <s v="Poor"/>
  </r>
  <r>
    <s v="21945bb4-4555-4b94-8c53-6855a1900542"/>
    <x v="34"/>
    <x v="1"/>
    <x v="121"/>
    <x v="1"/>
    <x v="23"/>
    <s v="2024-05-24"/>
    <x v="0"/>
    <x v="4"/>
    <x v="0"/>
    <n v="362.55"/>
    <s v="5% off"/>
    <n v="18.127500000000001"/>
    <x v="0"/>
    <x v="1"/>
    <n v="344.42250000000001"/>
    <x v="1"/>
    <n v="1"/>
    <s v="Very Poor"/>
  </r>
  <r>
    <s v="10d2680d-c397-4011-9bfa-7fb8511b5d13"/>
    <x v="37"/>
    <x v="0"/>
    <x v="122"/>
    <x v="2"/>
    <x v="27"/>
    <s v="2025-02-04"/>
    <x v="1"/>
    <x v="8"/>
    <x v="1"/>
    <n v="340.04"/>
    <s v="5% off"/>
    <n v="17.002000000000002"/>
    <x v="0"/>
    <x v="0"/>
    <n v="323.03800000000001"/>
    <x v="2"/>
    <n v="1"/>
    <s v="Very Poor"/>
  </r>
  <r>
    <s v="11eed2b8-42db-43b2-8e0c-c64ca5d6b6e9"/>
    <x v="9"/>
    <x v="0"/>
    <x v="123"/>
    <x v="1"/>
    <x v="23"/>
    <s v="2024-05-19"/>
    <x v="5"/>
    <x v="4"/>
    <x v="0"/>
    <n v="362.55"/>
    <s v="5% off"/>
    <n v="18.127500000000001"/>
    <x v="0"/>
    <x v="1"/>
    <n v="344.42250000000001"/>
    <x v="3"/>
    <n v="3"/>
    <s v="Average"/>
  </r>
  <r>
    <s v="e71445e3-f757-4b75-824d-a18025d4f1ce"/>
    <x v="32"/>
    <x v="0"/>
    <x v="124"/>
    <x v="5"/>
    <x v="6"/>
    <s v="2024-10-10"/>
    <x v="3"/>
    <x v="5"/>
    <x v="0"/>
    <n v="76.81"/>
    <s v="0% off"/>
    <n v="0"/>
    <x v="1"/>
    <x v="1"/>
    <n v="76.81"/>
    <x v="2"/>
    <n v="2"/>
    <s v="Poor"/>
  </r>
  <r>
    <s v="1d944b0e-a2b8-4fc7-84d6-eaffdb4f8648"/>
    <x v="17"/>
    <x v="0"/>
    <x v="125"/>
    <x v="0"/>
    <x v="22"/>
    <s v="2025-01-23"/>
    <x v="3"/>
    <x v="9"/>
    <x v="1"/>
    <n v="485.26"/>
    <s v="5% off"/>
    <n v="24.263000000000002"/>
    <x v="0"/>
    <x v="0"/>
    <n v="460.99700000000001"/>
    <x v="1"/>
    <n v="3"/>
    <s v="Average"/>
  </r>
  <r>
    <s v="c4628343-f88d-4cf5-899e-3ed738ed1bf3"/>
    <x v="43"/>
    <x v="0"/>
    <x v="126"/>
    <x v="6"/>
    <x v="13"/>
    <s v="2024-09-30"/>
    <x v="6"/>
    <x v="10"/>
    <x v="0"/>
    <n v="418.55"/>
    <s v="5% off"/>
    <n v="20.927500000000002"/>
    <x v="0"/>
    <x v="0"/>
    <n v="397.6225"/>
    <x v="1"/>
    <n v="4"/>
    <s v="Good"/>
  </r>
  <r>
    <s v="798040f8-2f4f-41e4-98ec-075174158c24"/>
    <x v="19"/>
    <x v="1"/>
    <x v="127"/>
    <x v="3"/>
    <x v="3"/>
    <s v="2024-08-23"/>
    <x v="0"/>
    <x v="3"/>
    <x v="0"/>
    <n v="211.46"/>
    <s v="5% off"/>
    <n v="10.573"/>
    <x v="0"/>
    <x v="1"/>
    <n v="200.887"/>
    <x v="0"/>
    <n v="3"/>
    <s v="Average"/>
  </r>
  <r>
    <s v="93d46abd-b10c-4c0a-9cd2-7a1b72a6df10"/>
    <x v="36"/>
    <x v="1"/>
    <x v="128"/>
    <x v="4"/>
    <x v="4"/>
    <s v="2024-12-24"/>
    <x v="1"/>
    <x v="7"/>
    <x v="0"/>
    <n v="512.94000000000005"/>
    <s v="10% off"/>
    <n v="51.294000000000011"/>
    <x v="0"/>
    <x v="1"/>
    <n v="461.64600000000007"/>
    <x v="0"/>
    <n v="5"/>
    <s v="Excellent"/>
  </r>
  <r>
    <s v="eea11611-c8e8-42dd-b14b-8096d17930e3"/>
    <x v="50"/>
    <x v="1"/>
    <x v="129"/>
    <x v="4"/>
    <x v="5"/>
    <s v="2024-09-04"/>
    <x v="4"/>
    <x v="10"/>
    <x v="0"/>
    <n v="988.77"/>
    <s v="20% off"/>
    <n v="197.75400000000002"/>
    <x v="0"/>
    <x v="1"/>
    <n v="791.01599999999996"/>
    <x v="3"/>
    <n v="3"/>
    <s v="Average"/>
  </r>
  <r>
    <s v="8c32c306-9547-41f6-9c6c-2ab7ccfd5df9"/>
    <x v="30"/>
    <x v="0"/>
    <x v="130"/>
    <x v="6"/>
    <x v="13"/>
    <s v="2024-05-01"/>
    <x v="4"/>
    <x v="4"/>
    <x v="0"/>
    <n v="418.55"/>
    <s v="5% off"/>
    <n v="20.927500000000002"/>
    <x v="0"/>
    <x v="0"/>
    <n v="397.6225"/>
    <x v="3"/>
    <n v="4"/>
    <s v="Good"/>
  </r>
  <r>
    <s v="4f34d8d2-265d-4c87-a138-a7d753c4eec8"/>
    <x v="2"/>
    <x v="1"/>
    <x v="131"/>
    <x v="0"/>
    <x v="7"/>
    <s v="2025-03-13"/>
    <x v="3"/>
    <x v="6"/>
    <x v="1"/>
    <n v="78.349999999999994"/>
    <s v="0% off"/>
    <n v="0"/>
    <x v="1"/>
    <x v="1"/>
    <n v="78.349999999999994"/>
    <x v="0"/>
    <n v="4"/>
    <s v="Good"/>
  </r>
  <r>
    <s v="99f1807f-b85e-4e1d-af52-3242d8840464"/>
    <x v="50"/>
    <x v="0"/>
    <x v="132"/>
    <x v="4"/>
    <x v="20"/>
    <s v="2025-02-17"/>
    <x v="6"/>
    <x v="8"/>
    <x v="1"/>
    <n v="260.77999999999997"/>
    <s v="5% off"/>
    <n v="13.039"/>
    <x v="0"/>
    <x v="1"/>
    <n v="247.74099999999999"/>
    <x v="3"/>
    <n v="3"/>
    <s v="Average"/>
  </r>
  <r>
    <s v="6c353d87-5be2-4154-bdd4-690949b4919b"/>
    <x v="30"/>
    <x v="0"/>
    <x v="72"/>
    <x v="6"/>
    <x v="13"/>
    <s v="2024-07-01"/>
    <x v="6"/>
    <x v="2"/>
    <x v="0"/>
    <n v="418.55"/>
    <s v="5% off"/>
    <n v="20.927500000000002"/>
    <x v="0"/>
    <x v="0"/>
    <n v="397.6225"/>
    <x v="1"/>
    <n v="5"/>
    <s v="Excellent"/>
  </r>
  <r>
    <s v="055b4cf8-3f7a-41cb-bb4b-6283864bf1cf"/>
    <x v="28"/>
    <x v="1"/>
    <x v="75"/>
    <x v="6"/>
    <x v="21"/>
    <s v="2024-10-16"/>
    <x v="4"/>
    <x v="5"/>
    <x v="0"/>
    <n v="461.81"/>
    <s v="5% off"/>
    <n v="23.090500000000002"/>
    <x v="0"/>
    <x v="0"/>
    <n v="438.71949999999998"/>
    <x v="1"/>
    <n v="1"/>
    <s v="Very Poor"/>
  </r>
  <r>
    <s v="b36b7e06-95da-496a-b4a4-355b025e4c78"/>
    <x v="34"/>
    <x v="0"/>
    <x v="76"/>
    <x v="6"/>
    <x v="10"/>
    <s v="2024-10-13"/>
    <x v="5"/>
    <x v="5"/>
    <x v="0"/>
    <n v="782.29"/>
    <s v="15% off"/>
    <n v="117.34349999999999"/>
    <x v="0"/>
    <x v="1"/>
    <n v="664.94650000000001"/>
    <x v="1"/>
    <n v="2"/>
    <s v="Poor"/>
  </r>
  <r>
    <s v="d7931c68-83b8-42f0-b85e-51b3071e3e01"/>
    <x v="31"/>
    <x v="0"/>
    <x v="133"/>
    <x v="3"/>
    <x v="3"/>
    <s v="2024-06-18"/>
    <x v="1"/>
    <x v="11"/>
    <x v="0"/>
    <n v="211.46"/>
    <s v="5% off"/>
    <n v="10.573"/>
    <x v="0"/>
    <x v="0"/>
    <n v="200.887"/>
    <x v="0"/>
    <n v="4"/>
    <s v="Good"/>
  </r>
  <r>
    <s v="f51259d7-bc27-4d17-8300-f614f5ada2e4"/>
    <x v="18"/>
    <x v="1"/>
    <x v="134"/>
    <x v="0"/>
    <x v="22"/>
    <s v="2024-11-26"/>
    <x v="1"/>
    <x v="1"/>
    <x v="0"/>
    <n v="485.26"/>
    <s v="5% off"/>
    <n v="24.263000000000002"/>
    <x v="0"/>
    <x v="0"/>
    <n v="460.99700000000001"/>
    <x v="3"/>
    <n v="5"/>
    <s v="Excellent"/>
  </r>
  <r>
    <s v="18710a08-7456-47cb-9338-2d22722f6a67"/>
    <x v="1"/>
    <x v="1"/>
    <x v="135"/>
    <x v="4"/>
    <x v="5"/>
    <s v="2024-10-07"/>
    <x v="6"/>
    <x v="5"/>
    <x v="0"/>
    <n v="988.77"/>
    <s v="20% off"/>
    <n v="197.75400000000002"/>
    <x v="0"/>
    <x v="0"/>
    <n v="791.01599999999996"/>
    <x v="3"/>
    <n v="5"/>
    <s v="Excellent"/>
  </r>
  <r>
    <s v="13c0e4c7-9314-403f-983a-2bf6ec3cd6c8"/>
    <x v="29"/>
    <x v="1"/>
    <x v="136"/>
    <x v="1"/>
    <x v="26"/>
    <s v="2025-02-23"/>
    <x v="5"/>
    <x v="8"/>
    <x v="1"/>
    <n v="775.75"/>
    <s v="15% off"/>
    <n v="116.3625"/>
    <x v="0"/>
    <x v="1"/>
    <n v="659.38750000000005"/>
    <x v="0"/>
    <n v="1"/>
    <s v="Very Poor"/>
  </r>
  <r>
    <s v="12c7d952-0f08-490f-b121-522d2958c46e"/>
    <x v="19"/>
    <x v="0"/>
    <x v="137"/>
    <x v="5"/>
    <x v="8"/>
    <s v="2024-09-09"/>
    <x v="6"/>
    <x v="10"/>
    <x v="0"/>
    <n v="374.92"/>
    <s v="5% off"/>
    <n v="18.746000000000002"/>
    <x v="0"/>
    <x v="1"/>
    <n v="356.17400000000004"/>
    <x v="1"/>
    <n v="5"/>
    <s v="Excellent"/>
  </r>
  <r>
    <s v="d3465d83-3183-4de0-824a-898c3588aeaf"/>
    <x v="25"/>
    <x v="0"/>
    <x v="0"/>
    <x v="6"/>
    <x v="13"/>
    <s v="2025-02-04"/>
    <x v="1"/>
    <x v="8"/>
    <x v="1"/>
    <n v="418.55"/>
    <s v="5% off"/>
    <n v="20.927500000000002"/>
    <x v="0"/>
    <x v="1"/>
    <n v="397.6225"/>
    <x v="0"/>
    <n v="3"/>
    <s v="Average"/>
  </r>
  <r>
    <s v="67f09fc0-a987-44ce-80be-d474d7103078"/>
    <x v="25"/>
    <x v="1"/>
    <x v="1"/>
    <x v="3"/>
    <x v="19"/>
    <s v="2024-08-10"/>
    <x v="2"/>
    <x v="3"/>
    <x v="0"/>
    <n v="165.68"/>
    <s v="5% off"/>
    <n v="8.2840000000000007"/>
    <x v="0"/>
    <x v="0"/>
    <n v="157.39600000000002"/>
    <x v="2"/>
    <n v="5"/>
    <s v="Excellent"/>
  </r>
  <r>
    <s v="3e73598f-99a5-4189-80b0-5dc30672ef71"/>
    <x v="47"/>
    <x v="1"/>
    <x v="2"/>
    <x v="0"/>
    <x v="11"/>
    <s v="2025-02-03"/>
    <x v="6"/>
    <x v="8"/>
    <x v="1"/>
    <n v="116.78"/>
    <s v="0% off"/>
    <n v="0"/>
    <x v="1"/>
    <x v="1"/>
    <n v="116.78"/>
    <x v="3"/>
    <n v="5"/>
    <s v="Excellent"/>
  </r>
  <r>
    <s v="dbd44c38-ae4c-402c-9ca4-8a957273bc1f"/>
    <x v="42"/>
    <x v="1"/>
    <x v="3"/>
    <x v="2"/>
    <x v="24"/>
    <s v="2024-12-22"/>
    <x v="5"/>
    <x v="7"/>
    <x v="0"/>
    <n v="52.44"/>
    <s v="0% off"/>
    <n v="0"/>
    <x v="1"/>
    <x v="1"/>
    <n v="52.44"/>
    <x v="0"/>
    <n v="3"/>
    <s v="Average"/>
  </r>
  <r>
    <s v="7a3808f7-33e8-411e-b216-92c7f4f29e6b"/>
    <x v="31"/>
    <x v="1"/>
    <x v="4"/>
    <x v="4"/>
    <x v="17"/>
    <s v="2025-03-24"/>
    <x v="6"/>
    <x v="6"/>
    <x v="1"/>
    <n v="315.56"/>
    <s v="5% off"/>
    <n v="15.778"/>
    <x v="0"/>
    <x v="1"/>
    <n v="299.78199999999998"/>
    <x v="0"/>
    <n v="4"/>
    <s v="Good"/>
  </r>
  <r>
    <s v="66e18795-4f89-4afb-a0e6-31a4eb228917"/>
    <x v="48"/>
    <x v="0"/>
    <x v="5"/>
    <x v="1"/>
    <x v="1"/>
    <s v="2025-03-01"/>
    <x v="2"/>
    <x v="6"/>
    <x v="1"/>
    <n v="67.040000000000006"/>
    <s v="0% off"/>
    <n v="0"/>
    <x v="1"/>
    <x v="1"/>
    <n v="67.040000000000006"/>
    <x v="2"/>
    <n v="3"/>
    <s v="Average"/>
  </r>
  <r>
    <s v="a7b4e797-4a95-4e25-bd94-cccd3169d2a2"/>
    <x v="7"/>
    <x v="1"/>
    <x v="6"/>
    <x v="4"/>
    <x v="5"/>
    <s v="2025-02-28"/>
    <x v="0"/>
    <x v="8"/>
    <x v="1"/>
    <n v="988.77"/>
    <s v="20% off"/>
    <n v="197.75400000000002"/>
    <x v="0"/>
    <x v="1"/>
    <n v="791.01599999999996"/>
    <x v="1"/>
    <n v="3"/>
    <s v="Average"/>
  </r>
  <r>
    <s v="86c00be7-38f3-4374-a496-2e8fe8c76f32"/>
    <x v="36"/>
    <x v="0"/>
    <x v="7"/>
    <x v="2"/>
    <x v="18"/>
    <s v="2025-03-17"/>
    <x v="6"/>
    <x v="6"/>
    <x v="1"/>
    <n v="492.1"/>
    <s v="5% off"/>
    <n v="24.605000000000004"/>
    <x v="0"/>
    <x v="1"/>
    <n v="467.495"/>
    <x v="1"/>
    <n v="2"/>
    <s v="Poor"/>
  </r>
  <r>
    <s v="4decdad0-d6de-4aaa-8956-a8e5bf7eaf10"/>
    <x v="32"/>
    <x v="0"/>
    <x v="8"/>
    <x v="5"/>
    <x v="8"/>
    <s v="2024-08-11"/>
    <x v="5"/>
    <x v="3"/>
    <x v="0"/>
    <n v="374.92"/>
    <s v="5% off"/>
    <n v="18.746000000000002"/>
    <x v="0"/>
    <x v="1"/>
    <n v="356.17400000000004"/>
    <x v="2"/>
    <n v="2"/>
    <s v="Poor"/>
  </r>
  <r>
    <s v="416303ea-ab94-40cf-aa17-5be206f8c586"/>
    <x v="52"/>
    <x v="0"/>
    <x v="9"/>
    <x v="1"/>
    <x v="26"/>
    <s v="2025-01-30"/>
    <x v="3"/>
    <x v="9"/>
    <x v="1"/>
    <n v="775.75"/>
    <s v="15% off"/>
    <n v="116.3625"/>
    <x v="0"/>
    <x v="1"/>
    <n v="659.38750000000005"/>
    <x v="0"/>
    <n v="2"/>
    <s v="Poor"/>
  </r>
  <r>
    <s v="cc24421c-42e9-4c03-a02f-df8bec6e1b39"/>
    <x v="50"/>
    <x v="0"/>
    <x v="10"/>
    <x v="1"/>
    <x v="26"/>
    <s v="2024-11-07"/>
    <x v="3"/>
    <x v="1"/>
    <x v="0"/>
    <n v="775.75"/>
    <s v="15% off"/>
    <n v="116.3625"/>
    <x v="0"/>
    <x v="0"/>
    <n v="659.38750000000005"/>
    <x v="3"/>
    <n v="1"/>
    <s v="Very Poor"/>
  </r>
  <r>
    <s v="78f5c6af-da3b-4f20-9428-5a518979298e"/>
    <x v="21"/>
    <x v="1"/>
    <x v="11"/>
    <x v="3"/>
    <x v="12"/>
    <s v="2024-05-31"/>
    <x v="0"/>
    <x v="4"/>
    <x v="0"/>
    <n v="270.41000000000003"/>
    <s v="5% off"/>
    <n v="13.520500000000002"/>
    <x v="0"/>
    <x v="1"/>
    <n v="256.8895"/>
    <x v="2"/>
    <n v="4"/>
    <s v="Good"/>
  </r>
  <r>
    <s v="6be3b336-1d73-49d0-a90c-4c1e10731ced"/>
    <x v="14"/>
    <x v="1"/>
    <x v="12"/>
    <x v="0"/>
    <x v="0"/>
    <s v="2024-10-08"/>
    <x v="1"/>
    <x v="5"/>
    <x v="0"/>
    <n v="697.86"/>
    <s v="10% off"/>
    <n v="69.786000000000001"/>
    <x v="0"/>
    <x v="1"/>
    <n v="628.07400000000007"/>
    <x v="3"/>
    <n v="1"/>
    <s v="Very Poor"/>
  </r>
  <r>
    <s v="9effd0f9-bb2b-48d2-aa83-fd03c836682a"/>
    <x v="45"/>
    <x v="1"/>
    <x v="13"/>
    <x v="1"/>
    <x v="23"/>
    <s v="2024-04-02"/>
    <x v="1"/>
    <x v="0"/>
    <x v="0"/>
    <n v="362.55"/>
    <s v="5% off"/>
    <n v="18.127500000000001"/>
    <x v="0"/>
    <x v="1"/>
    <n v="344.42250000000001"/>
    <x v="2"/>
    <n v="5"/>
    <s v="Excellent"/>
  </r>
  <r>
    <s v="e92e6c3f-5f06-4f5e-b674-89c954893d59"/>
    <x v="19"/>
    <x v="0"/>
    <x v="14"/>
    <x v="0"/>
    <x v="0"/>
    <s v="2024-12-01"/>
    <x v="5"/>
    <x v="7"/>
    <x v="0"/>
    <n v="697.86"/>
    <s v="10% off"/>
    <n v="69.786000000000001"/>
    <x v="0"/>
    <x v="1"/>
    <n v="628.07400000000007"/>
    <x v="3"/>
    <n v="2"/>
    <s v="Poor"/>
  </r>
  <r>
    <s v="200d40c9-4ee3-4f24-8b91-6c2d0d56c0a0"/>
    <x v="4"/>
    <x v="1"/>
    <x v="15"/>
    <x v="5"/>
    <x v="8"/>
    <s v="2024-06-28"/>
    <x v="0"/>
    <x v="11"/>
    <x v="0"/>
    <n v="374.92"/>
    <s v="5% off"/>
    <n v="18.746000000000002"/>
    <x v="0"/>
    <x v="1"/>
    <n v="356.17400000000004"/>
    <x v="1"/>
    <n v="3"/>
    <s v="Average"/>
  </r>
  <r>
    <s v="23e7647d-c5e6-4a81-bd6f-e54e3b0cffe5"/>
    <x v="48"/>
    <x v="0"/>
    <x v="16"/>
    <x v="1"/>
    <x v="25"/>
    <s v="2024-09-28"/>
    <x v="2"/>
    <x v="10"/>
    <x v="0"/>
    <n v="527.16999999999996"/>
    <s v="10% off"/>
    <n v="52.716999999999999"/>
    <x v="0"/>
    <x v="1"/>
    <n v="474.45299999999997"/>
    <x v="2"/>
    <n v="3"/>
    <s v="Average"/>
  </r>
  <r>
    <s v="a486f905-07c4-49ba-b349-40cfec15aec2"/>
    <x v="24"/>
    <x v="1"/>
    <x v="17"/>
    <x v="2"/>
    <x v="24"/>
    <s v="2025-03-16"/>
    <x v="5"/>
    <x v="6"/>
    <x v="1"/>
    <n v="52.44"/>
    <s v="0% off"/>
    <n v="0"/>
    <x v="1"/>
    <x v="1"/>
    <n v="52.44"/>
    <x v="2"/>
    <n v="2"/>
    <s v="Poor"/>
  </r>
  <r>
    <s v="49dd5d09-9eaa-4760-a60b-33c73c5c16b4"/>
    <x v="29"/>
    <x v="1"/>
    <x v="18"/>
    <x v="4"/>
    <x v="5"/>
    <s v="2024-10-30"/>
    <x v="4"/>
    <x v="5"/>
    <x v="0"/>
    <n v="988.77"/>
    <s v="20% off"/>
    <n v="197.75400000000002"/>
    <x v="0"/>
    <x v="1"/>
    <n v="791.01599999999996"/>
    <x v="1"/>
    <n v="1"/>
    <s v="Very Poor"/>
  </r>
  <r>
    <s v="2424cddd-b872-41ee-882c-6c734ce69052"/>
    <x v="18"/>
    <x v="1"/>
    <x v="19"/>
    <x v="0"/>
    <x v="0"/>
    <s v="2024-09-14"/>
    <x v="2"/>
    <x v="10"/>
    <x v="0"/>
    <n v="697.86"/>
    <s v="10% off"/>
    <n v="69.786000000000001"/>
    <x v="0"/>
    <x v="0"/>
    <n v="628.07400000000007"/>
    <x v="3"/>
    <n v="2"/>
    <s v="Poor"/>
  </r>
  <r>
    <s v="aee6e354-476b-48a1-9be9-380549e4887e"/>
    <x v="11"/>
    <x v="1"/>
    <x v="20"/>
    <x v="4"/>
    <x v="17"/>
    <s v="2024-07-02"/>
    <x v="1"/>
    <x v="2"/>
    <x v="0"/>
    <n v="315.56"/>
    <s v="5% off"/>
    <n v="15.778"/>
    <x v="0"/>
    <x v="0"/>
    <n v="299.78199999999998"/>
    <x v="2"/>
    <n v="3"/>
    <s v="Average"/>
  </r>
  <r>
    <s v="ae6e52f9-c4d7-485c-956b-023bed62e563"/>
    <x v="22"/>
    <x v="0"/>
    <x v="21"/>
    <x v="2"/>
    <x v="18"/>
    <s v="2024-04-19"/>
    <x v="0"/>
    <x v="0"/>
    <x v="0"/>
    <n v="492.1"/>
    <s v="5% off"/>
    <n v="24.605000000000004"/>
    <x v="0"/>
    <x v="0"/>
    <n v="467.495"/>
    <x v="0"/>
    <n v="1"/>
    <s v="Very Poor"/>
  </r>
  <r>
    <s v="10d5eeaa-cdb0-4ef4-9ccc-e6db3ab7019c"/>
    <x v="16"/>
    <x v="0"/>
    <x v="22"/>
    <x v="3"/>
    <x v="15"/>
    <s v="2025-03-24"/>
    <x v="6"/>
    <x v="6"/>
    <x v="1"/>
    <n v="855.21"/>
    <s v="15% off"/>
    <n v="128.28149999999999"/>
    <x v="0"/>
    <x v="1"/>
    <n v="726.92849999999999"/>
    <x v="0"/>
    <n v="1"/>
    <s v="Very Poor"/>
  </r>
  <r>
    <s v="79ce73e1-01c6-4e7b-a82e-df9fa70678ac"/>
    <x v="52"/>
    <x v="1"/>
    <x v="23"/>
    <x v="6"/>
    <x v="13"/>
    <s v="2024-06-03"/>
    <x v="6"/>
    <x v="11"/>
    <x v="0"/>
    <n v="418.55"/>
    <s v="5% off"/>
    <n v="20.927500000000002"/>
    <x v="0"/>
    <x v="1"/>
    <n v="397.6225"/>
    <x v="2"/>
    <n v="3"/>
    <s v="Average"/>
  </r>
  <r>
    <s v="9a5fe8ac-5cf5-4754-9964-fc7889cdd06f"/>
    <x v="12"/>
    <x v="1"/>
    <x v="24"/>
    <x v="5"/>
    <x v="8"/>
    <s v="2024-09-04"/>
    <x v="4"/>
    <x v="10"/>
    <x v="0"/>
    <n v="374.92"/>
    <s v="5% off"/>
    <n v="18.746000000000002"/>
    <x v="0"/>
    <x v="0"/>
    <n v="356.17400000000004"/>
    <x v="3"/>
    <n v="3"/>
    <s v="Average"/>
  </r>
  <r>
    <s v="0ed5db01-9d19-4bdd-8ba5-e8d266c5e2e8"/>
    <x v="29"/>
    <x v="0"/>
    <x v="25"/>
    <x v="1"/>
    <x v="25"/>
    <s v="2024-07-08"/>
    <x v="6"/>
    <x v="2"/>
    <x v="0"/>
    <n v="527.16999999999996"/>
    <s v="10% off"/>
    <n v="52.716999999999999"/>
    <x v="0"/>
    <x v="0"/>
    <n v="474.45299999999997"/>
    <x v="0"/>
    <n v="4"/>
    <s v="Good"/>
  </r>
  <r>
    <s v="c7a975b6-bd8b-42f7-a60e-d0bca2c87f26"/>
    <x v="44"/>
    <x v="1"/>
    <x v="26"/>
    <x v="6"/>
    <x v="14"/>
    <s v="2024-05-28"/>
    <x v="1"/>
    <x v="4"/>
    <x v="0"/>
    <n v="965.09"/>
    <s v="20% off"/>
    <n v="193.01800000000003"/>
    <x v="0"/>
    <x v="1"/>
    <n v="772.072"/>
    <x v="0"/>
    <n v="5"/>
    <s v="Excellent"/>
  </r>
  <r>
    <s v="00adc675-d125-4deb-8bee-b7db294be748"/>
    <x v="26"/>
    <x v="1"/>
    <x v="27"/>
    <x v="5"/>
    <x v="6"/>
    <s v="2024-04-17"/>
    <x v="4"/>
    <x v="0"/>
    <x v="0"/>
    <n v="76.81"/>
    <s v="0% off"/>
    <n v="0"/>
    <x v="1"/>
    <x v="1"/>
    <n v="76.81"/>
    <x v="0"/>
    <n v="1"/>
    <s v="Very Poor"/>
  </r>
  <r>
    <s v="13149cc1-5529-4857-80dd-a7d4d028e80c"/>
    <x v="49"/>
    <x v="1"/>
    <x v="28"/>
    <x v="3"/>
    <x v="19"/>
    <s v="2024-12-09"/>
    <x v="6"/>
    <x v="7"/>
    <x v="0"/>
    <n v="165.68"/>
    <s v="5% off"/>
    <n v="8.2840000000000007"/>
    <x v="0"/>
    <x v="1"/>
    <n v="157.39600000000002"/>
    <x v="0"/>
    <n v="4"/>
    <s v="Good"/>
  </r>
  <r>
    <s v="898866ba-5842-4fda-b25a-5995e5dbea26"/>
    <x v="20"/>
    <x v="1"/>
    <x v="29"/>
    <x v="0"/>
    <x v="11"/>
    <s v="2024-06-24"/>
    <x v="6"/>
    <x v="11"/>
    <x v="0"/>
    <n v="116.78"/>
    <s v="0% off"/>
    <n v="0"/>
    <x v="1"/>
    <x v="0"/>
    <n v="116.78"/>
    <x v="2"/>
    <n v="4"/>
    <s v="Good"/>
  </r>
  <r>
    <s v="607aa4f4-3d1d-4d13-b3c3-b25efc29ae1c"/>
    <x v="17"/>
    <x v="0"/>
    <x v="30"/>
    <x v="4"/>
    <x v="17"/>
    <s v="2024-09-11"/>
    <x v="4"/>
    <x v="10"/>
    <x v="0"/>
    <n v="315.56"/>
    <s v="5% off"/>
    <n v="15.778"/>
    <x v="0"/>
    <x v="0"/>
    <n v="299.78199999999998"/>
    <x v="2"/>
    <n v="2"/>
    <s v="Poor"/>
  </r>
  <r>
    <s v="8f7e28d0-669b-4201-8e42-88992862a7e4"/>
    <x v="25"/>
    <x v="1"/>
    <x v="31"/>
    <x v="5"/>
    <x v="9"/>
    <s v="2025-03-13"/>
    <x v="3"/>
    <x v="6"/>
    <x v="1"/>
    <n v="452.97"/>
    <s v="5% off"/>
    <n v="22.648500000000002"/>
    <x v="0"/>
    <x v="0"/>
    <n v="430.32150000000001"/>
    <x v="2"/>
    <n v="2"/>
    <s v="Poor"/>
  </r>
  <r>
    <s v="22f7973b-cdcd-411e-9cdf-b9356bf99d66"/>
    <x v="40"/>
    <x v="1"/>
    <x v="32"/>
    <x v="6"/>
    <x v="13"/>
    <s v="2024-11-06"/>
    <x v="4"/>
    <x v="1"/>
    <x v="0"/>
    <n v="418.55"/>
    <s v="5% off"/>
    <n v="20.927500000000002"/>
    <x v="0"/>
    <x v="0"/>
    <n v="397.6225"/>
    <x v="1"/>
    <n v="5"/>
    <s v="Excellent"/>
  </r>
  <r>
    <s v="2bc225bd-6d19-4206-9d87-0534462765d4"/>
    <x v="6"/>
    <x v="1"/>
    <x v="33"/>
    <x v="2"/>
    <x v="27"/>
    <s v="2025-03-11"/>
    <x v="1"/>
    <x v="6"/>
    <x v="1"/>
    <n v="340.04"/>
    <s v="5% off"/>
    <n v="17.002000000000002"/>
    <x v="0"/>
    <x v="0"/>
    <n v="323.03800000000001"/>
    <x v="1"/>
    <n v="2"/>
    <s v="Poor"/>
  </r>
  <r>
    <s v="42888ee5-a772-4040-9114-8a39ba066812"/>
    <x v="7"/>
    <x v="1"/>
    <x v="34"/>
    <x v="0"/>
    <x v="11"/>
    <s v="2025-01-22"/>
    <x v="4"/>
    <x v="9"/>
    <x v="1"/>
    <n v="116.78"/>
    <s v="0% off"/>
    <n v="0"/>
    <x v="1"/>
    <x v="0"/>
    <n v="116.78"/>
    <x v="0"/>
    <n v="1"/>
    <s v="Very Poor"/>
  </r>
  <r>
    <s v="80c1d209-d53d-4399-9939-5066d07fe1f3"/>
    <x v="28"/>
    <x v="0"/>
    <x v="35"/>
    <x v="5"/>
    <x v="6"/>
    <s v="2024-12-27"/>
    <x v="0"/>
    <x v="7"/>
    <x v="0"/>
    <n v="76.81"/>
    <s v="0% off"/>
    <n v="0"/>
    <x v="1"/>
    <x v="0"/>
    <n v="76.81"/>
    <x v="3"/>
    <n v="1"/>
    <s v="Very Poor"/>
  </r>
  <r>
    <s v="3f891cd2-1592-4309-b44d-b6f71511b25f"/>
    <x v="17"/>
    <x v="1"/>
    <x v="36"/>
    <x v="1"/>
    <x v="23"/>
    <s v="2024-03-28"/>
    <x v="3"/>
    <x v="6"/>
    <x v="0"/>
    <n v="362.55"/>
    <s v="5% off"/>
    <n v="18.127500000000001"/>
    <x v="0"/>
    <x v="1"/>
    <n v="344.42250000000001"/>
    <x v="1"/>
    <n v="1"/>
    <s v="Very Poor"/>
  </r>
  <r>
    <s v="397c2c12-2b11-4384-bdd2-3ae48962b7b0"/>
    <x v="30"/>
    <x v="1"/>
    <x v="37"/>
    <x v="6"/>
    <x v="13"/>
    <s v="2024-08-08"/>
    <x v="3"/>
    <x v="3"/>
    <x v="0"/>
    <n v="418.55"/>
    <s v="5% off"/>
    <n v="20.927500000000002"/>
    <x v="0"/>
    <x v="1"/>
    <n v="397.6225"/>
    <x v="0"/>
    <n v="2"/>
    <s v="Poor"/>
  </r>
  <r>
    <s v="5fedfd08-f863-480c-81d6-b62ef3ac149e"/>
    <x v="46"/>
    <x v="1"/>
    <x v="38"/>
    <x v="1"/>
    <x v="25"/>
    <s v="2024-08-26"/>
    <x v="6"/>
    <x v="3"/>
    <x v="0"/>
    <n v="527.16999999999996"/>
    <s v="10% off"/>
    <n v="52.716999999999999"/>
    <x v="0"/>
    <x v="1"/>
    <n v="474.45299999999997"/>
    <x v="0"/>
    <n v="3"/>
    <s v="Average"/>
  </r>
  <r>
    <s v="fe0b19e4-c57d-4676-806f-d77358343ec5"/>
    <x v="4"/>
    <x v="1"/>
    <x v="39"/>
    <x v="3"/>
    <x v="3"/>
    <s v="2024-06-14"/>
    <x v="0"/>
    <x v="11"/>
    <x v="0"/>
    <n v="211.46"/>
    <s v="5% off"/>
    <n v="10.573"/>
    <x v="0"/>
    <x v="1"/>
    <n v="200.887"/>
    <x v="3"/>
    <n v="5"/>
    <s v="Excellent"/>
  </r>
  <r>
    <s v="6e2d7924-b19f-4402-b9d5-c36463873b17"/>
    <x v="11"/>
    <x v="0"/>
    <x v="40"/>
    <x v="3"/>
    <x v="15"/>
    <s v="2024-11-10"/>
    <x v="5"/>
    <x v="1"/>
    <x v="0"/>
    <n v="855.21"/>
    <s v="15% off"/>
    <n v="128.28149999999999"/>
    <x v="0"/>
    <x v="0"/>
    <n v="726.92849999999999"/>
    <x v="3"/>
    <n v="3"/>
    <s v="Average"/>
  </r>
  <r>
    <s v="342bab6b-c9d6-4baf-a231-2f9d87b89518"/>
    <x v="38"/>
    <x v="0"/>
    <x v="41"/>
    <x v="5"/>
    <x v="8"/>
    <s v="2024-09-30"/>
    <x v="6"/>
    <x v="10"/>
    <x v="0"/>
    <n v="374.92"/>
    <s v="5% off"/>
    <n v="18.746000000000002"/>
    <x v="0"/>
    <x v="0"/>
    <n v="356.17400000000004"/>
    <x v="3"/>
    <n v="2"/>
    <s v="Poor"/>
  </r>
  <r>
    <s v="2d1ddf61-3ebe-421f-81a3-f4c7dbe5e4e3"/>
    <x v="17"/>
    <x v="1"/>
    <x v="42"/>
    <x v="0"/>
    <x v="0"/>
    <s v="2025-01-17"/>
    <x v="0"/>
    <x v="9"/>
    <x v="1"/>
    <n v="697.86"/>
    <s v="10% off"/>
    <n v="69.786000000000001"/>
    <x v="0"/>
    <x v="1"/>
    <n v="628.07400000000007"/>
    <x v="3"/>
    <n v="5"/>
    <s v="Excellent"/>
  </r>
  <r>
    <s v="1b6ad33b-b84b-48fa-9610-8d28bc715cb0"/>
    <x v="38"/>
    <x v="0"/>
    <x v="43"/>
    <x v="2"/>
    <x v="27"/>
    <s v="2024-05-02"/>
    <x v="3"/>
    <x v="4"/>
    <x v="0"/>
    <n v="340.04"/>
    <s v="5% off"/>
    <n v="17.002000000000002"/>
    <x v="0"/>
    <x v="0"/>
    <n v="323.03800000000001"/>
    <x v="2"/>
    <n v="4"/>
    <s v="Good"/>
  </r>
  <r>
    <s v="a757bbe0-5923-4ef9-ab6d-3cbff1774f19"/>
    <x v="11"/>
    <x v="0"/>
    <x v="44"/>
    <x v="2"/>
    <x v="27"/>
    <s v="2024-10-02"/>
    <x v="4"/>
    <x v="5"/>
    <x v="0"/>
    <n v="340.04"/>
    <s v="5% off"/>
    <n v="17.002000000000002"/>
    <x v="0"/>
    <x v="0"/>
    <n v="323.03800000000001"/>
    <x v="0"/>
    <n v="5"/>
    <s v="Excellent"/>
  </r>
  <r>
    <s v="4e24153d-4e82-4ffb-ba94-81a32acbfe2a"/>
    <x v="44"/>
    <x v="0"/>
    <x v="45"/>
    <x v="5"/>
    <x v="6"/>
    <s v="2024-09-12"/>
    <x v="3"/>
    <x v="10"/>
    <x v="0"/>
    <n v="76.81"/>
    <s v="0% off"/>
    <n v="0"/>
    <x v="1"/>
    <x v="0"/>
    <n v="76.81"/>
    <x v="2"/>
    <n v="2"/>
    <s v="Poor"/>
  </r>
  <r>
    <s v="0fd55d87-6cb7-49ee-a291-df19ea1c0143"/>
    <x v="27"/>
    <x v="1"/>
    <x v="46"/>
    <x v="4"/>
    <x v="17"/>
    <s v="2024-04-24"/>
    <x v="4"/>
    <x v="0"/>
    <x v="0"/>
    <n v="315.56"/>
    <s v="5% off"/>
    <n v="15.778"/>
    <x v="0"/>
    <x v="0"/>
    <n v="299.78199999999998"/>
    <x v="3"/>
    <n v="5"/>
    <s v="Excellent"/>
  </r>
  <r>
    <s v="55af2bbe-a04b-417d-a1cb-904e264036b1"/>
    <x v="9"/>
    <x v="0"/>
    <x v="47"/>
    <x v="6"/>
    <x v="13"/>
    <s v="2024-11-25"/>
    <x v="6"/>
    <x v="1"/>
    <x v="0"/>
    <n v="418.55"/>
    <s v="5% off"/>
    <n v="20.927500000000002"/>
    <x v="0"/>
    <x v="1"/>
    <n v="397.6225"/>
    <x v="0"/>
    <n v="1"/>
    <s v="Very Poor"/>
  </r>
  <r>
    <s v="51d58bc2-ffdb-4f4b-a6e9-df369d1634d2"/>
    <x v="29"/>
    <x v="0"/>
    <x v="48"/>
    <x v="0"/>
    <x v="7"/>
    <s v="2024-04-19"/>
    <x v="0"/>
    <x v="0"/>
    <x v="0"/>
    <n v="78.349999999999994"/>
    <s v="0% off"/>
    <n v="0"/>
    <x v="1"/>
    <x v="0"/>
    <n v="78.349999999999994"/>
    <x v="0"/>
    <n v="5"/>
    <s v="Excellent"/>
  </r>
  <r>
    <s v="31e6c4b4-73ff-404a-9e35-fd082c5a5c91"/>
    <x v="16"/>
    <x v="0"/>
    <x v="49"/>
    <x v="3"/>
    <x v="15"/>
    <s v="2024-09-24"/>
    <x v="1"/>
    <x v="10"/>
    <x v="0"/>
    <n v="855.21"/>
    <s v="15% off"/>
    <n v="128.28149999999999"/>
    <x v="0"/>
    <x v="0"/>
    <n v="726.92849999999999"/>
    <x v="3"/>
    <n v="2"/>
    <s v="Poor"/>
  </r>
  <r>
    <s v="c3b21ecb-63c0-4f5e-9626-25a9be38bb32"/>
    <x v="48"/>
    <x v="0"/>
    <x v="50"/>
    <x v="3"/>
    <x v="19"/>
    <s v="2024-11-10"/>
    <x v="5"/>
    <x v="1"/>
    <x v="0"/>
    <n v="165.68"/>
    <s v="5% off"/>
    <n v="8.2840000000000007"/>
    <x v="0"/>
    <x v="1"/>
    <n v="157.39600000000002"/>
    <x v="2"/>
    <n v="5"/>
    <s v="Excellent"/>
  </r>
  <r>
    <s v="c6f1a83e-6b55-47a1-b3f1-f7212a758fb6"/>
    <x v="47"/>
    <x v="0"/>
    <x v="51"/>
    <x v="1"/>
    <x v="23"/>
    <s v="2024-12-31"/>
    <x v="1"/>
    <x v="7"/>
    <x v="0"/>
    <n v="362.55"/>
    <s v="5% off"/>
    <n v="18.127500000000001"/>
    <x v="0"/>
    <x v="0"/>
    <n v="344.42250000000001"/>
    <x v="1"/>
    <n v="1"/>
    <s v="Very Poor"/>
  </r>
  <r>
    <s v="95d29376-8d68-479e-9aeb-f94dbceb7c16"/>
    <x v="29"/>
    <x v="0"/>
    <x v="52"/>
    <x v="4"/>
    <x v="17"/>
    <s v="2024-06-21"/>
    <x v="0"/>
    <x v="11"/>
    <x v="0"/>
    <n v="315.56"/>
    <s v="5% off"/>
    <n v="15.778"/>
    <x v="0"/>
    <x v="1"/>
    <n v="299.78199999999998"/>
    <x v="2"/>
    <n v="1"/>
    <s v="Very Poor"/>
  </r>
  <r>
    <s v="5a3dd640-e365-4bc8-ac74-45e585cf263e"/>
    <x v="19"/>
    <x v="1"/>
    <x v="53"/>
    <x v="6"/>
    <x v="10"/>
    <s v="2024-10-11"/>
    <x v="0"/>
    <x v="5"/>
    <x v="0"/>
    <n v="782.29"/>
    <s v="15% off"/>
    <n v="117.34349999999999"/>
    <x v="0"/>
    <x v="1"/>
    <n v="664.94650000000001"/>
    <x v="2"/>
    <n v="5"/>
    <s v="Excellent"/>
  </r>
  <r>
    <s v="bc7aac80-98e9-4b69-a6ea-c7e3ac782600"/>
    <x v="43"/>
    <x v="0"/>
    <x v="33"/>
    <x v="6"/>
    <x v="21"/>
    <s v="2024-06-28"/>
    <x v="0"/>
    <x v="11"/>
    <x v="0"/>
    <n v="461.81"/>
    <s v="5% off"/>
    <n v="23.090500000000002"/>
    <x v="0"/>
    <x v="0"/>
    <n v="438.71949999999998"/>
    <x v="3"/>
    <n v="3"/>
    <s v="Average"/>
  </r>
  <r>
    <s v="5fd3090f-8d75-4648-b7d1-61ce4f639d20"/>
    <x v="32"/>
    <x v="1"/>
    <x v="54"/>
    <x v="4"/>
    <x v="20"/>
    <s v="2024-05-25"/>
    <x v="2"/>
    <x v="4"/>
    <x v="0"/>
    <n v="260.77999999999997"/>
    <s v="5% off"/>
    <n v="13.039"/>
    <x v="0"/>
    <x v="1"/>
    <n v="247.74099999999999"/>
    <x v="1"/>
    <n v="5"/>
    <s v="Excellent"/>
  </r>
  <r>
    <s v="e44fe4d5-073e-4169-8310-3f6cb0f38f6e"/>
    <x v="17"/>
    <x v="0"/>
    <x v="55"/>
    <x v="5"/>
    <x v="9"/>
    <s v="2024-11-07"/>
    <x v="3"/>
    <x v="1"/>
    <x v="0"/>
    <n v="452.97"/>
    <s v="5% off"/>
    <n v="22.648500000000002"/>
    <x v="0"/>
    <x v="1"/>
    <n v="430.32150000000001"/>
    <x v="1"/>
    <n v="4"/>
    <s v="Good"/>
  </r>
  <r>
    <s v="657f244a-4e89-49c6-a755-0f89fb3010f1"/>
    <x v="8"/>
    <x v="1"/>
    <x v="56"/>
    <x v="4"/>
    <x v="4"/>
    <s v="2025-01-27"/>
    <x v="6"/>
    <x v="9"/>
    <x v="1"/>
    <n v="512.94000000000005"/>
    <s v="10% off"/>
    <n v="51.294000000000011"/>
    <x v="0"/>
    <x v="0"/>
    <n v="461.64600000000007"/>
    <x v="1"/>
    <n v="2"/>
    <s v="Poor"/>
  </r>
  <r>
    <s v="08426aee-44e3-497f-9bdd-7147f2c8c196"/>
    <x v="10"/>
    <x v="0"/>
    <x v="57"/>
    <x v="6"/>
    <x v="14"/>
    <s v="2024-11-26"/>
    <x v="1"/>
    <x v="1"/>
    <x v="0"/>
    <n v="965.09"/>
    <s v="20% off"/>
    <n v="193.01800000000003"/>
    <x v="0"/>
    <x v="0"/>
    <n v="772.072"/>
    <x v="0"/>
    <n v="5"/>
    <s v="Excellent"/>
  </r>
  <r>
    <s v="d04f02ac-c811-4047-a52b-c3b407dfc211"/>
    <x v="45"/>
    <x v="0"/>
    <x v="58"/>
    <x v="3"/>
    <x v="12"/>
    <s v="2024-08-24"/>
    <x v="2"/>
    <x v="3"/>
    <x v="0"/>
    <n v="270.41000000000003"/>
    <s v="5% off"/>
    <n v="13.520500000000002"/>
    <x v="0"/>
    <x v="0"/>
    <n v="256.8895"/>
    <x v="1"/>
    <n v="3"/>
    <s v="Average"/>
  </r>
  <r>
    <s v="37cc834b-5a00-4ba5-a938-cbcb521984fe"/>
    <x v="10"/>
    <x v="0"/>
    <x v="59"/>
    <x v="6"/>
    <x v="14"/>
    <s v="2025-01-07"/>
    <x v="1"/>
    <x v="9"/>
    <x v="1"/>
    <n v="965.09"/>
    <s v="20% off"/>
    <n v="193.01800000000003"/>
    <x v="0"/>
    <x v="0"/>
    <n v="772.072"/>
    <x v="1"/>
    <n v="2"/>
    <s v="Poor"/>
  </r>
  <r>
    <s v="16bfbe47-8b4c-4e8c-bcbe-98edde060915"/>
    <x v="30"/>
    <x v="1"/>
    <x v="60"/>
    <x v="0"/>
    <x v="0"/>
    <s v="2025-02-04"/>
    <x v="1"/>
    <x v="8"/>
    <x v="1"/>
    <n v="697.86"/>
    <s v="10% off"/>
    <n v="69.786000000000001"/>
    <x v="0"/>
    <x v="1"/>
    <n v="628.07400000000007"/>
    <x v="1"/>
    <n v="1"/>
    <s v="Very Poor"/>
  </r>
  <r>
    <s v="0fd42f7b-2a6d-46b0-86dc-431fd7ad50ac"/>
    <x v="23"/>
    <x v="1"/>
    <x v="61"/>
    <x v="5"/>
    <x v="8"/>
    <s v="2024-09-25"/>
    <x v="4"/>
    <x v="10"/>
    <x v="0"/>
    <n v="374.92"/>
    <s v="5% off"/>
    <n v="18.746000000000002"/>
    <x v="0"/>
    <x v="1"/>
    <n v="356.17400000000004"/>
    <x v="3"/>
    <n v="1"/>
    <s v="Very Poor"/>
  </r>
  <r>
    <s v="0c5fe39d-496e-4154-a08a-dce6048b7a17"/>
    <x v="41"/>
    <x v="0"/>
    <x v="42"/>
    <x v="3"/>
    <x v="3"/>
    <s v="2025-02-15"/>
    <x v="2"/>
    <x v="8"/>
    <x v="1"/>
    <n v="211.46"/>
    <s v="5% off"/>
    <n v="10.573"/>
    <x v="0"/>
    <x v="0"/>
    <n v="200.887"/>
    <x v="0"/>
    <n v="3"/>
    <s v="Average"/>
  </r>
  <r>
    <s v="f136a07e-07e5-4a03-8a33-8a568cc02282"/>
    <x v="41"/>
    <x v="0"/>
    <x v="62"/>
    <x v="5"/>
    <x v="8"/>
    <s v="2024-09-28"/>
    <x v="2"/>
    <x v="10"/>
    <x v="0"/>
    <n v="374.92"/>
    <s v="5% off"/>
    <n v="18.746000000000002"/>
    <x v="0"/>
    <x v="1"/>
    <n v="356.17400000000004"/>
    <x v="2"/>
    <n v="1"/>
    <s v="Very Poor"/>
  </r>
  <r>
    <s v="5b142b21-213a-4e3c-8d0d-61f67ac31c2f"/>
    <x v="43"/>
    <x v="1"/>
    <x v="63"/>
    <x v="5"/>
    <x v="8"/>
    <s v="2024-09-18"/>
    <x v="4"/>
    <x v="10"/>
    <x v="0"/>
    <n v="374.92"/>
    <s v="5% off"/>
    <n v="18.746000000000002"/>
    <x v="0"/>
    <x v="0"/>
    <n v="356.17400000000004"/>
    <x v="1"/>
    <n v="4"/>
    <s v="Good"/>
  </r>
  <r>
    <s v="afac6bf3-f1a9-4197-a66e-a152b557a3b0"/>
    <x v="1"/>
    <x v="0"/>
    <x v="64"/>
    <x v="5"/>
    <x v="8"/>
    <s v="2024-12-07"/>
    <x v="2"/>
    <x v="7"/>
    <x v="0"/>
    <n v="374.92"/>
    <s v="5% off"/>
    <n v="18.746000000000002"/>
    <x v="0"/>
    <x v="0"/>
    <n v="356.17400000000004"/>
    <x v="3"/>
    <n v="1"/>
    <s v="Very Poor"/>
  </r>
  <r>
    <s v="9f0d6afa-ca78-4bd2-935c-9e256a06c150"/>
    <x v="27"/>
    <x v="1"/>
    <x v="65"/>
    <x v="1"/>
    <x v="25"/>
    <s v="2024-04-17"/>
    <x v="4"/>
    <x v="0"/>
    <x v="0"/>
    <n v="527.16999999999996"/>
    <s v="10% off"/>
    <n v="52.716999999999999"/>
    <x v="0"/>
    <x v="0"/>
    <n v="474.45299999999997"/>
    <x v="3"/>
    <n v="1"/>
    <s v="Very Poor"/>
  </r>
  <r>
    <s v="220cb6cf-6179-42d8-8ba1-ea07c5623870"/>
    <x v="24"/>
    <x v="0"/>
    <x v="66"/>
    <x v="0"/>
    <x v="11"/>
    <s v="2024-11-07"/>
    <x v="3"/>
    <x v="1"/>
    <x v="0"/>
    <n v="116.78"/>
    <s v="0% off"/>
    <n v="0"/>
    <x v="1"/>
    <x v="0"/>
    <n v="116.78"/>
    <x v="3"/>
    <n v="2"/>
    <s v="Poor"/>
  </r>
  <r>
    <s v="4f8dba7b-8b4a-4773-aecd-3ad4ecfecf0a"/>
    <x v="44"/>
    <x v="1"/>
    <x v="67"/>
    <x v="3"/>
    <x v="3"/>
    <s v="2024-09-30"/>
    <x v="6"/>
    <x v="10"/>
    <x v="0"/>
    <n v="211.46"/>
    <s v="5% off"/>
    <n v="10.573"/>
    <x v="0"/>
    <x v="1"/>
    <n v="200.887"/>
    <x v="3"/>
    <n v="1"/>
    <s v="Very Poor"/>
  </r>
  <r>
    <s v="783d294a-96fa-4877-a6ae-e801d82d7a9e"/>
    <x v="40"/>
    <x v="1"/>
    <x v="68"/>
    <x v="3"/>
    <x v="19"/>
    <s v="2025-03-02"/>
    <x v="5"/>
    <x v="6"/>
    <x v="1"/>
    <n v="165.68"/>
    <s v="5% off"/>
    <n v="8.2840000000000007"/>
    <x v="0"/>
    <x v="1"/>
    <n v="157.39600000000002"/>
    <x v="1"/>
    <n v="5"/>
    <s v="Excellent"/>
  </r>
  <r>
    <s v="d45f6c96-07aa-449d-bb68-4d0ed60a9419"/>
    <x v="16"/>
    <x v="0"/>
    <x v="69"/>
    <x v="3"/>
    <x v="15"/>
    <s v="2024-06-09"/>
    <x v="5"/>
    <x v="11"/>
    <x v="0"/>
    <n v="855.21"/>
    <s v="15% off"/>
    <n v="128.28149999999999"/>
    <x v="0"/>
    <x v="0"/>
    <n v="726.92849999999999"/>
    <x v="0"/>
    <n v="2"/>
    <s v="Poor"/>
  </r>
  <r>
    <s v="bbddd2cd-42dd-48c2-9a77-f3a07736b02b"/>
    <x v="48"/>
    <x v="0"/>
    <x v="70"/>
    <x v="1"/>
    <x v="23"/>
    <s v="2024-06-17"/>
    <x v="6"/>
    <x v="11"/>
    <x v="0"/>
    <n v="362.55"/>
    <s v="5% off"/>
    <n v="18.127500000000001"/>
    <x v="0"/>
    <x v="1"/>
    <n v="344.42250000000001"/>
    <x v="1"/>
    <n v="3"/>
    <s v="Average"/>
  </r>
  <r>
    <s v="9ec13166-e5c7-4d8c-9350-d589255c1fc9"/>
    <x v="49"/>
    <x v="1"/>
    <x v="71"/>
    <x v="1"/>
    <x v="26"/>
    <s v="2024-05-19"/>
    <x v="5"/>
    <x v="4"/>
    <x v="0"/>
    <n v="775.75"/>
    <s v="15% off"/>
    <n v="116.3625"/>
    <x v="0"/>
    <x v="1"/>
    <n v="659.38750000000005"/>
    <x v="3"/>
    <n v="5"/>
    <s v="Excellent"/>
  </r>
  <r>
    <s v="417a2f17-36fe-45d0-8616-37a6036e719a"/>
    <x v="31"/>
    <x v="1"/>
    <x v="72"/>
    <x v="5"/>
    <x v="9"/>
    <s v="2024-05-17"/>
    <x v="0"/>
    <x v="4"/>
    <x v="0"/>
    <n v="452.97"/>
    <s v="5% off"/>
    <n v="22.648500000000002"/>
    <x v="0"/>
    <x v="1"/>
    <n v="430.32150000000001"/>
    <x v="0"/>
    <n v="1"/>
    <s v="Very Poor"/>
  </r>
  <r>
    <s v="376a677c-8f9c-4175-b5bf-318453ed6145"/>
    <x v="35"/>
    <x v="0"/>
    <x v="73"/>
    <x v="2"/>
    <x v="2"/>
    <s v="2024-11-06"/>
    <x v="4"/>
    <x v="1"/>
    <x v="0"/>
    <n v="493.96"/>
    <s v="5% off"/>
    <n v="24.698"/>
    <x v="0"/>
    <x v="0"/>
    <n v="469.262"/>
    <x v="3"/>
    <n v="1"/>
    <s v="Very Poor"/>
  </r>
  <r>
    <s v="6d495ab9-439f-40aa-b4f9-7582f85c95fd"/>
    <x v="20"/>
    <x v="0"/>
    <x v="74"/>
    <x v="3"/>
    <x v="3"/>
    <s v="2024-07-12"/>
    <x v="0"/>
    <x v="2"/>
    <x v="0"/>
    <n v="211.46"/>
    <s v="5% off"/>
    <n v="10.573"/>
    <x v="0"/>
    <x v="0"/>
    <n v="200.887"/>
    <x v="0"/>
    <n v="3"/>
    <s v="Average"/>
  </r>
  <r>
    <s v="4df182fc-996b-4153-a13c-5fadf0fdc8a1"/>
    <x v="35"/>
    <x v="1"/>
    <x v="75"/>
    <x v="2"/>
    <x v="27"/>
    <s v="2024-09-30"/>
    <x v="6"/>
    <x v="10"/>
    <x v="0"/>
    <n v="340.04"/>
    <s v="5% off"/>
    <n v="17.002000000000002"/>
    <x v="0"/>
    <x v="1"/>
    <n v="323.03800000000001"/>
    <x v="3"/>
    <n v="1"/>
    <s v="Very Poor"/>
  </r>
  <r>
    <s v="6c9ecb67-79e7-4991-8ef2-17af5a1adfb5"/>
    <x v="10"/>
    <x v="1"/>
    <x v="76"/>
    <x v="6"/>
    <x v="21"/>
    <s v="2024-10-02"/>
    <x v="4"/>
    <x v="5"/>
    <x v="0"/>
    <n v="461.81"/>
    <s v="5% off"/>
    <n v="23.090500000000002"/>
    <x v="0"/>
    <x v="1"/>
    <n v="438.71949999999998"/>
    <x v="0"/>
    <n v="2"/>
    <s v="Poor"/>
  </r>
  <r>
    <s v="fd3dac3a-9e9c-46d7-919c-dabd25a82441"/>
    <x v="13"/>
    <x v="1"/>
    <x v="77"/>
    <x v="3"/>
    <x v="19"/>
    <s v="2024-04-12"/>
    <x v="0"/>
    <x v="0"/>
    <x v="0"/>
    <n v="165.68"/>
    <s v="5% off"/>
    <n v="8.2840000000000007"/>
    <x v="0"/>
    <x v="1"/>
    <n v="157.39600000000002"/>
    <x v="1"/>
    <n v="3"/>
    <s v="Average"/>
  </r>
  <r>
    <s v="97fa9833-65b8-4ece-923d-6dd4dad6be16"/>
    <x v="14"/>
    <x v="1"/>
    <x v="78"/>
    <x v="0"/>
    <x v="11"/>
    <s v="2024-03-31"/>
    <x v="5"/>
    <x v="6"/>
    <x v="0"/>
    <n v="116.78"/>
    <s v="0% off"/>
    <n v="0"/>
    <x v="1"/>
    <x v="1"/>
    <n v="116.78"/>
    <x v="3"/>
    <n v="1"/>
    <s v="Very Poor"/>
  </r>
  <r>
    <s v="c43236ec-080f-4777-89f4-b572e64e7482"/>
    <x v="28"/>
    <x v="1"/>
    <x v="79"/>
    <x v="2"/>
    <x v="24"/>
    <s v="2024-12-12"/>
    <x v="3"/>
    <x v="7"/>
    <x v="0"/>
    <n v="52.44"/>
    <s v="0% off"/>
    <n v="0"/>
    <x v="1"/>
    <x v="0"/>
    <n v="52.44"/>
    <x v="3"/>
    <n v="5"/>
    <s v="Excellent"/>
  </r>
  <r>
    <s v="5016420d-a62b-4aa5-92f0-b4ebde0c6670"/>
    <x v="41"/>
    <x v="0"/>
    <x v="80"/>
    <x v="1"/>
    <x v="23"/>
    <s v="2024-11-21"/>
    <x v="3"/>
    <x v="1"/>
    <x v="0"/>
    <n v="362.55"/>
    <s v="5% off"/>
    <n v="18.127500000000001"/>
    <x v="0"/>
    <x v="0"/>
    <n v="344.42250000000001"/>
    <x v="2"/>
    <n v="5"/>
    <s v="Excellent"/>
  </r>
  <r>
    <s v="6fcd9280-3e2e-4301-8fd9-31c4617fb51c"/>
    <x v="1"/>
    <x v="1"/>
    <x v="81"/>
    <x v="5"/>
    <x v="6"/>
    <s v="2025-01-13"/>
    <x v="6"/>
    <x v="9"/>
    <x v="1"/>
    <n v="76.81"/>
    <s v="0% off"/>
    <n v="0"/>
    <x v="1"/>
    <x v="1"/>
    <n v="76.81"/>
    <x v="2"/>
    <n v="1"/>
    <s v="Very Poor"/>
  </r>
  <r>
    <s v="b5c39820-d067-4815-93fc-e7e05a6ef8d2"/>
    <x v="36"/>
    <x v="0"/>
    <x v="82"/>
    <x v="4"/>
    <x v="20"/>
    <s v="2025-02-02"/>
    <x v="5"/>
    <x v="8"/>
    <x v="1"/>
    <n v="260.77999999999997"/>
    <s v="5% off"/>
    <n v="13.039"/>
    <x v="0"/>
    <x v="1"/>
    <n v="247.74099999999999"/>
    <x v="2"/>
    <n v="1"/>
    <s v="Very Poor"/>
  </r>
  <r>
    <s v="24ff8436-f98c-48af-be07-253d90f4c8b5"/>
    <x v="27"/>
    <x v="0"/>
    <x v="83"/>
    <x v="4"/>
    <x v="5"/>
    <s v="2025-02-06"/>
    <x v="3"/>
    <x v="8"/>
    <x v="1"/>
    <n v="988.77"/>
    <s v="20% off"/>
    <n v="197.75400000000002"/>
    <x v="0"/>
    <x v="0"/>
    <n v="791.01599999999996"/>
    <x v="2"/>
    <n v="4"/>
    <s v="Good"/>
  </r>
  <r>
    <s v="3c3fbd74-4f0b-4aff-97ab-783466f7c750"/>
    <x v="33"/>
    <x v="0"/>
    <x v="84"/>
    <x v="5"/>
    <x v="6"/>
    <s v="2025-01-27"/>
    <x v="6"/>
    <x v="9"/>
    <x v="1"/>
    <n v="76.81"/>
    <s v="0% off"/>
    <n v="0"/>
    <x v="1"/>
    <x v="0"/>
    <n v="76.81"/>
    <x v="3"/>
    <n v="4"/>
    <s v="Good"/>
  </r>
  <r>
    <s v="470f10ac-c575-47f5-a811-8a2e385e361d"/>
    <x v="20"/>
    <x v="1"/>
    <x v="85"/>
    <x v="0"/>
    <x v="0"/>
    <s v="2024-07-12"/>
    <x v="0"/>
    <x v="2"/>
    <x v="0"/>
    <n v="697.86"/>
    <s v="10% off"/>
    <n v="69.786000000000001"/>
    <x v="0"/>
    <x v="1"/>
    <n v="628.07400000000007"/>
    <x v="3"/>
    <n v="4"/>
    <s v="Good"/>
  </r>
  <r>
    <s v="26d9d546-73d3-4b99-bdd4-f0945469dc7c"/>
    <x v="49"/>
    <x v="1"/>
    <x v="86"/>
    <x v="3"/>
    <x v="12"/>
    <s v="2024-04-01"/>
    <x v="6"/>
    <x v="0"/>
    <x v="0"/>
    <n v="270.41000000000003"/>
    <s v="5% off"/>
    <n v="13.520500000000002"/>
    <x v="0"/>
    <x v="1"/>
    <n v="256.8895"/>
    <x v="2"/>
    <n v="1"/>
    <s v="Very Poor"/>
  </r>
  <r>
    <s v="a850a6d3-b783-44ce-9228-0f3bdf192f09"/>
    <x v="49"/>
    <x v="0"/>
    <x v="87"/>
    <x v="1"/>
    <x v="23"/>
    <s v="2024-07-24"/>
    <x v="4"/>
    <x v="2"/>
    <x v="0"/>
    <n v="362.55"/>
    <s v="5% off"/>
    <n v="18.127500000000001"/>
    <x v="0"/>
    <x v="0"/>
    <n v="344.42250000000001"/>
    <x v="3"/>
    <n v="1"/>
    <s v="Very Poor"/>
  </r>
  <r>
    <s v="30ce20c3-c5fa-4674-a77c-c5b9b67e6161"/>
    <x v="12"/>
    <x v="0"/>
    <x v="88"/>
    <x v="3"/>
    <x v="15"/>
    <s v="2024-05-12"/>
    <x v="5"/>
    <x v="4"/>
    <x v="0"/>
    <n v="855.21"/>
    <s v="15% off"/>
    <n v="128.28149999999999"/>
    <x v="0"/>
    <x v="0"/>
    <n v="726.92849999999999"/>
    <x v="3"/>
    <n v="4"/>
    <s v="Good"/>
  </r>
  <r>
    <s v="00c71314-3a44-4430-8572-40b019ab5c69"/>
    <x v="27"/>
    <x v="1"/>
    <x v="89"/>
    <x v="4"/>
    <x v="5"/>
    <s v="2025-01-11"/>
    <x v="2"/>
    <x v="9"/>
    <x v="1"/>
    <n v="988.77"/>
    <s v="20% off"/>
    <n v="197.75400000000002"/>
    <x v="0"/>
    <x v="1"/>
    <n v="791.01599999999996"/>
    <x v="2"/>
    <n v="1"/>
    <s v="Very Poor"/>
  </r>
  <r>
    <s v="bffcee1b-aa5d-48b6-951d-7b56c282929a"/>
    <x v="5"/>
    <x v="1"/>
    <x v="90"/>
    <x v="0"/>
    <x v="11"/>
    <s v="2025-02-10"/>
    <x v="6"/>
    <x v="8"/>
    <x v="1"/>
    <n v="116.78"/>
    <s v="0% off"/>
    <n v="0"/>
    <x v="1"/>
    <x v="1"/>
    <n v="116.78"/>
    <x v="1"/>
    <n v="1"/>
    <s v="Very Poor"/>
  </r>
  <r>
    <s v="023789a3-811e-4206-9574-a761b0f9ed40"/>
    <x v="20"/>
    <x v="0"/>
    <x v="91"/>
    <x v="0"/>
    <x v="11"/>
    <s v="2024-08-25"/>
    <x v="5"/>
    <x v="3"/>
    <x v="0"/>
    <n v="116.78"/>
    <s v="0% off"/>
    <n v="0"/>
    <x v="1"/>
    <x v="1"/>
    <n v="116.78"/>
    <x v="1"/>
    <n v="4"/>
    <s v="Good"/>
  </r>
  <r>
    <s v="74406658-08a0-4402-89ab-1035d5833d00"/>
    <x v="44"/>
    <x v="0"/>
    <x v="92"/>
    <x v="0"/>
    <x v="0"/>
    <s v="2024-05-09"/>
    <x v="3"/>
    <x v="4"/>
    <x v="0"/>
    <n v="697.86"/>
    <s v="10% off"/>
    <n v="69.786000000000001"/>
    <x v="0"/>
    <x v="0"/>
    <n v="628.07400000000007"/>
    <x v="1"/>
    <n v="4"/>
    <s v="Good"/>
  </r>
  <r>
    <s v="ebe36f2c-c365-4c0b-9994-323670c98e08"/>
    <x v="44"/>
    <x v="1"/>
    <x v="93"/>
    <x v="0"/>
    <x v="11"/>
    <s v="2025-01-12"/>
    <x v="5"/>
    <x v="9"/>
    <x v="1"/>
    <n v="116.78"/>
    <s v="0% off"/>
    <n v="0"/>
    <x v="1"/>
    <x v="0"/>
    <n v="116.78"/>
    <x v="0"/>
    <n v="3"/>
    <s v="Average"/>
  </r>
  <r>
    <s v="f76f37af-5eba-40d3-a2fb-f23d235e89f6"/>
    <x v="39"/>
    <x v="1"/>
    <x v="56"/>
    <x v="2"/>
    <x v="18"/>
    <s v="2024-08-25"/>
    <x v="5"/>
    <x v="3"/>
    <x v="0"/>
    <n v="492.1"/>
    <s v="5% off"/>
    <n v="24.605000000000004"/>
    <x v="0"/>
    <x v="0"/>
    <n v="467.495"/>
    <x v="0"/>
    <n v="4"/>
    <s v="Good"/>
  </r>
  <r>
    <s v="4e790336-0545-4015-b8d3-ac4d78eaddc3"/>
    <x v="32"/>
    <x v="0"/>
    <x v="94"/>
    <x v="3"/>
    <x v="15"/>
    <s v="2025-02-18"/>
    <x v="1"/>
    <x v="8"/>
    <x v="1"/>
    <n v="855.21"/>
    <s v="15% off"/>
    <n v="128.28149999999999"/>
    <x v="0"/>
    <x v="0"/>
    <n v="726.92849999999999"/>
    <x v="1"/>
    <n v="1"/>
    <s v="Very Poor"/>
  </r>
  <r>
    <s v="7234b87a-cf88-4c69-b877-e78c56db0637"/>
    <x v="26"/>
    <x v="1"/>
    <x v="89"/>
    <x v="3"/>
    <x v="19"/>
    <s v="2025-01-09"/>
    <x v="3"/>
    <x v="9"/>
    <x v="1"/>
    <n v="165.68"/>
    <s v="5% off"/>
    <n v="8.2840000000000007"/>
    <x v="0"/>
    <x v="0"/>
    <n v="157.39600000000002"/>
    <x v="1"/>
    <n v="3"/>
    <s v="Average"/>
  </r>
  <r>
    <s v="055de305-bc98-4652-af33-bc8f76778913"/>
    <x v="32"/>
    <x v="0"/>
    <x v="95"/>
    <x v="4"/>
    <x v="20"/>
    <s v="2024-04-30"/>
    <x v="1"/>
    <x v="0"/>
    <x v="0"/>
    <n v="260.77999999999997"/>
    <s v="5% off"/>
    <n v="13.039"/>
    <x v="0"/>
    <x v="0"/>
    <n v="247.74099999999999"/>
    <x v="3"/>
    <n v="2"/>
    <s v="Poor"/>
  </r>
  <r>
    <s v="ecb08676-2553-46e4-b031-096965fe0d48"/>
    <x v="29"/>
    <x v="0"/>
    <x v="96"/>
    <x v="3"/>
    <x v="19"/>
    <s v="2024-07-06"/>
    <x v="2"/>
    <x v="2"/>
    <x v="0"/>
    <n v="165.68"/>
    <s v="5% off"/>
    <n v="8.2840000000000007"/>
    <x v="0"/>
    <x v="0"/>
    <n v="157.39600000000002"/>
    <x v="2"/>
    <n v="1"/>
    <s v="Very Poor"/>
  </r>
  <r>
    <s v="d0eb75b3-21ed-4d0d-ba21-bde0c1129491"/>
    <x v="36"/>
    <x v="1"/>
    <x v="58"/>
    <x v="5"/>
    <x v="9"/>
    <s v="2024-09-02"/>
    <x v="6"/>
    <x v="10"/>
    <x v="0"/>
    <n v="452.97"/>
    <s v="5% off"/>
    <n v="22.648500000000002"/>
    <x v="0"/>
    <x v="1"/>
    <n v="430.32150000000001"/>
    <x v="3"/>
    <n v="5"/>
    <s v="Excellent"/>
  </r>
  <r>
    <s v="84fdef78-c9f6-46f6-a504-0384ca907c4a"/>
    <x v="45"/>
    <x v="1"/>
    <x v="90"/>
    <x v="4"/>
    <x v="5"/>
    <s v="2024-04-01"/>
    <x v="6"/>
    <x v="0"/>
    <x v="0"/>
    <n v="988.77"/>
    <s v="20% off"/>
    <n v="197.75400000000002"/>
    <x v="0"/>
    <x v="0"/>
    <n v="791.01599999999996"/>
    <x v="2"/>
    <n v="2"/>
    <s v="Poor"/>
  </r>
  <r>
    <s v="6508fedf-94d5-4e0d-9bde-f129e568ad91"/>
    <x v="36"/>
    <x v="0"/>
    <x v="91"/>
    <x v="5"/>
    <x v="9"/>
    <s v="2024-06-18"/>
    <x v="1"/>
    <x v="11"/>
    <x v="0"/>
    <n v="452.97"/>
    <s v="5% off"/>
    <n v="22.648500000000002"/>
    <x v="0"/>
    <x v="1"/>
    <n v="430.32150000000001"/>
    <x v="2"/>
    <n v="2"/>
    <s v="Poor"/>
  </r>
  <r>
    <s v="739cc263-9e9d-4329-bb2f-b9da61512680"/>
    <x v="41"/>
    <x v="0"/>
    <x v="97"/>
    <x v="6"/>
    <x v="13"/>
    <s v="2025-03-05"/>
    <x v="4"/>
    <x v="6"/>
    <x v="1"/>
    <n v="418.55"/>
    <s v="5% off"/>
    <n v="20.927500000000002"/>
    <x v="0"/>
    <x v="0"/>
    <n v="397.6225"/>
    <x v="3"/>
    <n v="3"/>
    <s v="Average"/>
  </r>
  <r>
    <s v="283f7458-9290-4122-b568-5354c2286618"/>
    <x v="49"/>
    <x v="0"/>
    <x v="98"/>
    <x v="2"/>
    <x v="27"/>
    <s v="2024-10-28"/>
    <x v="6"/>
    <x v="5"/>
    <x v="0"/>
    <n v="340.04"/>
    <s v="5% off"/>
    <n v="17.002000000000002"/>
    <x v="0"/>
    <x v="0"/>
    <n v="323.03800000000001"/>
    <x v="3"/>
    <n v="1"/>
    <s v="Very Poor"/>
  </r>
  <r>
    <s v="21889635-7849-43ac-a289-87cab022abb9"/>
    <x v="8"/>
    <x v="0"/>
    <x v="99"/>
    <x v="3"/>
    <x v="3"/>
    <s v="2024-04-30"/>
    <x v="1"/>
    <x v="0"/>
    <x v="0"/>
    <n v="211.46"/>
    <s v="5% off"/>
    <n v="10.573"/>
    <x v="0"/>
    <x v="1"/>
    <n v="200.887"/>
    <x v="1"/>
    <n v="1"/>
    <s v="Very Poor"/>
  </r>
  <r>
    <s v="875d7cd1-b750-4b53-ac8f-f131479dbc39"/>
    <x v="17"/>
    <x v="1"/>
    <x v="100"/>
    <x v="0"/>
    <x v="22"/>
    <s v="2024-08-09"/>
    <x v="0"/>
    <x v="3"/>
    <x v="0"/>
    <n v="485.26"/>
    <s v="5% off"/>
    <n v="24.263000000000002"/>
    <x v="0"/>
    <x v="1"/>
    <n v="460.99700000000001"/>
    <x v="2"/>
    <n v="5"/>
    <s v="Excellent"/>
  </r>
  <r>
    <s v="180b18bf-8c5a-4e8c-8ac4-cba98939b6a5"/>
    <x v="49"/>
    <x v="0"/>
    <x v="101"/>
    <x v="2"/>
    <x v="24"/>
    <s v="2025-01-28"/>
    <x v="1"/>
    <x v="9"/>
    <x v="1"/>
    <n v="52.44"/>
    <s v="0% off"/>
    <n v="0"/>
    <x v="1"/>
    <x v="1"/>
    <n v="52.44"/>
    <x v="3"/>
    <n v="1"/>
    <s v="Very Poor"/>
  </r>
  <r>
    <s v="0c8b9c20-8fc2-47a6-8f8e-0474c35a84c7"/>
    <x v="10"/>
    <x v="0"/>
    <x v="102"/>
    <x v="6"/>
    <x v="13"/>
    <s v="2024-12-11"/>
    <x v="4"/>
    <x v="7"/>
    <x v="0"/>
    <n v="418.55"/>
    <s v="5% off"/>
    <n v="20.927500000000002"/>
    <x v="0"/>
    <x v="1"/>
    <n v="397.6225"/>
    <x v="0"/>
    <n v="2"/>
    <s v="Poor"/>
  </r>
  <r>
    <s v="d1a0da5b-71eb-4283-a095-f3c5a4b4cce6"/>
    <x v="28"/>
    <x v="0"/>
    <x v="103"/>
    <x v="6"/>
    <x v="13"/>
    <s v="2024-12-20"/>
    <x v="0"/>
    <x v="7"/>
    <x v="0"/>
    <n v="418.55"/>
    <s v="5% off"/>
    <n v="20.927500000000002"/>
    <x v="0"/>
    <x v="0"/>
    <n v="397.6225"/>
    <x v="2"/>
    <n v="3"/>
    <s v="Average"/>
  </r>
  <r>
    <s v="759c6212-8a12-4454-b7b5-95b139ce2fc1"/>
    <x v="48"/>
    <x v="1"/>
    <x v="104"/>
    <x v="4"/>
    <x v="4"/>
    <s v="2024-11-22"/>
    <x v="0"/>
    <x v="1"/>
    <x v="0"/>
    <n v="512.94000000000005"/>
    <s v="10% off"/>
    <n v="51.294000000000011"/>
    <x v="0"/>
    <x v="1"/>
    <n v="461.64600000000007"/>
    <x v="0"/>
    <n v="5"/>
    <s v="Excellent"/>
  </r>
  <r>
    <s v="15d189b4-628a-4332-b991-ec24bcf4cf39"/>
    <x v="2"/>
    <x v="0"/>
    <x v="105"/>
    <x v="3"/>
    <x v="19"/>
    <s v="2024-07-27"/>
    <x v="2"/>
    <x v="2"/>
    <x v="0"/>
    <n v="165.68"/>
    <s v="5% off"/>
    <n v="8.2840000000000007"/>
    <x v="0"/>
    <x v="1"/>
    <n v="157.39600000000002"/>
    <x v="2"/>
    <n v="3"/>
    <s v="Average"/>
  </r>
  <r>
    <s v="13b56da1-b4a1-4082-8457-39193b58ed38"/>
    <x v="40"/>
    <x v="0"/>
    <x v="106"/>
    <x v="1"/>
    <x v="23"/>
    <s v="2024-06-15"/>
    <x v="2"/>
    <x v="11"/>
    <x v="0"/>
    <n v="362.55"/>
    <s v="5% off"/>
    <n v="18.127500000000001"/>
    <x v="0"/>
    <x v="0"/>
    <n v="344.42250000000001"/>
    <x v="1"/>
    <n v="4"/>
    <s v="Good"/>
  </r>
  <r>
    <s v="26b74880-c1fb-4157-820c-ea3f96ad5781"/>
    <x v="18"/>
    <x v="1"/>
    <x v="89"/>
    <x v="3"/>
    <x v="19"/>
    <s v="2024-06-28"/>
    <x v="0"/>
    <x v="11"/>
    <x v="0"/>
    <n v="165.68"/>
    <s v="5% off"/>
    <n v="8.2840000000000007"/>
    <x v="0"/>
    <x v="1"/>
    <n v="157.39600000000002"/>
    <x v="2"/>
    <n v="3"/>
    <s v="Average"/>
  </r>
  <r>
    <s v="162c4b79-50db-470d-be22-c683ff07fe9c"/>
    <x v="48"/>
    <x v="1"/>
    <x v="107"/>
    <x v="6"/>
    <x v="14"/>
    <s v="2024-06-18"/>
    <x v="1"/>
    <x v="11"/>
    <x v="0"/>
    <n v="965.09"/>
    <s v="20% off"/>
    <n v="193.01800000000003"/>
    <x v="0"/>
    <x v="0"/>
    <n v="772.072"/>
    <x v="3"/>
    <n v="1"/>
    <s v="Very Poor"/>
  </r>
  <r>
    <s v="25742766-2a8e-4fe2-b2f4-73c0065e7d20"/>
    <x v="1"/>
    <x v="1"/>
    <x v="108"/>
    <x v="3"/>
    <x v="12"/>
    <s v="2024-07-18"/>
    <x v="3"/>
    <x v="2"/>
    <x v="0"/>
    <n v="270.41000000000003"/>
    <s v="5% off"/>
    <n v="13.520500000000002"/>
    <x v="0"/>
    <x v="1"/>
    <n v="256.8895"/>
    <x v="2"/>
    <n v="3"/>
    <s v="Average"/>
  </r>
  <r>
    <s v="2493a11a-22b6-42a8-abb3-c3a844e42e78"/>
    <x v="24"/>
    <x v="1"/>
    <x v="109"/>
    <x v="0"/>
    <x v="11"/>
    <s v="2024-09-23"/>
    <x v="6"/>
    <x v="10"/>
    <x v="0"/>
    <n v="116.78"/>
    <s v="0% off"/>
    <n v="0"/>
    <x v="1"/>
    <x v="0"/>
    <n v="116.78"/>
    <x v="3"/>
    <n v="2"/>
    <s v="Poor"/>
  </r>
  <r>
    <s v="5cc6082c-c67d-4578-b86f-d707761a6541"/>
    <x v="44"/>
    <x v="0"/>
    <x v="110"/>
    <x v="5"/>
    <x v="16"/>
    <s v="2024-03-27"/>
    <x v="4"/>
    <x v="6"/>
    <x v="0"/>
    <n v="592.26"/>
    <s v="10% off"/>
    <n v="59.225999999999999"/>
    <x v="0"/>
    <x v="0"/>
    <n v="533.03399999999999"/>
    <x v="1"/>
    <n v="3"/>
    <s v="Average"/>
  </r>
  <r>
    <s v="5f03338c-9be9-4d56-81dd-0d8f216372d7"/>
    <x v="22"/>
    <x v="0"/>
    <x v="111"/>
    <x v="4"/>
    <x v="4"/>
    <s v="2024-06-23"/>
    <x v="5"/>
    <x v="11"/>
    <x v="0"/>
    <n v="512.94000000000005"/>
    <s v="10% off"/>
    <n v="51.294000000000011"/>
    <x v="0"/>
    <x v="1"/>
    <n v="461.64600000000007"/>
    <x v="3"/>
    <n v="4"/>
    <s v="Good"/>
  </r>
  <r>
    <s v="a4c2157e-16ef-433a-a337-a21cd4802706"/>
    <x v="37"/>
    <x v="1"/>
    <x v="59"/>
    <x v="0"/>
    <x v="0"/>
    <s v="2025-02-02"/>
    <x v="5"/>
    <x v="8"/>
    <x v="1"/>
    <n v="697.86"/>
    <s v="10% off"/>
    <n v="69.786000000000001"/>
    <x v="0"/>
    <x v="1"/>
    <n v="628.07400000000007"/>
    <x v="1"/>
    <n v="1"/>
    <s v="Very Poor"/>
  </r>
  <r>
    <s v="04305ec1-21e6-4661-8a33-2d953935da76"/>
    <x v="29"/>
    <x v="1"/>
    <x v="112"/>
    <x v="4"/>
    <x v="20"/>
    <s v="2024-12-10"/>
    <x v="1"/>
    <x v="7"/>
    <x v="0"/>
    <n v="260.77999999999997"/>
    <s v="5% off"/>
    <n v="13.039"/>
    <x v="0"/>
    <x v="1"/>
    <n v="247.74099999999999"/>
    <x v="2"/>
    <n v="1"/>
    <s v="Very Poor"/>
  </r>
  <r>
    <s v="428f1dd9-a7e4-4571-9ac1-95688d8bec82"/>
    <x v="2"/>
    <x v="0"/>
    <x v="113"/>
    <x v="5"/>
    <x v="8"/>
    <s v="2024-09-25"/>
    <x v="4"/>
    <x v="10"/>
    <x v="0"/>
    <n v="374.92"/>
    <s v="5% off"/>
    <n v="18.746000000000002"/>
    <x v="0"/>
    <x v="1"/>
    <n v="356.17400000000004"/>
    <x v="1"/>
    <n v="1"/>
    <s v="Very Poor"/>
  </r>
  <r>
    <s v="7ec9c3f1-9be1-4002-8aab-cf894ca95014"/>
    <x v="13"/>
    <x v="0"/>
    <x v="114"/>
    <x v="2"/>
    <x v="18"/>
    <s v="2024-09-20"/>
    <x v="0"/>
    <x v="10"/>
    <x v="0"/>
    <n v="492.1"/>
    <s v="5% off"/>
    <n v="24.605000000000004"/>
    <x v="0"/>
    <x v="0"/>
    <n v="467.495"/>
    <x v="0"/>
    <n v="5"/>
    <s v="Excellent"/>
  </r>
  <r>
    <s v="b1026999-8e84-4374-8945-d40fdf7a37e6"/>
    <x v="20"/>
    <x v="1"/>
    <x v="115"/>
    <x v="0"/>
    <x v="11"/>
    <s v="2024-11-18"/>
    <x v="6"/>
    <x v="1"/>
    <x v="0"/>
    <n v="116.78"/>
    <s v="0% off"/>
    <n v="0"/>
    <x v="1"/>
    <x v="1"/>
    <n v="116.78"/>
    <x v="2"/>
    <n v="2"/>
    <s v="Poor"/>
  </r>
  <r>
    <s v="e8b5532a-4573-48fd-9f67-e0ccd5f19c93"/>
    <x v="8"/>
    <x v="1"/>
    <x v="116"/>
    <x v="0"/>
    <x v="7"/>
    <s v="2025-03-24"/>
    <x v="6"/>
    <x v="6"/>
    <x v="1"/>
    <n v="78.349999999999994"/>
    <s v="0% off"/>
    <n v="0"/>
    <x v="1"/>
    <x v="1"/>
    <n v="78.349999999999994"/>
    <x v="3"/>
    <n v="1"/>
    <s v="Very Poor"/>
  </r>
  <r>
    <s v="c6c989ab-654f-4eb6-8c24-0e267f1cd26d"/>
    <x v="31"/>
    <x v="0"/>
    <x v="117"/>
    <x v="1"/>
    <x v="23"/>
    <s v="2024-11-24"/>
    <x v="5"/>
    <x v="1"/>
    <x v="0"/>
    <n v="362.55"/>
    <s v="5% off"/>
    <n v="18.127500000000001"/>
    <x v="0"/>
    <x v="0"/>
    <n v="344.42250000000001"/>
    <x v="0"/>
    <n v="5"/>
    <s v="Excellent"/>
  </r>
  <r>
    <s v="c1a980fc-b1cf-4d9c-8c2a-0d24b05bf90b"/>
    <x v="24"/>
    <x v="1"/>
    <x v="118"/>
    <x v="4"/>
    <x v="17"/>
    <s v="2024-05-19"/>
    <x v="5"/>
    <x v="4"/>
    <x v="0"/>
    <n v="315.56"/>
    <s v="5% off"/>
    <n v="15.778"/>
    <x v="0"/>
    <x v="0"/>
    <n v="299.78199999999998"/>
    <x v="3"/>
    <n v="3"/>
    <s v="Average"/>
  </r>
  <r>
    <s v="b79f8ed1-1121-4209-8077-70c062503e00"/>
    <x v="5"/>
    <x v="0"/>
    <x v="119"/>
    <x v="1"/>
    <x v="23"/>
    <s v="2024-07-03"/>
    <x v="4"/>
    <x v="2"/>
    <x v="0"/>
    <n v="362.55"/>
    <s v="5% off"/>
    <n v="18.127500000000001"/>
    <x v="0"/>
    <x v="1"/>
    <n v="344.42250000000001"/>
    <x v="1"/>
    <n v="5"/>
    <s v="Excellent"/>
  </r>
  <r>
    <s v="4653b361-321b-47a0-bb02-bfd03d850ea6"/>
    <x v="23"/>
    <x v="1"/>
    <x v="120"/>
    <x v="2"/>
    <x v="27"/>
    <s v="2025-01-27"/>
    <x v="6"/>
    <x v="9"/>
    <x v="1"/>
    <n v="340.04"/>
    <s v="5% off"/>
    <n v="17.002000000000002"/>
    <x v="0"/>
    <x v="0"/>
    <n v="323.03800000000001"/>
    <x v="0"/>
    <n v="2"/>
    <s v="Poor"/>
  </r>
  <r>
    <s v="166040e0-cef7-4d8a-833b-7cb973cc7147"/>
    <x v="31"/>
    <x v="0"/>
    <x v="121"/>
    <x v="5"/>
    <x v="6"/>
    <s v="2024-06-17"/>
    <x v="6"/>
    <x v="11"/>
    <x v="0"/>
    <n v="76.81"/>
    <s v="0% off"/>
    <n v="0"/>
    <x v="1"/>
    <x v="1"/>
    <n v="76.81"/>
    <x v="2"/>
    <n v="1"/>
    <s v="Very Poor"/>
  </r>
  <r>
    <s v="320fdcc0-8b29-4e25-9bb8-c4ac657e7c66"/>
    <x v="18"/>
    <x v="1"/>
    <x v="122"/>
    <x v="4"/>
    <x v="4"/>
    <s v="2024-09-11"/>
    <x v="4"/>
    <x v="10"/>
    <x v="0"/>
    <n v="512.94000000000005"/>
    <s v="10% off"/>
    <n v="51.294000000000011"/>
    <x v="0"/>
    <x v="0"/>
    <n v="461.64600000000007"/>
    <x v="3"/>
    <n v="2"/>
    <s v="Poor"/>
  </r>
  <r>
    <s v="3dac0bfd-6eac-4006-b844-62e023e085df"/>
    <x v="34"/>
    <x v="0"/>
    <x v="123"/>
    <x v="0"/>
    <x v="0"/>
    <s v="2024-12-15"/>
    <x v="5"/>
    <x v="7"/>
    <x v="0"/>
    <n v="697.86"/>
    <s v="10% off"/>
    <n v="69.786000000000001"/>
    <x v="0"/>
    <x v="1"/>
    <n v="628.07400000000007"/>
    <x v="1"/>
    <n v="3"/>
    <s v="Average"/>
  </r>
  <r>
    <s v="d36549e8-5205-4804-ac1c-fea6394b7898"/>
    <x v="3"/>
    <x v="0"/>
    <x v="124"/>
    <x v="2"/>
    <x v="24"/>
    <s v="2024-10-02"/>
    <x v="4"/>
    <x v="5"/>
    <x v="0"/>
    <n v="52.44"/>
    <s v="0% off"/>
    <n v="0"/>
    <x v="1"/>
    <x v="0"/>
    <n v="52.44"/>
    <x v="0"/>
    <n v="2"/>
    <s v="Poor"/>
  </r>
  <r>
    <s v="0c22c4a8-f7d4-444f-8b66-1c7d8b56f35d"/>
    <x v="49"/>
    <x v="1"/>
    <x v="125"/>
    <x v="6"/>
    <x v="21"/>
    <s v="2024-06-07"/>
    <x v="0"/>
    <x v="11"/>
    <x v="0"/>
    <n v="461.81"/>
    <s v="5% off"/>
    <n v="23.090500000000002"/>
    <x v="0"/>
    <x v="0"/>
    <n v="438.71949999999998"/>
    <x v="0"/>
    <n v="2"/>
    <s v="Poor"/>
  </r>
  <r>
    <s v="5ebaee64-6b3e-48f7-a0a8-6920dae6be38"/>
    <x v="33"/>
    <x v="0"/>
    <x v="126"/>
    <x v="3"/>
    <x v="3"/>
    <s v="2024-04-14"/>
    <x v="5"/>
    <x v="0"/>
    <x v="0"/>
    <n v="211.46"/>
    <s v="5% off"/>
    <n v="10.573"/>
    <x v="0"/>
    <x v="1"/>
    <n v="200.887"/>
    <x v="0"/>
    <n v="1"/>
    <s v="Very Poor"/>
  </r>
  <r>
    <s v="bee7f3fb-e68d-4f87-a26b-c56460c24c87"/>
    <x v="19"/>
    <x v="0"/>
    <x v="127"/>
    <x v="0"/>
    <x v="0"/>
    <s v="2024-09-13"/>
    <x v="0"/>
    <x v="10"/>
    <x v="0"/>
    <n v="697.86"/>
    <s v="10% off"/>
    <n v="69.786000000000001"/>
    <x v="0"/>
    <x v="1"/>
    <n v="628.07400000000007"/>
    <x v="1"/>
    <n v="1"/>
    <s v="Very Poor"/>
  </r>
  <r>
    <s v="963971b0-0dbe-406c-8541-83ff62716906"/>
    <x v="47"/>
    <x v="1"/>
    <x v="128"/>
    <x v="4"/>
    <x v="4"/>
    <s v="2025-03-07"/>
    <x v="0"/>
    <x v="6"/>
    <x v="1"/>
    <n v="512.94000000000005"/>
    <s v="10% off"/>
    <n v="51.294000000000011"/>
    <x v="0"/>
    <x v="1"/>
    <n v="461.64600000000007"/>
    <x v="3"/>
    <n v="4"/>
    <s v="Good"/>
  </r>
  <r>
    <s v="0fc3c290-08a1-44ea-9b2a-6361d17afd49"/>
    <x v="37"/>
    <x v="1"/>
    <x v="129"/>
    <x v="3"/>
    <x v="12"/>
    <s v="2024-05-17"/>
    <x v="0"/>
    <x v="4"/>
    <x v="0"/>
    <n v="270.41000000000003"/>
    <s v="5% off"/>
    <n v="13.520500000000002"/>
    <x v="0"/>
    <x v="0"/>
    <n v="256.8895"/>
    <x v="2"/>
    <n v="3"/>
    <s v="Average"/>
  </r>
  <r>
    <s v="f8e5080d-58fe-44a0-ad57-47db0ebc28f9"/>
    <x v="29"/>
    <x v="1"/>
    <x v="130"/>
    <x v="0"/>
    <x v="22"/>
    <s v="2024-07-31"/>
    <x v="4"/>
    <x v="2"/>
    <x v="0"/>
    <n v="485.26"/>
    <s v="5% off"/>
    <n v="24.263000000000002"/>
    <x v="0"/>
    <x v="0"/>
    <n v="460.99700000000001"/>
    <x v="1"/>
    <n v="5"/>
    <s v="Excellent"/>
  </r>
  <r>
    <s v="634a9e24-f99b-4c81-b968-e04146537cda"/>
    <x v="29"/>
    <x v="1"/>
    <x v="131"/>
    <x v="2"/>
    <x v="2"/>
    <s v="2024-11-01"/>
    <x v="0"/>
    <x v="1"/>
    <x v="0"/>
    <n v="493.96"/>
    <s v="5% off"/>
    <n v="24.698"/>
    <x v="0"/>
    <x v="0"/>
    <n v="469.262"/>
    <x v="1"/>
    <n v="3"/>
    <s v="Average"/>
  </r>
  <r>
    <s v="6a2d8519-fc5f-48c9-a375-68e7dbca2c2d"/>
    <x v="47"/>
    <x v="1"/>
    <x v="132"/>
    <x v="3"/>
    <x v="19"/>
    <s v="2024-03-30"/>
    <x v="2"/>
    <x v="6"/>
    <x v="0"/>
    <n v="165.68"/>
    <s v="5% off"/>
    <n v="8.2840000000000007"/>
    <x v="0"/>
    <x v="1"/>
    <n v="157.39600000000002"/>
    <x v="1"/>
    <n v="1"/>
    <s v="Very Poor"/>
  </r>
  <r>
    <s v="d04b215b-a258-4262-b57a-142b1f3a1dc0"/>
    <x v="33"/>
    <x v="0"/>
    <x v="72"/>
    <x v="1"/>
    <x v="25"/>
    <s v="2024-10-30"/>
    <x v="4"/>
    <x v="5"/>
    <x v="0"/>
    <n v="527.16999999999996"/>
    <s v="10% off"/>
    <n v="52.716999999999999"/>
    <x v="0"/>
    <x v="1"/>
    <n v="474.45299999999997"/>
    <x v="1"/>
    <n v="5"/>
    <s v="Excellent"/>
  </r>
  <r>
    <s v="c830775d-fdb9-4fba-bd7c-c857850c9545"/>
    <x v="28"/>
    <x v="0"/>
    <x v="75"/>
    <x v="4"/>
    <x v="5"/>
    <s v="2024-11-01"/>
    <x v="0"/>
    <x v="1"/>
    <x v="0"/>
    <n v="988.77"/>
    <s v="20% off"/>
    <n v="197.75400000000002"/>
    <x v="0"/>
    <x v="1"/>
    <n v="791.01599999999996"/>
    <x v="0"/>
    <n v="4"/>
    <s v="Good"/>
  </r>
  <r>
    <s v="f105de0a-9119-4291-85c0-efeeb618d2fb"/>
    <x v="3"/>
    <x v="0"/>
    <x v="76"/>
    <x v="1"/>
    <x v="23"/>
    <s v="2024-11-07"/>
    <x v="3"/>
    <x v="1"/>
    <x v="0"/>
    <n v="362.55"/>
    <s v="5% off"/>
    <n v="18.127500000000001"/>
    <x v="0"/>
    <x v="1"/>
    <n v="344.42250000000001"/>
    <x v="1"/>
    <n v="2"/>
    <s v="Poor"/>
  </r>
  <r>
    <s v="b35e8e2a-a62b-4137-ae13-0aadd73f34fe"/>
    <x v="49"/>
    <x v="0"/>
    <x v="133"/>
    <x v="2"/>
    <x v="27"/>
    <s v="2024-06-25"/>
    <x v="1"/>
    <x v="11"/>
    <x v="0"/>
    <n v="340.04"/>
    <s v="5% off"/>
    <n v="17.002000000000002"/>
    <x v="0"/>
    <x v="1"/>
    <n v="323.03800000000001"/>
    <x v="0"/>
    <n v="3"/>
    <s v="Average"/>
  </r>
  <r>
    <s v="bae8e3a2-e685-4581-aa83-fc5da80e6a6d"/>
    <x v="20"/>
    <x v="0"/>
    <x v="134"/>
    <x v="6"/>
    <x v="21"/>
    <s v="2024-06-29"/>
    <x v="2"/>
    <x v="11"/>
    <x v="0"/>
    <n v="461.81"/>
    <s v="5% off"/>
    <n v="23.090500000000002"/>
    <x v="0"/>
    <x v="1"/>
    <n v="438.71949999999998"/>
    <x v="3"/>
    <n v="4"/>
    <s v="Good"/>
  </r>
  <r>
    <s v="b66a5f41-f66c-441e-96e0-a6e100c29fd3"/>
    <x v="29"/>
    <x v="0"/>
    <x v="135"/>
    <x v="0"/>
    <x v="0"/>
    <s v="2025-02-05"/>
    <x v="4"/>
    <x v="8"/>
    <x v="1"/>
    <n v="697.86"/>
    <s v="10% off"/>
    <n v="69.786000000000001"/>
    <x v="0"/>
    <x v="0"/>
    <n v="628.07400000000007"/>
    <x v="0"/>
    <n v="2"/>
    <s v="Poor"/>
  </r>
  <r>
    <s v="f4a3ebf1-e726-46b3-b346-b56f2820a762"/>
    <x v="21"/>
    <x v="1"/>
    <x v="136"/>
    <x v="5"/>
    <x v="6"/>
    <s v="2024-07-09"/>
    <x v="1"/>
    <x v="2"/>
    <x v="0"/>
    <n v="76.81"/>
    <s v="0% off"/>
    <n v="0"/>
    <x v="1"/>
    <x v="1"/>
    <n v="76.81"/>
    <x v="1"/>
    <n v="5"/>
    <s v="Excellent"/>
  </r>
  <r>
    <s v="e91410b6-02c9-4a52-936c-2da4c0bdefb5"/>
    <x v="50"/>
    <x v="0"/>
    <x v="137"/>
    <x v="6"/>
    <x v="13"/>
    <s v="2024-06-11"/>
    <x v="1"/>
    <x v="11"/>
    <x v="0"/>
    <n v="418.55"/>
    <s v="5% off"/>
    <n v="20.927500000000002"/>
    <x v="0"/>
    <x v="1"/>
    <n v="397.6225"/>
    <x v="3"/>
    <n v="1"/>
    <s v="Very Poor"/>
  </r>
  <r>
    <s v="8336c841-f722-4c3c-821a-9a12aaa85bee"/>
    <x v="11"/>
    <x v="0"/>
    <x v="0"/>
    <x v="5"/>
    <x v="6"/>
    <s v="2024-09-05"/>
    <x v="3"/>
    <x v="10"/>
    <x v="0"/>
    <n v="76.81"/>
    <s v="0% off"/>
    <n v="0"/>
    <x v="1"/>
    <x v="0"/>
    <n v="76.81"/>
    <x v="3"/>
    <n v="4"/>
    <s v="Good"/>
  </r>
  <r>
    <s v="4f7bde93-b94b-4af3-9cc8-035c0bfb2ed4"/>
    <x v="52"/>
    <x v="0"/>
    <x v="1"/>
    <x v="3"/>
    <x v="12"/>
    <s v="2024-12-09"/>
    <x v="6"/>
    <x v="7"/>
    <x v="0"/>
    <n v="270.41000000000003"/>
    <s v="5% off"/>
    <n v="13.520500000000002"/>
    <x v="0"/>
    <x v="0"/>
    <n v="256.8895"/>
    <x v="1"/>
    <n v="2"/>
    <s v="Poor"/>
  </r>
  <r>
    <s v="36b5cbda-ce58-48b7-badc-9b01bf07bb69"/>
    <x v="30"/>
    <x v="1"/>
    <x v="2"/>
    <x v="5"/>
    <x v="8"/>
    <s v="2024-04-06"/>
    <x v="2"/>
    <x v="0"/>
    <x v="0"/>
    <n v="374.92"/>
    <s v="5% off"/>
    <n v="18.746000000000002"/>
    <x v="0"/>
    <x v="1"/>
    <n v="356.17400000000004"/>
    <x v="3"/>
    <n v="2"/>
    <s v="Poor"/>
  </r>
  <r>
    <s v="eb785e83-b0ba-49d1-aa98-6e89bfccde33"/>
    <x v="11"/>
    <x v="0"/>
    <x v="3"/>
    <x v="1"/>
    <x v="1"/>
    <s v="2024-10-09"/>
    <x v="4"/>
    <x v="5"/>
    <x v="0"/>
    <n v="67.040000000000006"/>
    <s v="0% off"/>
    <n v="0"/>
    <x v="1"/>
    <x v="1"/>
    <n v="67.040000000000006"/>
    <x v="0"/>
    <n v="4"/>
    <s v="Good"/>
  </r>
  <r>
    <s v="14e99172-7913-4752-8a98-7ea839e1d920"/>
    <x v="48"/>
    <x v="0"/>
    <x v="4"/>
    <x v="5"/>
    <x v="9"/>
    <s v="2024-04-15"/>
    <x v="6"/>
    <x v="0"/>
    <x v="0"/>
    <n v="452.97"/>
    <s v="5% off"/>
    <n v="22.648500000000002"/>
    <x v="0"/>
    <x v="1"/>
    <n v="430.32150000000001"/>
    <x v="3"/>
    <n v="4"/>
    <s v="Good"/>
  </r>
  <r>
    <s v="9d837bd6-7e6a-4bd3-bbd0-057211adbfa8"/>
    <x v="28"/>
    <x v="1"/>
    <x v="5"/>
    <x v="6"/>
    <x v="13"/>
    <s v="2024-05-27"/>
    <x v="6"/>
    <x v="4"/>
    <x v="0"/>
    <n v="418.55"/>
    <s v="5% off"/>
    <n v="20.927500000000002"/>
    <x v="0"/>
    <x v="0"/>
    <n v="397.6225"/>
    <x v="1"/>
    <n v="3"/>
    <s v="Average"/>
  </r>
  <r>
    <s v="c90a89dd-6a46-4c84-91b8-285cf9bb2bf0"/>
    <x v="0"/>
    <x v="1"/>
    <x v="6"/>
    <x v="3"/>
    <x v="12"/>
    <s v="2024-09-21"/>
    <x v="2"/>
    <x v="10"/>
    <x v="0"/>
    <n v="270.41000000000003"/>
    <s v="5% off"/>
    <n v="13.520500000000002"/>
    <x v="0"/>
    <x v="0"/>
    <n v="256.8895"/>
    <x v="2"/>
    <n v="2"/>
    <s v="Poor"/>
  </r>
  <r>
    <s v="9ec461c0-b476-4f95-82b7-1e4da37f634d"/>
    <x v="44"/>
    <x v="1"/>
    <x v="7"/>
    <x v="4"/>
    <x v="17"/>
    <s v="2024-09-26"/>
    <x v="3"/>
    <x v="10"/>
    <x v="0"/>
    <n v="315.56"/>
    <s v="5% off"/>
    <n v="15.778"/>
    <x v="0"/>
    <x v="1"/>
    <n v="299.78199999999998"/>
    <x v="3"/>
    <n v="2"/>
    <s v="Poor"/>
  </r>
  <r>
    <s v="21730938-7939-49cc-a0e5-ad04435a1738"/>
    <x v="11"/>
    <x v="0"/>
    <x v="8"/>
    <x v="3"/>
    <x v="19"/>
    <s v="2024-12-25"/>
    <x v="4"/>
    <x v="7"/>
    <x v="0"/>
    <n v="165.68"/>
    <s v="5% off"/>
    <n v="8.2840000000000007"/>
    <x v="0"/>
    <x v="0"/>
    <n v="157.39600000000002"/>
    <x v="0"/>
    <n v="3"/>
    <s v="Average"/>
  </r>
  <r>
    <s v="d8e3afb2-6a49-431c-bf8f-455fa11c1f78"/>
    <x v="43"/>
    <x v="1"/>
    <x v="9"/>
    <x v="5"/>
    <x v="8"/>
    <s v="2025-01-08"/>
    <x v="4"/>
    <x v="9"/>
    <x v="1"/>
    <n v="374.92"/>
    <s v="5% off"/>
    <n v="18.746000000000002"/>
    <x v="0"/>
    <x v="0"/>
    <n v="356.17400000000004"/>
    <x v="1"/>
    <n v="2"/>
    <s v="Poor"/>
  </r>
  <r>
    <s v="fc10a554-8883-443f-8c26-14fbf03b3c59"/>
    <x v="5"/>
    <x v="1"/>
    <x v="10"/>
    <x v="5"/>
    <x v="9"/>
    <s v="2024-03-30"/>
    <x v="2"/>
    <x v="6"/>
    <x v="0"/>
    <n v="452.97"/>
    <s v="5% off"/>
    <n v="22.648500000000002"/>
    <x v="0"/>
    <x v="1"/>
    <n v="430.32150000000001"/>
    <x v="2"/>
    <n v="4"/>
    <s v="Good"/>
  </r>
  <r>
    <s v="b7616a37-9af2-4d29-b434-49064193aa7e"/>
    <x v="39"/>
    <x v="0"/>
    <x v="11"/>
    <x v="4"/>
    <x v="20"/>
    <s v="2025-01-06"/>
    <x v="6"/>
    <x v="9"/>
    <x v="1"/>
    <n v="260.77999999999997"/>
    <s v="5% off"/>
    <n v="13.039"/>
    <x v="0"/>
    <x v="1"/>
    <n v="247.74099999999999"/>
    <x v="3"/>
    <n v="3"/>
    <s v="Average"/>
  </r>
  <r>
    <s v="400c6cdf-9ca5-4881-a072-b2ea1b5bb091"/>
    <x v="27"/>
    <x v="1"/>
    <x v="12"/>
    <x v="0"/>
    <x v="11"/>
    <s v="2025-03-01"/>
    <x v="2"/>
    <x v="6"/>
    <x v="1"/>
    <n v="116.78"/>
    <s v="0% off"/>
    <n v="0"/>
    <x v="1"/>
    <x v="1"/>
    <n v="116.78"/>
    <x v="0"/>
    <n v="3"/>
    <s v="Average"/>
  </r>
  <r>
    <s v="4415db36-ece4-495e-816f-d060713352d7"/>
    <x v="15"/>
    <x v="0"/>
    <x v="13"/>
    <x v="2"/>
    <x v="18"/>
    <s v="2025-03-24"/>
    <x v="6"/>
    <x v="6"/>
    <x v="1"/>
    <n v="492.1"/>
    <s v="5% off"/>
    <n v="24.605000000000004"/>
    <x v="0"/>
    <x v="1"/>
    <n v="467.495"/>
    <x v="2"/>
    <n v="3"/>
    <s v="Average"/>
  </r>
  <r>
    <s v="3f21b05d-8445-42ee-96d3-3a5bc26a3e71"/>
    <x v="11"/>
    <x v="0"/>
    <x v="14"/>
    <x v="3"/>
    <x v="15"/>
    <s v="2025-01-17"/>
    <x v="0"/>
    <x v="9"/>
    <x v="1"/>
    <n v="855.21"/>
    <s v="15% off"/>
    <n v="128.28149999999999"/>
    <x v="0"/>
    <x v="1"/>
    <n v="726.92849999999999"/>
    <x v="3"/>
    <n v="4"/>
    <s v="Good"/>
  </r>
  <r>
    <s v="be6a6d45-d5de-4ded-b37b-5e561c554d02"/>
    <x v="5"/>
    <x v="1"/>
    <x v="15"/>
    <x v="2"/>
    <x v="27"/>
    <s v="2025-01-04"/>
    <x v="2"/>
    <x v="9"/>
    <x v="1"/>
    <n v="340.04"/>
    <s v="5% off"/>
    <n v="17.002000000000002"/>
    <x v="0"/>
    <x v="0"/>
    <n v="323.03800000000001"/>
    <x v="0"/>
    <n v="1"/>
    <s v="Very Poor"/>
  </r>
  <r>
    <s v="2b378485-9781-4f33-a311-3c91d23d7b12"/>
    <x v="23"/>
    <x v="0"/>
    <x v="16"/>
    <x v="5"/>
    <x v="8"/>
    <s v="2024-05-10"/>
    <x v="0"/>
    <x v="4"/>
    <x v="0"/>
    <n v="374.92"/>
    <s v="5% off"/>
    <n v="18.746000000000002"/>
    <x v="0"/>
    <x v="0"/>
    <n v="356.17400000000004"/>
    <x v="3"/>
    <n v="4"/>
    <s v="Good"/>
  </r>
  <r>
    <s v="a9e07945-f40e-43b4-9fcb-b7f0b9b8928d"/>
    <x v="21"/>
    <x v="0"/>
    <x v="17"/>
    <x v="5"/>
    <x v="8"/>
    <s v="2024-04-18"/>
    <x v="3"/>
    <x v="0"/>
    <x v="0"/>
    <n v="374.92"/>
    <s v="5% off"/>
    <n v="18.746000000000002"/>
    <x v="0"/>
    <x v="0"/>
    <n v="356.17400000000004"/>
    <x v="2"/>
    <n v="5"/>
    <s v="Excellent"/>
  </r>
  <r>
    <s v="d6dba64c-a5bb-4209-a169-eade6b128cc8"/>
    <x v="16"/>
    <x v="1"/>
    <x v="18"/>
    <x v="2"/>
    <x v="18"/>
    <s v="2025-02-08"/>
    <x v="2"/>
    <x v="8"/>
    <x v="1"/>
    <n v="492.1"/>
    <s v="5% off"/>
    <n v="24.605000000000004"/>
    <x v="0"/>
    <x v="1"/>
    <n v="467.495"/>
    <x v="1"/>
    <n v="5"/>
    <s v="Excellent"/>
  </r>
  <r>
    <s v="966f8b11-ce11-4a2a-a4c5-e8e149c931b3"/>
    <x v="20"/>
    <x v="1"/>
    <x v="19"/>
    <x v="0"/>
    <x v="7"/>
    <s v="2024-12-25"/>
    <x v="4"/>
    <x v="7"/>
    <x v="0"/>
    <n v="78.349999999999994"/>
    <s v="0% off"/>
    <n v="0"/>
    <x v="1"/>
    <x v="1"/>
    <n v="78.349999999999994"/>
    <x v="0"/>
    <n v="4"/>
    <s v="Good"/>
  </r>
  <r>
    <s v="7f8159b9-3180-4759-9fc3-17412f4a58cc"/>
    <x v="51"/>
    <x v="0"/>
    <x v="20"/>
    <x v="4"/>
    <x v="20"/>
    <s v="2025-01-11"/>
    <x v="2"/>
    <x v="9"/>
    <x v="1"/>
    <n v="260.77999999999997"/>
    <s v="5% off"/>
    <n v="13.039"/>
    <x v="0"/>
    <x v="1"/>
    <n v="247.74099999999999"/>
    <x v="3"/>
    <n v="4"/>
    <s v="Good"/>
  </r>
  <r>
    <s v="84aff56b-389e-44b7-8211-ecdb46a0c0f4"/>
    <x v="27"/>
    <x v="0"/>
    <x v="21"/>
    <x v="2"/>
    <x v="27"/>
    <s v="2025-01-08"/>
    <x v="4"/>
    <x v="9"/>
    <x v="1"/>
    <n v="340.04"/>
    <s v="5% off"/>
    <n v="17.002000000000002"/>
    <x v="0"/>
    <x v="0"/>
    <n v="323.03800000000001"/>
    <x v="2"/>
    <n v="3"/>
    <s v="Average"/>
  </r>
  <r>
    <s v="6bb2938d-6b16-4782-af7d-aa8ef6e636d1"/>
    <x v="41"/>
    <x v="0"/>
    <x v="22"/>
    <x v="4"/>
    <x v="20"/>
    <s v="2024-09-01"/>
    <x v="5"/>
    <x v="10"/>
    <x v="0"/>
    <n v="260.77999999999997"/>
    <s v="5% off"/>
    <n v="13.039"/>
    <x v="0"/>
    <x v="0"/>
    <n v="247.74099999999999"/>
    <x v="0"/>
    <n v="4"/>
    <s v="Good"/>
  </r>
  <r>
    <s v="0d5c0c69-eb6e-4c7e-9d20-7bd1b9623ea9"/>
    <x v="1"/>
    <x v="1"/>
    <x v="23"/>
    <x v="0"/>
    <x v="11"/>
    <s v="2025-03-09"/>
    <x v="5"/>
    <x v="6"/>
    <x v="1"/>
    <n v="116.78"/>
    <s v="0% off"/>
    <n v="0"/>
    <x v="1"/>
    <x v="1"/>
    <n v="116.78"/>
    <x v="1"/>
    <n v="2"/>
    <s v="Poor"/>
  </r>
  <r>
    <s v="335c3627-62ed-40b7-bf80-63d2032b441e"/>
    <x v="51"/>
    <x v="1"/>
    <x v="24"/>
    <x v="1"/>
    <x v="25"/>
    <s v="2024-04-04"/>
    <x v="3"/>
    <x v="0"/>
    <x v="0"/>
    <n v="527.16999999999996"/>
    <s v="10% off"/>
    <n v="52.716999999999999"/>
    <x v="0"/>
    <x v="1"/>
    <n v="474.45299999999997"/>
    <x v="2"/>
    <n v="3"/>
    <s v="Average"/>
  </r>
  <r>
    <s v="4f217faa-305e-4945-a3dc-ac357f40194b"/>
    <x v="30"/>
    <x v="0"/>
    <x v="25"/>
    <x v="3"/>
    <x v="12"/>
    <s v="2025-02-17"/>
    <x v="6"/>
    <x v="8"/>
    <x v="1"/>
    <n v="270.41000000000003"/>
    <s v="5% off"/>
    <n v="13.520500000000002"/>
    <x v="0"/>
    <x v="1"/>
    <n v="256.8895"/>
    <x v="2"/>
    <n v="1"/>
    <s v="Very Poor"/>
  </r>
  <r>
    <s v="fb3b2bb5-6eb1-4752-a32a-7c3eeea5f3bf"/>
    <x v="25"/>
    <x v="0"/>
    <x v="26"/>
    <x v="0"/>
    <x v="0"/>
    <s v="2024-04-11"/>
    <x v="3"/>
    <x v="0"/>
    <x v="0"/>
    <n v="697.86"/>
    <s v="10% off"/>
    <n v="69.786000000000001"/>
    <x v="0"/>
    <x v="0"/>
    <n v="628.07400000000007"/>
    <x v="2"/>
    <n v="3"/>
    <s v="Average"/>
  </r>
  <r>
    <s v="733576d8-5b62-4169-8687-a7800b40acbd"/>
    <x v="49"/>
    <x v="1"/>
    <x v="27"/>
    <x v="0"/>
    <x v="22"/>
    <s v="2024-09-02"/>
    <x v="6"/>
    <x v="10"/>
    <x v="0"/>
    <n v="485.26"/>
    <s v="5% off"/>
    <n v="24.263000000000002"/>
    <x v="0"/>
    <x v="1"/>
    <n v="460.99700000000001"/>
    <x v="3"/>
    <n v="4"/>
    <s v="Good"/>
  </r>
  <r>
    <s v="cf890675-e53b-411e-8775-161312f89de1"/>
    <x v="34"/>
    <x v="1"/>
    <x v="28"/>
    <x v="0"/>
    <x v="7"/>
    <s v="2024-04-06"/>
    <x v="2"/>
    <x v="0"/>
    <x v="0"/>
    <n v="78.349999999999994"/>
    <s v="0% off"/>
    <n v="0"/>
    <x v="1"/>
    <x v="1"/>
    <n v="78.349999999999994"/>
    <x v="2"/>
    <n v="3"/>
    <s v="Average"/>
  </r>
  <r>
    <s v="4d480a8e-c6e4-42d8-b617-d659a535f67c"/>
    <x v="51"/>
    <x v="1"/>
    <x v="29"/>
    <x v="6"/>
    <x v="14"/>
    <s v="2024-05-02"/>
    <x v="3"/>
    <x v="4"/>
    <x v="0"/>
    <n v="965.09"/>
    <s v="20% off"/>
    <n v="193.01800000000003"/>
    <x v="0"/>
    <x v="0"/>
    <n v="772.072"/>
    <x v="2"/>
    <n v="5"/>
    <s v="Excellent"/>
  </r>
  <r>
    <s v="4bdf2513-e541-4d2a-a980-6319a19920f2"/>
    <x v="24"/>
    <x v="1"/>
    <x v="30"/>
    <x v="3"/>
    <x v="19"/>
    <s v="2024-05-23"/>
    <x v="3"/>
    <x v="4"/>
    <x v="0"/>
    <n v="165.68"/>
    <s v="5% off"/>
    <n v="8.2840000000000007"/>
    <x v="0"/>
    <x v="0"/>
    <n v="157.39600000000002"/>
    <x v="1"/>
    <n v="2"/>
    <s v="Poor"/>
  </r>
  <r>
    <s v="189dd37a-31ab-4546-bcb9-b4e58e4cc022"/>
    <x v="34"/>
    <x v="1"/>
    <x v="31"/>
    <x v="5"/>
    <x v="8"/>
    <s v="2024-08-30"/>
    <x v="0"/>
    <x v="3"/>
    <x v="0"/>
    <n v="374.92"/>
    <s v="5% off"/>
    <n v="18.746000000000002"/>
    <x v="0"/>
    <x v="1"/>
    <n v="356.17400000000004"/>
    <x v="2"/>
    <n v="4"/>
    <s v="Good"/>
  </r>
  <r>
    <s v="13706152-b363-44d6-a360-f90f05a549a5"/>
    <x v="15"/>
    <x v="1"/>
    <x v="32"/>
    <x v="2"/>
    <x v="27"/>
    <s v="2024-08-23"/>
    <x v="0"/>
    <x v="3"/>
    <x v="0"/>
    <n v="340.04"/>
    <s v="5% off"/>
    <n v="17.002000000000002"/>
    <x v="0"/>
    <x v="0"/>
    <n v="323.03800000000001"/>
    <x v="3"/>
    <n v="2"/>
    <s v="Poor"/>
  </r>
  <r>
    <s v="33708c9c-0baf-417d-801e-3c55ad2bf2fe"/>
    <x v="52"/>
    <x v="1"/>
    <x v="33"/>
    <x v="0"/>
    <x v="22"/>
    <s v="2024-05-14"/>
    <x v="1"/>
    <x v="4"/>
    <x v="0"/>
    <n v="485.26"/>
    <s v="5% off"/>
    <n v="24.263000000000002"/>
    <x v="0"/>
    <x v="1"/>
    <n v="460.99700000000001"/>
    <x v="0"/>
    <n v="1"/>
    <s v="Very Poor"/>
  </r>
  <r>
    <s v="9dd6e3ba-29d2-41cb-bbad-b8f29a396290"/>
    <x v="43"/>
    <x v="0"/>
    <x v="34"/>
    <x v="3"/>
    <x v="15"/>
    <s v="2024-04-13"/>
    <x v="2"/>
    <x v="0"/>
    <x v="0"/>
    <n v="855.21"/>
    <s v="15% off"/>
    <n v="128.28149999999999"/>
    <x v="0"/>
    <x v="1"/>
    <n v="726.92849999999999"/>
    <x v="0"/>
    <n v="2"/>
    <s v="Poor"/>
  </r>
  <r>
    <s v="9b1a3b69-ee6d-4ea6-b9b9-35945c486862"/>
    <x v="9"/>
    <x v="0"/>
    <x v="35"/>
    <x v="1"/>
    <x v="23"/>
    <s v="2024-12-02"/>
    <x v="6"/>
    <x v="7"/>
    <x v="0"/>
    <n v="362.55"/>
    <s v="5% off"/>
    <n v="18.127500000000001"/>
    <x v="0"/>
    <x v="0"/>
    <n v="344.42250000000001"/>
    <x v="1"/>
    <n v="2"/>
    <s v="Poor"/>
  </r>
  <r>
    <s v="c6b0feae-1f6b-48bd-b307-cad307d28b0f"/>
    <x v="14"/>
    <x v="1"/>
    <x v="36"/>
    <x v="2"/>
    <x v="2"/>
    <s v="2024-12-08"/>
    <x v="5"/>
    <x v="7"/>
    <x v="0"/>
    <n v="493.96"/>
    <s v="5% off"/>
    <n v="24.698"/>
    <x v="0"/>
    <x v="1"/>
    <n v="469.262"/>
    <x v="3"/>
    <n v="3"/>
    <s v="Average"/>
  </r>
  <r>
    <s v="aa5f2daf-1f67-435c-8b11-fea419248e74"/>
    <x v="14"/>
    <x v="1"/>
    <x v="37"/>
    <x v="1"/>
    <x v="23"/>
    <s v="2024-11-12"/>
    <x v="1"/>
    <x v="1"/>
    <x v="0"/>
    <n v="362.55"/>
    <s v="5% off"/>
    <n v="18.127500000000001"/>
    <x v="0"/>
    <x v="0"/>
    <n v="344.42250000000001"/>
    <x v="0"/>
    <n v="3"/>
    <s v="Average"/>
  </r>
  <r>
    <s v="64cc963d-a866-4835-ac8e-8ac974201d03"/>
    <x v="29"/>
    <x v="0"/>
    <x v="38"/>
    <x v="2"/>
    <x v="24"/>
    <s v="2024-04-23"/>
    <x v="1"/>
    <x v="0"/>
    <x v="0"/>
    <n v="52.44"/>
    <s v="0% off"/>
    <n v="0"/>
    <x v="1"/>
    <x v="1"/>
    <n v="52.44"/>
    <x v="3"/>
    <n v="4"/>
    <s v="Good"/>
  </r>
  <r>
    <s v="d953c287-d054-4008-9af8-c9b08936cc5e"/>
    <x v="23"/>
    <x v="1"/>
    <x v="39"/>
    <x v="6"/>
    <x v="13"/>
    <s v="2024-12-22"/>
    <x v="5"/>
    <x v="7"/>
    <x v="0"/>
    <n v="418.55"/>
    <s v="5% off"/>
    <n v="20.927500000000002"/>
    <x v="0"/>
    <x v="1"/>
    <n v="397.6225"/>
    <x v="1"/>
    <n v="1"/>
    <s v="Very Poor"/>
  </r>
  <r>
    <s v="6c1d2179-b49f-42fa-974b-6f889f126f83"/>
    <x v="10"/>
    <x v="0"/>
    <x v="40"/>
    <x v="1"/>
    <x v="25"/>
    <s v="2024-05-03"/>
    <x v="0"/>
    <x v="4"/>
    <x v="0"/>
    <n v="527.16999999999996"/>
    <s v="10% off"/>
    <n v="52.716999999999999"/>
    <x v="0"/>
    <x v="0"/>
    <n v="474.45299999999997"/>
    <x v="1"/>
    <n v="1"/>
    <s v="Very Poor"/>
  </r>
  <r>
    <s v="396eb1d7-2ae8-4ba1-965e-54755ea81883"/>
    <x v="6"/>
    <x v="1"/>
    <x v="41"/>
    <x v="4"/>
    <x v="5"/>
    <s v="2024-07-12"/>
    <x v="0"/>
    <x v="2"/>
    <x v="0"/>
    <n v="988.77"/>
    <s v="20% off"/>
    <n v="197.75400000000002"/>
    <x v="0"/>
    <x v="0"/>
    <n v="791.01599999999996"/>
    <x v="1"/>
    <n v="2"/>
    <s v="Poor"/>
  </r>
  <r>
    <s v="8646b416-24dd-4afb-a106-d45facc127a4"/>
    <x v="50"/>
    <x v="1"/>
    <x v="42"/>
    <x v="2"/>
    <x v="18"/>
    <s v="2024-12-10"/>
    <x v="1"/>
    <x v="7"/>
    <x v="0"/>
    <n v="492.1"/>
    <s v="5% off"/>
    <n v="24.605000000000004"/>
    <x v="0"/>
    <x v="1"/>
    <n v="467.495"/>
    <x v="0"/>
    <n v="1"/>
    <s v="Very Poor"/>
  </r>
  <r>
    <s v="eed097e3-1ff0-4d33-af75-2cf707f7edbe"/>
    <x v="13"/>
    <x v="1"/>
    <x v="43"/>
    <x v="2"/>
    <x v="24"/>
    <s v="2024-12-04"/>
    <x v="4"/>
    <x v="7"/>
    <x v="0"/>
    <n v="52.44"/>
    <s v="0% off"/>
    <n v="0"/>
    <x v="1"/>
    <x v="1"/>
    <n v="52.44"/>
    <x v="1"/>
    <n v="3"/>
    <s v="Average"/>
  </r>
  <r>
    <s v="8c54363c-aa76-4b4e-9056-270df054f052"/>
    <x v="41"/>
    <x v="1"/>
    <x v="44"/>
    <x v="2"/>
    <x v="24"/>
    <s v="2024-08-02"/>
    <x v="0"/>
    <x v="3"/>
    <x v="0"/>
    <n v="52.44"/>
    <s v="0% off"/>
    <n v="0"/>
    <x v="1"/>
    <x v="1"/>
    <n v="52.44"/>
    <x v="2"/>
    <n v="1"/>
    <s v="Very Poor"/>
  </r>
  <r>
    <s v="90d5a7d1-661b-4606-800d-4b297f492543"/>
    <x v="12"/>
    <x v="1"/>
    <x v="45"/>
    <x v="6"/>
    <x v="13"/>
    <s v="2024-08-12"/>
    <x v="6"/>
    <x v="3"/>
    <x v="0"/>
    <n v="418.55"/>
    <s v="5% off"/>
    <n v="20.927500000000002"/>
    <x v="0"/>
    <x v="0"/>
    <n v="397.6225"/>
    <x v="0"/>
    <n v="1"/>
    <s v="Very Poor"/>
  </r>
  <r>
    <s v="753902bf-ea15-495e-9eb9-b55708fe42aa"/>
    <x v="40"/>
    <x v="0"/>
    <x v="46"/>
    <x v="2"/>
    <x v="27"/>
    <s v="2024-10-22"/>
    <x v="1"/>
    <x v="5"/>
    <x v="0"/>
    <n v="340.04"/>
    <s v="5% off"/>
    <n v="17.002000000000002"/>
    <x v="0"/>
    <x v="0"/>
    <n v="323.03800000000001"/>
    <x v="1"/>
    <n v="4"/>
    <s v="Good"/>
  </r>
  <r>
    <s v="9e8bc170-3038-4c0d-a785-e3ba37c377d9"/>
    <x v="39"/>
    <x v="1"/>
    <x v="47"/>
    <x v="2"/>
    <x v="2"/>
    <s v="2024-08-28"/>
    <x v="4"/>
    <x v="3"/>
    <x v="0"/>
    <n v="493.96"/>
    <s v="5% off"/>
    <n v="24.698"/>
    <x v="0"/>
    <x v="1"/>
    <n v="469.262"/>
    <x v="0"/>
    <n v="3"/>
    <s v="Average"/>
  </r>
  <r>
    <s v="dc1f96b8-fc2b-43fb-91ca-a5a2306ea5e9"/>
    <x v="43"/>
    <x v="1"/>
    <x v="48"/>
    <x v="5"/>
    <x v="8"/>
    <s v="2024-07-06"/>
    <x v="2"/>
    <x v="2"/>
    <x v="0"/>
    <n v="374.92"/>
    <s v="5% off"/>
    <n v="18.746000000000002"/>
    <x v="0"/>
    <x v="0"/>
    <n v="356.17400000000004"/>
    <x v="2"/>
    <n v="5"/>
    <s v="Excellent"/>
  </r>
  <r>
    <s v="6485afbb-933d-4ae4-944a-26b52856b69f"/>
    <x v="5"/>
    <x v="0"/>
    <x v="49"/>
    <x v="0"/>
    <x v="7"/>
    <s v="2024-05-08"/>
    <x v="4"/>
    <x v="4"/>
    <x v="0"/>
    <n v="78.349999999999994"/>
    <s v="0% off"/>
    <n v="0"/>
    <x v="1"/>
    <x v="1"/>
    <n v="78.349999999999994"/>
    <x v="3"/>
    <n v="1"/>
    <s v="Very Poor"/>
  </r>
  <r>
    <s v="49b36a40-e02a-4bc5-b808-b45b2f9bda6d"/>
    <x v="43"/>
    <x v="0"/>
    <x v="50"/>
    <x v="3"/>
    <x v="15"/>
    <s v="2024-09-03"/>
    <x v="1"/>
    <x v="10"/>
    <x v="0"/>
    <n v="855.21"/>
    <s v="15% off"/>
    <n v="128.28149999999999"/>
    <x v="0"/>
    <x v="1"/>
    <n v="726.92849999999999"/>
    <x v="1"/>
    <n v="5"/>
    <s v="Excellent"/>
  </r>
  <r>
    <s v="3745d7c0-8f78-4276-af85-871d774bc054"/>
    <x v="42"/>
    <x v="0"/>
    <x v="51"/>
    <x v="2"/>
    <x v="2"/>
    <s v="2024-07-09"/>
    <x v="1"/>
    <x v="2"/>
    <x v="0"/>
    <n v="493.96"/>
    <s v="5% off"/>
    <n v="24.698"/>
    <x v="0"/>
    <x v="1"/>
    <n v="469.262"/>
    <x v="0"/>
    <n v="3"/>
    <s v="Average"/>
  </r>
  <r>
    <s v="6fdf44fb-ca16-4d23-9607-e37ce80229fb"/>
    <x v="48"/>
    <x v="1"/>
    <x v="52"/>
    <x v="2"/>
    <x v="24"/>
    <s v="2024-09-01"/>
    <x v="5"/>
    <x v="10"/>
    <x v="0"/>
    <n v="52.44"/>
    <s v="0% off"/>
    <n v="0"/>
    <x v="1"/>
    <x v="0"/>
    <n v="52.44"/>
    <x v="0"/>
    <n v="4"/>
    <s v="Good"/>
  </r>
  <r>
    <s v="50510d8b-2f33-42f4-a0de-bf1d34e7baa6"/>
    <x v="19"/>
    <x v="0"/>
    <x v="53"/>
    <x v="3"/>
    <x v="12"/>
    <s v="2025-01-12"/>
    <x v="5"/>
    <x v="9"/>
    <x v="1"/>
    <n v="270.41000000000003"/>
    <s v="5% off"/>
    <n v="13.520500000000002"/>
    <x v="0"/>
    <x v="1"/>
    <n v="256.8895"/>
    <x v="1"/>
    <n v="2"/>
    <s v="Poor"/>
  </r>
  <r>
    <s v="22b8ac0a-0bb9-4362-9b4c-437ff2dc62b9"/>
    <x v="0"/>
    <x v="0"/>
    <x v="33"/>
    <x v="3"/>
    <x v="3"/>
    <s v="2024-04-12"/>
    <x v="0"/>
    <x v="0"/>
    <x v="0"/>
    <n v="211.46"/>
    <s v="5% off"/>
    <n v="10.573"/>
    <x v="0"/>
    <x v="0"/>
    <n v="200.887"/>
    <x v="2"/>
    <n v="1"/>
    <s v="Very Poor"/>
  </r>
  <r>
    <s v="8518e67f-958e-40a5-8a29-238ecd210dd0"/>
    <x v="44"/>
    <x v="0"/>
    <x v="54"/>
    <x v="1"/>
    <x v="23"/>
    <s v="2024-08-27"/>
    <x v="1"/>
    <x v="3"/>
    <x v="0"/>
    <n v="362.55"/>
    <s v="5% off"/>
    <n v="18.127500000000001"/>
    <x v="0"/>
    <x v="1"/>
    <n v="344.42250000000001"/>
    <x v="1"/>
    <n v="2"/>
    <s v="Poor"/>
  </r>
  <r>
    <s v="75df50bd-6308-432d-9371-34ff52a27253"/>
    <x v="45"/>
    <x v="0"/>
    <x v="55"/>
    <x v="2"/>
    <x v="27"/>
    <s v="2025-03-19"/>
    <x v="4"/>
    <x v="6"/>
    <x v="1"/>
    <n v="340.04"/>
    <s v="5% off"/>
    <n v="17.002000000000002"/>
    <x v="0"/>
    <x v="0"/>
    <n v="323.03800000000001"/>
    <x v="2"/>
    <n v="5"/>
    <s v="Excellent"/>
  </r>
  <r>
    <s v="ddd80a53-e814-43d9-9c8b-84aa739d3b31"/>
    <x v="13"/>
    <x v="1"/>
    <x v="56"/>
    <x v="0"/>
    <x v="11"/>
    <s v="2025-03-09"/>
    <x v="5"/>
    <x v="6"/>
    <x v="1"/>
    <n v="116.78"/>
    <s v="0% off"/>
    <n v="0"/>
    <x v="1"/>
    <x v="1"/>
    <n v="116.78"/>
    <x v="0"/>
    <n v="4"/>
    <s v="Good"/>
  </r>
  <r>
    <s v="c4ab6bb5-4b6d-4421-8719-05ef16c2556a"/>
    <x v="29"/>
    <x v="1"/>
    <x v="57"/>
    <x v="5"/>
    <x v="16"/>
    <s v="2024-08-03"/>
    <x v="2"/>
    <x v="3"/>
    <x v="0"/>
    <n v="592.26"/>
    <s v="10% off"/>
    <n v="59.225999999999999"/>
    <x v="0"/>
    <x v="1"/>
    <n v="533.03399999999999"/>
    <x v="0"/>
    <n v="2"/>
    <s v="Poor"/>
  </r>
  <r>
    <s v="05d0d286-2de1-41d1-ba66-e3d0d38db5e6"/>
    <x v="33"/>
    <x v="1"/>
    <x v="58"/>
    <x v="0"/>
    <x v="22"/>
    <s v="2024-11-14"/>
    <x v="3"/>
    <x v="1"/>
    <x v="0"/>
    <n v="485.26"/>
    <s v="5% off"/>
    <n v="24.263000000000002"/>
    <x v="0"/>
    <x v="0"/>
    <n v="460.99700000000001"/>
    <x v="1"/>
    <n v="2"/>
    <s v="Poor"/>
  </r>
  <r>
    <s v="234dfd5e-05af-418c-a82a-0fa98f144757"/>
    <x v="27"/>
    <x v="1"/>
    <x v="59"/>
    <x v="3"/>
    <x v="19"/>
    <s v="2024-06-13"/>
    <x v="3"/>
    <x v="11"/>
    <x v="0"/>
    <n v="165.68"/>
    <s v="5% off"/>
    <n v="8.2840000000000007"/>
    <x v="0"/>
    <x v="0"/>
    <n v="157.39600000000002"/>
    <x v="1"/>
    <n v="5"/>
    <s v="Excellent"/>
  </r>
  <r>
    <s v="492e308f-1a06-48ea-ac1f-5d5001753beb"/>
    <x v="43"/>
    <x v="1"/>
    <x v="60"/>
    <x v="1"/>
    <x v="26"/>
    <s v="2024-08-21"/>
    <x v="4"/>
    <x v="3"/>
    <x v="0"/>
    <n v="775.75"/>
    <s v="15% off"/>
    <n v="116.3625"/>
    <x v="0"/>
    <x v="0"/>
    <n v="659.38750000000005"/>
    <x v="3"/>
    <n v="5"/>
    <s v="Excellent"/>
  </r>
  <r>
    <s v="69542273-4956-46ff-a4fb-2022d181bed2"/>
    <x v="43"/>
    <x v="0"/>
    <x v="61"/>
    <x v="0"/>
    <x v="22"/>
    <s v="2024-06-04"/>
    <x v="1"/>
    <x v="11"/>
    <x v="0"/>
    <n v="485.26"/>
    <s v="5% off"/>
    <n v="24.263000000000002"/>
    <x v="0"/>
    <x v="0"/>
    <n v="460.99700000000001"/>
    <x v="0"/>
    <n v="1"/>
    <s v="Very Poor"/>
  </r>
  <r>
    <s v="39e563fd-89e2-46e3-ad55-1c1bd40b9828"/>
    <x v="49"/>
    <x v="0"/>
    <x v="42"/>
    <x v="2"/>
    <x v="24"/>
    <s v="2025-03-01"/>
    <x v="2"/>
    <x v="6"/>
    <x v="1"/>
    <n v="52.44"/>
    <s v="0% off"/>
    <n v="0"/>
    <x v="1"/>
    <x v="1"/>
    <n v="52.44"/>
    <x v="0"/>
    <n v="4"/>
    <s v="Good"/>
  </r>
  <r>
    <s v="c15d4611-2bbe-462e-a595-745c6055b9ad"/>
    <x v="42"/>
    <x v="1"/>
    <x v="62"/>
    <x v="4"/>
    <x v="17"/>
    <s v="2024-05-05"/>
    <x v="5"/>
    <x v="4"/>
    <x v="0"/>
    <n v="315.56"/>
    <s v="5% off"/>
    <n v="15.778"/>
    <x v="0"/>
    <x v="0"/>
    <n v="299.78199999999998"/>
    <x v="0"/>
    <n v="1"/>
    <s v="Very Poor"/>
  </r>
  <r>
    <s v="720eb248-24f5-4fdd-bc8c-c45c52cb6fc2"/>
    <x v="28"/>
    <x v="0"/>
    <x v="63"/>
    <x v="0"/>
    <x v="0"/>
    <s v="2024-10-21"/>
    <x v="6"/>
    <x v="5"/>
    <x v="0"/>
    <n v="697.86"/>
    <s v="10% off"/>
    <n v="69.786000000000001"/>
    <x v="0"/>
    <x v="1"/>
    <n v="628.07400000000007"/>
    <x v="1"/>
    <n v="1"/>
    <s v="Very Poor"/>
  </r>
  <r>
    <s v="a9a30bb2-41c3-4f55-b253-0cc9c4e0b78c"/>
    <x v="15"/>
    <x v="1"/>
    <x v="64"/>
    <x v="3"/>
    <x v="19"/>
    <s v="2024-09-11"/>
    <x v="4"/>
    <x v="10"/>
    <x v="0"/>
    <n v="165.68"/>
    <s v="5% off"/>
    <n v="8.2840000000000007"/>
    <x v="0"/>
    <x v="0"/>
    <n v="157.39600000000002"/>
    <x v="3"/>
    <n v="2"/>
    <s v="Poor"/>
  </r>
  <r>
    <s v="feeb3dcd-1578-41de-8035-ecce3cae36a2"/>
    <x v="6"/>
    <x v="0"/>
    <x v="65"/>
    <x v="1"/>
    <x v="23"/>
    <s v="2024-05-25"/>
    <x v="2"/>
    <x v="4"/>
    <x v="0"/>
    <n v="362.55"/>
    <s v="5% off"/>
    <n v="18.127500000000001"/>
    <x v="0"/>
    <x v="1"/>
    <n v="344.42250000000001"/>
    <x v="0"/>
    <n v="1"/>
    <s v="Very Poor"/>
  </r>
  <r>
    <s v="e83a4a8f-3008-44bb-b6fc-c036451ef4ce"/>
    <x v="6"/>
    <x v="0"/>
    <x v="66"/>
    <x v="2"/>
    <x v="2"/>
    <s v="2025-03-10"/>
    <x v="6"/>
    <x v="6"/>
    <x v="1"/>
    <n v="493.96"/>
    <s v="5% off"/>
    <n v="24.698"/>
    <x v="0"/>
    <x v="1"/>
    <n v="469.262"/>
    <x v="0"/>
    <n v="1"/>
    <s v="Very Poor"/>
  </r>
  <r>
    <s v="ea9ffd64-11f1-4caa-9ad0-8eb1875e7ed8"/>
    <x v="20"/>
    <x v="1"/>
    <x v="67"/>
    <x v="5"/>
    <x v="6"/>
    <s v="2024-11-01"/>
    <x v="0"/>
    <x v="1"/>
    <x v="0"/>
    <n v="76.81"/>
    <s v="0% off"/>
    <n v="0"/>
    <x v="1"/>
    <x v="1"/>
    <n v="76.81"/>
    <x v="2"/>
    <n v="2"/>
    <s v="Poor"/>
  </r>
  <r>
    <s v="2168116f-f3ee-4da3-b2cd-43d2a84dd7ff"/>
    <x v="3"/>
    <x v="0"/>
    <x v="68"/>
    <x v="3"/>
    <x v="12"/>
    <s v="2025-01-22"/>
    <x v="4"/>
    <x v="9"/>
    <x v="1"/>
    <n v="270.41000000000003"/>
    <s v="5% off"/>
    <n v="13.520500000000002"/>
    <x v="0"/>
    <x v="1"/>
    <n v="256.8895"/>
    <x v="3"/>
    <n v="5"/>
    <s v="Excellent"/>
  </r>
  <r>
    <s v="13219bc6-84f5-4227-aa92-cf6b803510db"/>
    <x v="51"/>
    <x v="1"/>
    <x v="69"/>
    <x v="0"/>
    <x v="11"/>
    <s v="2025-03-11"/>
    <x v="1"/>
    <x v="6"/>
    <x v="1"/>
    <n v="116.78"/>
    <s v="0% off"/>
    <n v="0"/>
    <x v="1"/>
    <x v="0"/>
    <n v="116.78"/>
    <x v="3"/>
    <n v="1"/>
    <s v="Very Poor"/>
  </r>
  <r>
    <s v="8534aefc-ba75-435f-855e-b60489809595"/>
    <x v="17"/>
    <x v="1"/>
    <x v="70"/>
    <x v="1"/>
    <x v="1"/>
    <s v="2024-06-20"/>
    <x v="3"/>
    <x v="11"/>
    <x v="0"/>
    <n v="67.040000000000006"/>
    <s v="0% off"/>
    <n v="0"/>
    <x v="1"/>
    <x v="1"/>
    <n v="67.040000000000006"/>
    <x v="0"/>
    <n v="5"/>
    <s v="Excellent"/>
  </r>
  <r>
    <s v="544605c5-ae0f-4c05-9e40-5b9ba9dae450"/>
    <x v="8"/>
    <x v="0"/>
    <x v="71"/>
    <x v="3"/>
    <x v="12"/>
    <s v="2025-02-20"/>
    <x v="3"/>
    <x v="8"/>
    <x v="1"/>
    <n v="270.41000000000003"/>
    <s v="5% off"/>
    <n v="13.520500000000002"/>
    <x v="0"/>
    <x v="1"/>
    <n v="256.8895"/>
    <x v="3"/>
    <n v="1"/>
    <s v="Very Poor"/>
  </r>
  <r>
    <s v="13f42adf-548a-4158-8395-cec2285da022"/>
    <x v="26"/>
    <x v="1"/>
    <x v="72"/>
    <x v="5"/>
    <x v="9"/>
    <s v="2025-01-17"/>
    <x v="0"/>
    <x v="9"/>
    <x v="1"/>
    <n v="452.97"/>
    <s v="5% off"/>
    <n v="22.648500000000002"/>
    <x v="0"/>
    <x v="0"/>
    <n v="430.32150000000001"/>
    <x v="1"/>
    <n v="1"/>
    <s v="Very Poor"/>
  </r>
  <r>
    <s v="551f5024-a0f6-4ee6-9e91-0e64fc443d8b"/>
    <x v="47"/>
    <x v="1"/>
    <x v="73"/>
    <x v="0"/>
    <x v="22"/>
    <s v="2024-08-17"/>
    <x v="2"/>
    <x v="3"/>
    <x v="0"/>
    <n v="485.26"/>
    <s v="5% off"/>
    <n v="24.263000000000002"/>
    <x v="0"/>
    <x v="0"/>
    <n v="460.99700000000001"/>
    <x v="1"/>
    <n v="1"/>
    <s v="Very Poor"/>
  </r>
  <r>
    <s v="d996d48e-eb24-4c02-a4a8-45bad452beb2"/>
    <x v="50"/>
    <x v="0"/>
    <x v="74"/>
    <x v="1"/>
    <x v="23"/>
    <s v="2024-07-19"/>
    <x v="0"/>
    <x v="2"/>
    <x v="0"/>
    <n v="362.55"/>
    <s v="5% off"/>
    <n v="18.127500000000001"/>
    <x v="0"/>
    <x v="0"/>
    <n v="344.42250000000001"/>
    <x v="0"/>
    <n v="1"/>
    <s v="Very Poor"/>
  </r>
  <r>
    <s v="95fe685c-651c-472b-b037-48cf5147df46"/>
    <x v="46"/>
    <x v="1"/>
    <x v="75"/>
    <x v="1"/>
    <x v="26"/>
    <s v="2024-12-22"/>
    <x v="5"/>
    <x v="7"/>
    <x v="0"/>
    <n v="775.75"/>
    <s v="15% off"/>
    <n v="116.3625"/>
    <x v="0"/>
    <x v="0"/>
    <n v="659.38750000000005"/>
    <x v="0"/>
    <n v="5"/>
    <s v="Excellent"/>
  </r>
  <r>
    <s v="7c2fac43-bd51-42e5-941f-dbce8373443e"/>
    <x v="35"/>
    <x v="1"/>
    <x v="76"/>
    <x v="4"/>
    <x v="20"/>
    <s v="2025-02-18"/>
    <x v="1"/>
    <x v="8"/>
    <x v="1"/>
    <n v="260.77999999999997"/>
    <s v="5% off"/>
    <n v="13.039"/>
    <x v="0"/>
    <x v="0"/>
    <n v="247.74099999999999"/>
    <x v="3"/>
    <n v="4"/>
    <s v="Good"/>
  </r>
  <r>
    <s v="e482af17-6968-4cc2-8214-edffbd172beb"/>
    <x v="39"/>
    <x v="0"/>
    <x v="77"/>
    <x v="4"/>
    <x v="5"/>
    <s v="2025-02-07"/>
    <x v="0"/>
    <x v="8"/>
    <x v="1"/>
    <n v="988.77"/>
    <s v="20% off"/>
    <n v="197.75400000000002"/>
    <x v="0"/>
    <x v="0"/>
    <n v="791.01599999999996"/>
    <x v="3"/>
    <n v="4"/>
    <s v="Good"/>
  </r>
  <r>
    <s v="170d37f3-866c-49b0-9272-1906d11b1f25"/>
    <x v="13"/>
    <x v="0"/>
    <x v="78"/>
    <x v="3"/>
    <x v="12"/>
    <s v="2024-04-25"/>
    <x v="3"/>
    <x v="0"/>
    <x v="0"/>
    <n v="270.41000000000003"/>
    <s v="5% off"/>
    <n v="13.520500000000002"/>
    <x v="0"/>
    <x v="0"/>
    <n v="256.8895"/>
    <x v="2"/>
    <n v="2"/>
    <s v="Poor"/>
  </r>
  <r>
    <s v="8a20ccfb-108f-4d91-92a4-e8bc38e6a9b9"/>
    <x v="27"/>
    <x v="0"/>
    <x v="79"/>
    <x v="1"/>
    <x v="26"/>
    <s v="2024-12-22"/>
    <x v="5"/>
    <x v="7"/>
    <x v="0"/>
    <n v="775.75"/>
    <s v="15% off"/>
    <n v="116.3625"/>
    <x v="0"/>
    <x v="1"/>
    <n v="659.38750000000005"/>
    <x v="0"/>
    <n v="4"/>
    <s v="Good"/>
  </r>
  <r>
    <s v="56c48d9c-fada-48eb-bef4-2e17c5c5f382"/>
    <x v="44"/>
    <x v="0"/>
    <x v="80"/>
    <x v="4"/>
    <x v="5"/>
    <s v="2024-09-07"/>
    <x v="2"/>
    <x v="10"/>
    <x v="0"/>
    <n v="988.77"/>
    <s v="20% off"/>
    <n v="197.75400000000002"/>
    <x v="0"/>
    <x v="0"/>
    <n v="791.01599999999996"/>
    <x v="2"/>
    <n v="5"/>
    <s v="Excellent"/>
  </r>
  <r>
    <s v="1d7e0ccb-c8a2-43ac-b496-6c92ef780183"/>
    <x v="6"/>
    <x v="1"/>
    <x v="81"/>
    <x v="4"/>
    <x v="5"/>
    <s v="2024-07-08"/>
    <x v="6"/>
    <x v="2"/>
    <x v="0"/>
    <n v="988.77"/>
    <s v="20% off"/>
    <n v="197.75400000000002"/>
    <x v="0"/>
    <x v="1"/>
    <n v="791.01599999999996"/>
    <x v="1"/>
    <n v="4"/>
    <s v="Good"/>
  </r>
  <r>
    <s v="dd1cde33-3627-45de-b161-a9c83a61d848"/>
    <x v="52"/>
    <x v="0"/>
    <x v="82"/>
    <x v="5"/>
    <x v="8"/>
    <s v="2024-11-14"/>
    <x v="3"/>
    <x v="1"/>
    <x v="0"/>
    <n v="374.92"/>
    <s v="5% off"/>
    <n v="18.746000000000002"/>
    <x v="0"/>
    <x v="1"/>
    <n v="356.17400000000004"/>
    <x v="0"/>
    <n v="3"/>
    <s v="Average"/>
  </r>
  <r>
    <s v="7bbdc6c6-797a-4201-a7e6-f52a75ee16cf"/>
    <x v="18"/>
    <x v="1"/>
    <x v="83"/>
    <x v="0"/>
    <x v="22"/>
    <s v="2024-11-26"/>
    <x v="1"/>
    <x v="1"/>
    <x v="0"/>
    <n v="485.26"/>
    <s v="5% off"/>
    <n v="24.263000000000002"/>
    <x v="0"/>
    <x v="1"/>
    <n v="460.99700000000001"/>
    <x v="3"/>
    <n v="2"/>
    <s v="Poor"/>
  </r>
  <r>
    <s v="92ed29a7-06ae-4883-b218-16c7dab36eff"/>
    <x v="50"/>
    <x v="1"/>
    <x v="84"/>
    <x v="0"/>
    <x v="11"/>
    <s v="2024-09-01"/>
    <x v="5"/>
    <x v="10"/>
    <x v="0"/>
    <n v="116.78"/>
    <s v="0% off"/>
    <n v="0"/>
    <x v="1"/>
    <x v="0"/>
    <n v="116.78"/>
    <x v="2"/>
    <n v="2"/>
    <s v="Poor"/>
  </r>
  <r>
    <s v="f7e90235-fabf-4176-9e38-035459954126"/>
    <x v="52"/>
    <x v="1"/>
    <x v="85"/>
    <x v="3"/>
    <x v="12"/>
    <s v="2024-09-10"/>
    <x v="1"/>
    <x v="10"/>
    <x v="0"/>
    <n v="270.41000000000003"/>
    <s v="5% off"/>
    <n v="13.520500000000002"/>
    <x v="0"/>
    <x v="0"/>
    <n v="256.8895"/>
    <x v="3"/>
    <n v="3"/>
    <s v="Average"/>
  </r>
  <r>
    <s v="37089337-8bae-4a2a-b875-dea8777bacfb"/>
    <x v="18"/>
    <x v="1"/>
    <x v="86"/>
    <x v="6"/>
    <x v="21"/>
    <s v="2025-02-20"/>
    <x v="3"/>
    <x v="8"/>
    <x v="1"/>
    <n v="461.81"/>
    <s v="5% off"/>
    <n v="23.090500000000002"/>
    <x v="0"/>
    <x v="1"/>
    <n v="438.71949999999998"/>
    <x v="1"/>
    <n v="5"/>
    <s v="Excellent"/>
  </r>
  <r>
    <s v="22337fa0-abd8-4a2b-a4c1-6523785be3a9"/>
    <x v="32"/>
    <x v="1"/>
    <x v="87"/>
    <x v="1"/>
    <x v="25"/>
    <s v="2024-10-28"/>
    <x v="6"/>
    <x v="5"/>
    <x v="0"/>
    <n v="527.16999999999996"/>
    <s v="10% off"/>
    <n v="52.716999999999999"/>
    <x v="0"/>
    <x v="0"/>
    <n v="474.45299999999997"/>
    <x v="0"/>
    <n v="3"/>
    <s v="Average"/>
  </r>
  <r>
    <s v="d430c7db-bb69-4dc3-a8ae-f5a62d90c1d1"/>
    <x v="42"/>
    <x v="1"/>
    <x v="88"/>
    <x v="2"/>
    <x v="24"/>
    <s v="2025-01-24"/>
    <x v="0"/>
    <x v="9"/>
    <x v="1"/>
    <n v="52.44"/>
    <s v="0% off"/>
    <n v="0"/>
    <x v="1"/>
    <x v="0"/>
    <n v="52.44"/>
    <x v="2"/>
    <n v="1"/>
    <s v="Very Poor"/>
  </r>
  <r>
    <s v="71e1df9e-d826-4ae4-8f98-b014731cc2cc"/>
    <x v="28"/>
    <x v="1"/>
    <x v="89"/>
    <x v="3"/>
    <x v="12"/>
    <s v="2025-02-23"/>
    <x v="5"/>
    <x v="8"/>
    <x v="1"/>
    <n v="270.41000000000003"/>
    <s v="5% off"/>
    <n v="13.520500000000002"/>
    <x v="0"/>
    <x v="1"/>
    <n v="256.8895"/>
    <x v="3"/>
    <n v="5"/>
    <s v="Excellent"/>
  </r>
  <r>
    <s v="1766dcbc-02cf-49d7-bb48-982e4fa8eba9"/>
    <x v="7"/>
    <x v="1"/>
    <x v="90"/>
    <x v="4"/>
    <x v="17"/>
    <s v="2025-02-19"/>
    <x v="4"/>
    <x v="8"/>
    <x v="1"/>
    <n v="315.56"/>
    <s v="5% off"/>
    <n v="15.778"/>
    <x v="0"/>
    <x v="0"/>
    <n v="299.78199999999998"/>
    <x v="2"/>
    <n v="5"/>
    <s v="Excellent"/>
  </r>
  <r>
    <s v="6ebbbfc9-c629-47b1-9c1d-55f48d3dadd5"/>
    <x v="31"/>
    <x v="1"/>
    <x v="91"/>
    <x v="0"/>
    <x v="0"/>
    <s v="2024-11-22"/>
    <x v="0"/>
    <x v="1"/>
    <x v="0"/>
    <n v="697.86"/>
    <s v="10% off"/>
    <n v="69.786000000000001"/>
    <x v="0"/>
    <x v="0"/>
    <n v="628.07400000000007"/>
    <x v="2"/>
    <n v="4"/>
    <s v="Good"/>
  </r>
  <r>
    <s v="4c6a7631-06c7-443c-94f1-4524666824ad"/>
    <x v="19"/>
    <x v="1"/>
    <x v="92"/>
    <x v="6"/>
    <x v="10"/>
    <s v="2024-05-05"/>
    <x v="5"/>
    <x v="4"/>
    <x v="0"/>
    <n v="782.29"/>
    <s v="15% off"/>
    <n v="117.34349999999999"/>
    <x v="0"/>
    <x v="1"/>
    <n v="664.94650000000001"/>
    <x v="1"/>
    <n v="2"/>
    <s v="Poor"/>
  </r>
  <r>
    <s v="ff44c771-27a7-4a50-ac1d-3347ab87c27f"/>
    <x v="50"/>
    <x v="1"/>
    <x v="93"/>
    <x v="1"/>
    <x v="1"/>
    <s v="2024-09-23"/>
    <x v="6"/>
    <x v="10"/>
    <x v="0"/>
    <n v="67.040000000000006"/>
    <s v="0% off"/>
    <n v="0"/>
    <x v="1"/>
    <x v="1"/>
    <n v="67.040000000000006"/>
    <x v="0"/>
    <n v="5"/>
    <s v="Excellent"/>
  </r>
  <r>
    <s v="8c35f137-7a4d-4d42-b166-ee4e68616dd6"/>
    <x v="19"/>
    <x v="1"/>
    <x v="56"/>
    <x v="4"/>
    <x v="17"/>
    <s v="2025-03-20"/>
    <x v="3"/>
    <x v="6"/>
    <x v="1"/>
    <n v="315.56"/>
    <s v="5% off"/>
    <n v="15.778"/>
    <x v="0"/>
    <x v="1"/>
    <n v="299.78199999999998"/>
    <x v="0"/>
    <n v="4"/>
    <s v="Good"/>
  </r>
  <r>
    <s v="61705439-eaf6-4414-ba52-d223d62676d9"/>
    <x v="18"/>
    <x v="1"/>
    <x v="94"/>
    <x v="5"/>
    <x v="9"/>
    <s v="2024-12-10"/>
    <x v="1"/>
    <x v="7"/>
    <x v="0"/>
    <n v="452.97"/>
    <s v="5% off"/>
    <n v="22.648500000000002"/>
    <x v="0"/>
    <x v="0"/>
    <n v="430.32150000000001"/>
    <x v="0"/>
    <n v="3"/>
    <s v="Average"/>
  </r>
  <r>
    <s v="02c66ef8-04fc-4dc3-abfd-fc7257b75e83"/>
    <x v="0"/>
    <x v="1"/>
    <x v="89"/>
    <x v="4"/>
    <x v="17"/>
    <s v="2024-04-26"/>
    <x v="0"/>
    <x v="0"/>
    <x v="0"/>
    <n v="315.56"/>
    <s v="5% off"/>
    <n v="15.778"/>
    <x v="0"/>
    <x v="1"/>
    <n v="299.78199999999998"/>
    <x v="3"/>
    <n v="5"/>
    <s v="Excellent"/>
  </r>
  <r>
    <s v="781282af-527c-43b2-8e1c-47073272ae64"/>
    <x v="18"/>
    <x v="1"/>
    <x v="95"/>
    <x v="6"/>
    <x v="10"/>
    <s v="2024-08-24"/>
    <x v="2"/>
    <x v="3"/>
    <x v="0"/>
    <n v="782.29"/>
    <s v="15% off"/>
    <n v="117.34349999999999"/>
    <x v="0"/>
    <x v="0"/>
    <n v="664.94650000000001"/>
    <x v="2"/>
    <n v="1"/>
    <s v="Very Poor"/>
  </r>
  <r>
    <s v="e50a5719-7760-4e45-91a5-aacaf67d1c42"/>
    <x v="43"/>
    <x v="0"/>
    <x v="96"/>
    <x v="6"/>
    <x v="13"/>
    <s v="2024-08-31"/>
    <x v="2"/>
    <x v="3"/>
    <x v="0"/>
    <n v="418.55"/>
    <s v="5% off"/>
    <n v="20.927500000000002"/>
    <x v="0"/>
    <x v="1"/>
    <n v="397.6225"/>
    <x v="3"/>
    <n v="4"/>
    <s v="Good"/>
  </r>
  <r>
    <s v="5d943e0e-c431-42c4-aff7-f5e2feedb7ef"/>
    <x v="52"/>
    <x v="1"/>
    <x v="58"/>
    <x v="2"/>
    <x v="18"/>
    <s v="2024-11-04"/>
    <x v="6"/>
    <x v="1"/>
    <x v="0"/>
    <n v="492.1"/>
    <s v="5% off"/>
    <n v="24.605000000000004"/>
    <x v="0"/>
    <x v="0"/>
    <n v="467.495"/>
    <x v="1"/>
    <n v="2"/>
    <s v="Poor"/>
  </r>
  <r>
    <s v="403432f2-f834-4cbc-8b59-ff116cd734a8"/>
    <x v="8"/>
    <x v="1"/>
    <x v="90"/>
    <x v="3"/>
    <x v="19"/>
    <s v="2025-02-15"/>
    <x v="2"/>
    <x v="8"/>
    <x v="1"/>
    <n v="165.68"/>
    <s v="5% off"/>
    <n v="8.2840000000000007"/>
    <x v="0"/>
    <x v="1"/>
    <n v="157.39600000000002"/>
    <x v="0"/>
    <n v="5"/>
    <s v="Excellent"/>
  </r>
  <r>
    <s v="f2f6c064-182d-42d9-8cc2-1338244c9a7a"/>
    <x v="30"/>
    <x v="0"/>
    <x v="91"/>
    <x v="2"/>
    <x v="27"/>
    <s v="2024-11-24"/>
    <x v="5"/>
    <x v="1"/>
    <x v="0"/>
    <n v="340.04"/>
    <s v="5% off"/>
    <n v="17.002000000000002"/>
    <x v="0"/>
    <x v="1"/>
    <n v="323.03800000000001"/>
    <x v="0"/>
    <n v="5"/>
    <s v="Excellent"/>
  </r>
  <r>
    <s v="ed84bc95-5b72-4bc1-a2f3-8f09187aa9f6"/>
    <x v="14"/>
    <x v="0"/>
    <x v="97"/>
    <x v="3"/>
    <x v="3"/>
    <s v="2024-06-21"/>
    <x v="0"/>
    <x v="11"/>
    <x v="0"/>
    <n v="211.46"/>
    <s v="5% off"/>
    <n v="10.573"/>
    <x v="0"/>
    <x v="0"/>
    <n v="200.887"/>
    <x v="0"/>
    <n v="2"/>
    <s v="Poor"/>
  </r>
  <r>
    <s v="b45596d7-d572-42a9-87fe-84bd4aab0f0e"/>
    <x v="52"/>
    <x v="1"/>
    <x v="98"/>
    <x v="0"/>
    <x v="7"/>
    <s v="2024-12-04"/>
    <x v="4"/>
    <x v="7"/>
    <x v="0"/>
    <n v="78.349999999999994"/>
    <s v="0% off"/>
    <n v="0"/>
    <x v="1"/>
    <x v="0"/>
    <n v="78.349999999999994"/>
    <x v="0"/>
    <n v="2"/>
    <s v="Poor"/>
  </r>
  <r>
    <s v="16c3a16b-0797-4a59-9053-35f4453fecbb"/>
    <x v="46"/>
    <x v="0"/>
    <x v="99"/>
    <x v="6"/>
    <x v="13"/>
    <s v="2025-01-20"/>
    <x v="6"/>
    <x v="9"/>
    <x v="1"/>
    <n v="418.55"/>
    <s v="5% off"/>
    <n v="20.927500000000002"/>
    <x v="0"/>
    <x v="1"/>
    <n v="397.6225"/>
    <x v="0"/>
    <n v="5"/>
    <s v="Excellent"/>
  </r>
  <r>
    <s v="7890a9c8-5dbb-4347-8aae-5fa1a55eb3a5"/>
    <x v="24"/>
    <x v="0"/>
    <x v="100"/>
    <x v="6"/>
    <x v="10"/>
    <s v="2024-11-07"/>
    <x v="3"/>
    <x v="1"/>
    <x v="0"/>
    <n v="782.29"/>
    <s v="15% off"/>
    <n v="117.34349999999999"/>
    <x v="0"/>
    <x v="0"/>
    <n v="664.94650000000001"/>
    <x v="3"/>
    <n v="5"/>
    <s v="Excellent"/>
  </r>
  <r>
    <s v="b45bc8fc-4a60-4838-ae11-6bcbeba98380"/>
    <x v="46"/>
    <x v="1"/>
    <x v="101"/>
    <x v="0"/>
    <x v="7"/>
    <s v="2025-01-06"/>
    <x v="6"/>
    <x v="9"/>
    <x v="1"/>
    <n v="78.349999999999994"/>
    <s v="0% off"/>
    <n v="0"/>
    <x v="1"/>
    <x v="1"/>
    <n v="78.349999999999994"/>
    <x v="3"/>
    <n v="2"/>
    <s v="Poor"/>
  </r>
  <r>
    <s v="b9aa1d0d-0348-4bc2-815d-2f65b91fae35"/>
    <x v="49"/>
    <x v="1"/>
    <x v="102"/>
    <x v="0"/>
    <x v="7"/>
    <s v="2025-01-16"/>
    <x v="3"/>
    <x v="9"/>
    <x v="1"/>
    <n v="78.349999999999994"/>
    <s v="0% off"/>
    <n v="0"/>
    <x v="1"/>
    <x v="0"/>
    <n v="78.349999999999994"/>
    <x v="3"/>
    <n v="1"/>
    <s v="Very Poor"/>
  </r>
  <r>
    <s v="72b8acab-b2a1-418d-9f7a-87e93a0e5e2a"/>
    <x v="14"/>
    <x v="1"/>
    <x v="103"/>
    <x v="3"/>
    <x v="3"/>
    <s v="2024-05-01"/>
    <x v="4"/>
    <x v="4"/>
    <x v="0"/>
    <n v="211.46"/>
    <s v="5% off"/>
    <n v="10.573"/>
    <x v="0"/>
    <x v="1"/>
    <n v="200.887"/>
    <x v="3"/>
    <n v="5"/>
    <s v="Excellent"/>
  </r>
  <r>
    <s v="7a8dc954-7095-407c-99ae-bb027407a9b7"/>
    <x v="39"/>
    <x v="0"/>
    <x v="104"/>
    <x v="3"/>
    <x v="19"/>
    <s v="2024-06-29"/>
    <x v="2"/>
    <x v="11"/>
    <x v="0"/>
    <n v="165.68"/>
    <s v="5% off"/>
    <n v="8.2840000000000007"/>
    <x v="0"/>
    <x v="1"/>
    <n v="157.39600000000002"/>
    <x v="3"/>
    <n v="5"/>
    <s v="Excellent"/>
  </r>
  <r>
    <s v="eaf80edb-ff54-4a72-bd3e-a2507d731753"/>
    <x v="41"/>
    <x v="1"/>
    <x v="105"/>
    <x v="2"/>
    <x v="24"/>
    <s v="2024-09-04"/>
    <x v="4"/>
    <x v="10"/>
    <x v="0"/>
    <n v="52.44"/>
    <s v="0% off"/>
    <n v="0"/>
    <x v="1"/>
    <x v="0"/>
    <n v="52.44"/>
    <x v="0"/>
    <n v="4"/>
    <s v="Good"/>
  </r>
  <r>
    <s v="78ddc1dd-bb69-4809-8448-b736cff428ec"/>
    <x v="40"/>
    <x v="1"/>
    <x v="106"/>
    <x v="2"/>
    <x v="24"/>
    <s v="2024-03-28"/>
    <x v="3"/>
    <x v="6"/>
    <x v="0"/>
    <n v="52.44"/>
    <s v="0% off"/>
    <n v="0"/>
    <x v="1"/>
    <x v="0"/>
    <n v="52.44"/>
    <x v="1"/>
    <n v="2"/>
    <s v="Poor"/>
  </r>
  <r>
    <s v="f7fd4d3e-7fc6-4ea1-bc53-1ee3b8d2cffc"/>
    <x v="44"/>
    <x v="0"/>
    <x v="89"/>
    <x v="0"/>
    <x v="11"/>
    <s v="2024-05-09"/>
    <x v="3"/>
    <x v="4"/>
    <x v="0"/>
    <n v="116.78"/>
    <s v="0% off"/>
    <n v="0"/>
    <x v="1"/>
    <x v="0"/>
    <n v="116.78"/>
    <x v="2"/>
    <n v="1"/>
    <s v="Very Poor"/>
  </r>
  <r>
    <s v="01bd55b9-8852-46e9-a4d9-404ab46a2e1c"/>
    <x v="42"/>
    <x v="1"/>
    <x v="107"/>
    <x v="0"/>
    <x v="22"/>
    <s v="2024-11-03"/>
    <x v="5"/>
    <x v="1"/>
    <x v="0"/>
    <n v="485.26"/>
    <s v="5% off"/>
    <n v="24.263000000000002"/>
    <x v="0"/>
    <x v="1"/>
    <n v="460.99700000000001"/>
    <x v="0"/>
    <n v="5"/>
    <s v="Excellent"/>
  </r>
  <r>
    <s v="f364bd25-0704-4aaf-a756-f690a4c47ab5"/>
    <x v="0"/>
    <x v="1"/>
    <x v="108"/>
    <x v="3"/>
    <x v="3"/>
    <s v="2024-11-01"/>
    <x v="0"/>
    <x v="1"/>
    <x v="0"/>
    <n v="211.46"/>
    <s v="5% off"/>
    <n v="10.573"/>
    <x v="0"/>
    <x v="0"/>
    <n v="200.887"/>
    <x v="3"/>
    <n v="2"/>
    <s v="Poor"/>
  </r>
  <r>
    <s v="1dfbdc60-6ace-4988-8882-b57641320afd"/>
    <x v="40"/>
    <x v="0"/>
    <x v="109"/>
    <x v="1"/>
    <x v="25"/>
    <s v="2024-06-27"/>
    <x v="3"/>
    <x v="11"/>
    <x v="0"/>
    <n v="527.16999999999996"/>
    <s v="10% off"/>
    <n v="52.716999999999999"/>
    <x v="0"/>
    <x v="0"/>
    <n v="474.45299999999997"/>
    <x v="1"/>
    <n v="1"/>
    <s v="Very Poor"/>
  </r>
  <r>
    <s v="16f81644-368e-43ad-bb0d-87f7dac7a260"/>
    <x v="28"/>
    <x v="1"/>
    <x v="110"/>
    <x v="4"/>
    <x v="20"/>
    <s v="2024-05-31"/>
    <x v="0"/>
    <x v="4"/>
    <x v="0"/>
    <n v="260.77999999999997"/>
    <s v="5% off"/>
    <n v="13.039"/>
    <x v="0"/>
    <x v="1"/>
    <n v="247.74099999999999"/>
    <x v="3"/>
    <n v="5"/>
    <s v="Excellent"/>
  </r>
  <r>
    <s v="f9dfb84a-9e68-48ef-89e8-0ee73b6289c6"/>
    <x v="50"/>
    <x v="1"/>
    <x v="111"/>
    <x v="5"/>
    <x v="6"/>
    <s v="2025-02-01"/>
    <x v="2"/>
    <x v="8"/>
    <x v="1"/>
    <n v="76.81"/>
    <s v="0% off"/>
    <n v="0"/>
    <x v="1"/>
    <x v="0"/>
    <n v="76.81"/>
    <x v="1"/>
    <n v="4"/>
    <s v="Good"/>
  </r>
  <r>
    <s v="2f827b83-1eac-430b-ae56-f654829d471b"/>
    <x v="8"/>
    <x v="1"/>
    <x v="59"/>
    <x v="1"/>
    <x v="26"/>
    <s v="2025-02-19"/>
    <x v="4"/>
    <x v="8"/>
    <x v="1"/>
    <n v="775.75"/>
    <s v="15% off"/>
    <n v="116.3625"/>
    <x v="0"/>
    <x v="0"/>
    <n v="659.38750000000005"/>
    <x v="1"/>
    <n v="4"/>
    <s v="Good"/>
  </r>
  <r>
    <s v="a1f9a29b-752c-4cac-9ac3-e117a4ec2654"/>
    <x v="44"/>
    <x v="0"/>
    <x v="112"/>
    <x v="5"/>
    <x v="6"/>
    <s v="2024-11-26"/>
    <x v="1"/>
    <x v="1"/>
    <x v="0"/>
    <n v="76.81"/>
    <s v="0% off"/>
    <n v="0"/>
    <x v="1"/>
    <x v="0"/>
    <n v="76.81"/>
    <x v="0"/>
    <n v="4"/>
    <s v="Good"/>
  </r>
  <r>
    <s v="c7a039ad-9304-4413-9c6d-d1ca56ed97c8"/>
    <x v="43"/>
    <x v="0"/>
    <x v="113"/>
    <x v="0"/>
    <x v="0"/>
    <s v="2024-09-19"/>
    <x v="3"/>
    <x v="10"/>
    <x v="0"/>
    <n v="697.86"/>
    <s v="10% off"/>
    <n v="69.786000000000001"/>
    <x v="0"/>
    <x v="0"/>
    <n v="628.07400000000007"/>
    <x v="3"/>
    <n v="3"/>
    <s v="Average"/>
  </r>
  <r>
    <s v="f6258b5c-1ccf-4320-be39-4689adff702c"/>
    <x v="27"/>
    <x v="0"/>
    <x v="114"/>
    <x v="3"/>
    <x v="3"/>
    <s v="2024-12-09"/>
    <x v="6"/>
    <x v="7"/>
    <x v="0"/>
    <n v="211.46"/>
    <s v="5% off"/>
    <n v="10.573"/>
    <x v="0"/>
    <x v="1"/>
    <n v="200.887"/>
    <x v="2"/>
    <n v="4"/>
    <s v="Good"/>
  </r>
  <r>
    <s v="0f64e3db-6f64-4c19-8f1c-eb98235a7d10"/>
    <x v="39"/>
    <x v="0"/>
    <x v="115"/>
    <x v="4"/>
    <x v="17"/>
    <s v="2024-06-11"/>
    <x v="1"/>
    <x v="11"/>
    <x v="0"/>
    <n v="315.56"/>
    <s v="5% off"/>
    <n v="15.778"/>
    <x v="0"/>
    <x v="0"/>
    <n v="299.78199999999998"/>
    <x v="3"/>
    <n v="1"/>
    <s v="Very Poor"/>
  </r>
  <r>
    <s v="d2211cdd-c2b8-476d-9855-4e6e31854b22"/>
    <x v="31"/>
    <x v="1"/>
    <x v="116"/>
    <x v="5"/>
    <x v="16"/>
    <s v="2024-04-12"/>
    <x v="0"/>
    <x v="0"/>
    <x v="0"/>
    <n v="592.26"/>
    <s v="10% off"/>
    <n v="59.225999999999999"/>
    <x v="0"/>
    <x v="0"/>
    <n v="533.03399999999999"/>
    <x v="3"/>
    <n v="2"/>
    <s v="Poor"/>
  </r>
  <r>
    <s v="711f4c2e-3b5f-409a-b1ff-5f6ce4a19088"/>
    <x v="18"/>
    <x v="1"/>
    <x v="117"/>
    <x v="1"/>
    <x v="23"/>
    <s v="2025-03-21"/>
    <x v="0"/>
    <x v="6"/>
    <x v="1"/>
    <n v="362.55"/>
    <s v="5% off"/>
    <n v="18.127500000000001"/>
    <x v="0"/>
    <x v="1"/>
    <n v="344.42250000000001"/>
    <x v="0"/>
    <n v="3"/>
    <s v="Average"/>
  </r>
  <r>
    <s v="74819316-8a17-4871-bf88-f197d3a0b731"/>
    <x v="43"/>
    <x v="0"/>
    <x v="118"/>
    <x v="6"/>
    <x v="13"/>
    <s v="2024-10-08"/>
    <x v="1"/>
    <x v="5"/>
    <x v="0"/>
    <n v="418.55"/>
    <s v="5% off"/>
    <n v="20.927500000000002"/>
    <x v="0"/>
    <x v="1"/>
    <n v="397.6225"/>
    <x v="1"/>
    <n v="5"/>
    <s v="Excellent"/>
  </r>
  <r>
    <s v="0f8a26d6-2f79-4d87-827f-6d1af929f72a"/>
    <x v="47"/>
    <x v="0"/>
    <x v="119"/>
    <x v="0"/>
    <x v="7"/>
    <s v="2024-07-18"/>
    <x v="3"/>
    <x v="2"/>
    <x v="0"/>
    <n v="78.349999999999994"/>
    <s v="0% off"/>
    <n v="0"/>
    <x v="1"/>
    <x v="0"/>
    <n v="78.349999999999994"/>
    <x v="0"/>
    <n v="4"/>
    <s v="Good"/>
  </r>
  <r>
    <s v="83782f38-84c7-49da-896f-60c8cec863a7"/>
    <x v="44"/>
    <x v="1"/>
    <x v="120"/>
    <x v="4"/>
    <x v="17"/>
    <s v="2024-10-28"/>
    <x v="6"/>
    <x v="5"/>
    <x v="0"/>
    <n v="315.56"/>
    <s v="5% off"/>
    <n v="15.778"/>
    <x v="0"/>
    <x v="1"/>
    <n v="299.78199999999998"/>
    <x v="0"/>
    <n v="2"/>
    <s v="Poor"/>
  </r>
  <r>
    <s v="97dcc836-3523-4426-b45a-e4d1a6a79fb0"/>
    <x v="46"/>
    <x v="0"/>
    <x v="121"/>
    <x v="2"/>
    <x v="2"/>
    <s v="2025-02-19"/>
    <x v="4"/>
    <x v="8"/>
    <x v="1"/>
    <n v="493.96"/>
    <s v="5% off"/>
    <n v="24.698"/>
    <x v="0"/>
    <x v="1"/>
    <n v="469.262"/>
    <x v="3"/>
    <n v="4"/>
    <s v="Good"/>
  </r>
  <r>
    <s v="91657511-8965-4fc9-8387-88fb1d2b98b1"/>
    <x v="33"/>
    <x v="0"/>
    <x v="122"/>
    <x v="6"/>
    <x v="14"/>
    <s v="2024-04-15"/>
    <x v="6"/>
    <x v="0"/>
    <x v="0"/>
    <n v="965.09"/>
    <s v="20% off"/>
    <n v="193.01800000000003"/>
    <x v="0"/>
    <x v="1"/>
    <n v="772.072"/>
    <x v="0"/>
    <n v="3"/>
    <s v="Average"/>
  </r>
  <r>
    <s v="7b46e882-7e18-4e80-b836-a50b9f90f59e"/>
    <x v="9"/>
    <x v="1"/>
    <x v="123"/>
    <x v="2"/>
    <x v="24"/>
    <s v="2024-10-01"/>
    <x v="1"/>
    <x v="5"/>
    <x v="0"/>
    <n v="52.44"/>
    <s v="0% off"/>
    <n v="0"/>
    <x v="1"/>
    <x v="1"/>
    <n v="52.44"/>
    <x v="1"/>
    <n v="3"/>
    <s v="Average"/>
  </r>
  <r>
    <s v="329fbe1c-857e-430f-bdc6-cac0480de76d"/>
    <x v="3"/>
    <x v="0"/>
    <x v="124"/>
    <x v="4"/>
    <x v="17"/>
    <s v="2025-01-08"/>
    <x v="4"/>
    <x v="9"/>
    <x v="1"/>
    <n v="315.56"/>
    <s v="5% off"/>
    <n v="15.778"/>
    <x v="0"/>
    <x v="1"/>
    <n v="299.78199999999998"/>
    <x v="2"/>
    <n v="5"/>
    <s v="Excellent"/>
  </r>
  <r>
    <s v="a5ebf711-2cdd-4dc6-8ed7-ec6dd3dbc652"/>
    <x v="24"/>
    <x v="1"/>
    <x v="125"/>
    <x v="3"/>
    <x v="12"/>
    <s v="2024-11-28"/>
    <x v="3"/>
    <x v="1"/>
    <x v="0"/>
    <n v="270.41000000000003"/>
    <s v="5% off"/>
    <n v="13.520500000000002"/>
    <x v="0"/>
    <x v="0"/>
    <n v="256.8895"/>
    <x v="1"/>
    <n v="2"/>
    <s v="Poor"/>
  </r>
  <r>
    <s v="91c1e36c-8dac-42c0-a545-4e15ba50e3b1"/>
    <x v="17"/>
    <x v="1"/>
    <x v="126"/>
    <x v="2"/>
    <x v="2"/>
    <s v="2024-11-08"/>
    <x v="0"/>
    <x v="1"/>
    <x v="0"/>
    <n v="493.96"/>
    <s v="5% off"/>
    <n v="24.698"/>
    <x v="0"/>
    <x v="0"/>
    <n v="469.262"/>
    <x v="1"/>
    <n v="2"/>
    <s v="Poor"/>
  </r>
  <r>
    <s v="5757577e-f462-4a2b-85f5-33534427df71"/>
    <x v="34"/>
    <x v="0"/>
    <x v="127"/>
    <x v="2"/>
    <x v="27"/>
    <s v="2024-06-24"/>
    <x v="6"/>
    <x v="11"/>
    <x v="0"/>
    <n v="340.04"/>
    <s v="5% off"/>
    <n v="17.002000000000002"/>
    <x v="0"/>
    <x v="1"/>
    <n v="323.03800000000001"/>
    <x v="2"/>
    <n v="3"/>
    <s v="Average"/>
  </r>
  <r>
    <s v="d3883870-e131-4377-a41f-186434b2a2f8"/>
    <x v="6"/>
    <x v="0"/>
    <x v="128"/>
    <x v="1"/>
    <x v="23"/>
    <s v="2024-12-21"/>
    <x v="2"/>
    <x v="7"/>
    <x v="0"/>
    <n v="362.55"/>
    <s v="5% off"/>
    <n v="18.127500000000001"/>
    <x v="0"/>
    <x v="1"/>
    <n v="344.42250000000001"/>
    <x v="3"/>
    <n v="5"/>
    <s v="Excellent"/>
  </r>
  <r>
    <s v="af5be90e-7819-409d-9a24-51cca3107f19"/>
    <x v="2"/>
    <x v="0"/>
    <x v="129"/>
    <x v="6"/>
    <x v="13"/>
    <s v="2025-03-07"/>
    <x v="0"/>
    <x v="6"/>
    <x v="1"/>
    <n v="418.55"/>
    <s v="5% off"/>
    <n v="20.927500000000002"/>
    <x v="0"/>
    <x v="0"/>
    <n v="397.6225"/>
    <x v="2"/>
    <n v="4"/>
    <s v="Good"/>
  </r>
  <r>
    <s v="7f7d2bc7-7fdf-4129-b4c7-d11b6c22ac2e"/>
    <x v="41"/>
    <x v="0"/>
    <x v="130"/>
    <x v="3"/>
    <x v="3"/>
    <s v="2024-10-15"/>
    <x v="1"/>
    <x v="5"/>
    <x v="0"/>
    <n v="211.46"/>
    <s v="5% off"/>
    <n v="10.573"/>
    <x v="0"/>
    <x v="0"/>
    <n v="200.887"/>
    <x v="1"/>
    <n v="1"/>
    <s v="Very Poor"/>
  </r>
  <r>
    <s v="17e63a13-4be3-4ba0-8399-d05b264663e6"/>
    <x v="30"/>
    <x v="1"/>
    <x v="131"/>
    <x v="6"/>
    <x v="13"/>
    <s v="2024-05-18"/>
    <x v="2"/>
    <x v="4"/>
    <x v="0"/>
    <n v="418.55"/>
    <s v="5% off"/>
    <n v="20.927500000000002"/>
    <x v="0"/>
    <x v="1"/>
    <n v="397.6225"/>
    <x v="3"/>
    <n v="5"/>
    <s v="Excellent"/>
  </r>
  <r>
    <s v="b95ab515-a567-4109-8644-34de4fb64359"/>
    <x v="19"/>
    <x v="1"/>
    <x v="132"/>
    <x v="6"/>
    <x v="21"/>
    <s v="2024-07-14"/>
    <x v="5"/>
    <x v="2"/>
    <x v="0"/>
    <n v="461.81"/>
    <s v="5% off"/>
    <n v="23.090500000000002"/>
    <x v="0"/>
    <x v="0"/>
    <n v="438.71949999999998"/>
    <x v="0"/>
    <n v="4"/>
    <s v="Good"/>
  </r>
  <r>
    <s v="edf15c33-2c24-4b17-90c5-0bc0f1bd74ec"/>
    <x v="1"/>
    <x v="0"/>
    <x v="72"/>
    <x v="5"/>
    <x v="6"/>
    <s v="2024-05-21"/>
    <x v="1"/>
    <x v="4"/>
    <x v="0"/>
    <n v="76.81"/>
    <s v="0% off"/>
    <n v="0"/>
    <x v="1"/>
    <x v="1"/>
    <n v="76.81"/>
    <x v="1"/>
    <n v="2"/>
    <s v="Poor"/>
  </r>
  <r>
    <s v="1980b440-94c5-44a6-9e1d-69c4c18c0cf2"/>
    <x v="5"/>
    <x v="0"/>
    <x v="75"/>
    <x v="5"/>
    <x v="6"/>
    <s v="2024-09-29"/>
    <x v="5"/>
    <x v="10"/>
    <x v="0"/>
    <n v="76.81"/>
    <s v="0% off"/>
    <n v="0"/>
    <x v="1"/>
    <x v="1"/>
    <n v="76.81"/>
    <x v="3"/>
    <n v="3"/>
    <s v="Average"/>
  </r>
  <r>
    <s v="2a028351-a7aa-450a-a62e-2a71c9742ead"/>
    <x v="29"/>
    <x v="1"/>
    <x v="76"/>
    <x v="0"/>
    <x v="0"/>
    <s v="2025-02-01"/>
    <x v="2"/>
    <x v="8"/>
    <x v="1"/>
    <n v="697.86"/>
    <s v="10% off"/>
    <n v="69.786000000000001"/>
    <x v="0"/>
    <x v="0"/>
    <n v="628.07400000000007"/>
    <x v="3"/>
    <n v="2"/>
    <s v="Poor"/>
  </r>
  <r>
    <s v="f5421696-a8a9-4da6-b7d3-7ff1ce21c3f7"/>
    <x v="37"/>
    <x v="1"/>
    <x v="133"/>
    <x v="3"/>
    <x v="12"/>
    <s v="2024-06-02"/>
    <x v="5"/>
    <x v="11"/>
    <x v="0"/>
    <n v="270.41000000000003"/>
    <s v="5% off"/>
    <n v="13.520500000000002"/>
    <x v="0"/>
    <x v="1"/>
    <n v="256.8895"/>
    <x v="2"/>
    <n v="4"/>
    <s v="Good"/>
  </r>
  <r>
    <s v="5847d790-8158-4f8f-ad78-a5f86ed7a5a8"/>
    <x v="6"/>
    <x v="0"/>
    <x v="134"/>
    <x v="3"/>
    <x v="15"/>
    <s v="2024-04-11"/>
    <x v="3"/>
    <x v="0"/>
    <x v="0"/>
    <n v="855.21"/>
    <s v="15% off"/>
    <n v="128.28149999999999"/>
    <x v="0"/>
    <x v="1"/>
    <n v="726.92849999999999"/>
    <x v="1"/>
    <n v="3"/>
    <s v="Average"/>
  </r>
  <r>
    <s v="a965f481-3b74-436f-a6c6-cf4b80efcd04"/>
    <x v="2"/>
    <x v="0"/>
    <x v="135"/>
    <x v="2"/>
    <x v="24"/>
    <s v="2025-02-05"/>
    <x v="4"/>
    <x v="8"/>
    <x v="1"/>
    <n v="52.44"/>
    <s v="0% off"/>
    <n v="0"/>
    <x v="1"/>
    <x v="1"/>
    <n v="52.44"/>
    <x v="0"/>
    <n v="2"/>
    <s v="Poor"/>
  </r>
  <r>
    <s v="6bebc377-298c-4a97-b723-ea4fe6410ff1"/>
    <x v="11"/>
    <x v="1"/>
    <x v="136"/>
    <x v="6"/>
    <x v="10"/>
    <s v="2024-12-16"/>
    <x v="6"/>
    <x v="7"/>
    <x v="0"/>
    <n v="782.29"/>
    <s v="15% off"/>
    <n v="117.34349999999999"/>
    <x v="0"/>
    <x v="0"/>
    <n v="664.94650000000001"/>
    <x v="1"/>
    <n v="5"/>
    <s v="Excellent"/>
  </r>
  <r>
    <s v="1d453d29-7ea1-4aa5-bc3e-c0d3d72c4646"/>
    <x v="47"/>
    <x v="1"/>
    <x v="137"/>
    <x v="3"/>
    <x v="3"/>
    <s v="2024-07-07"/>
    <x v="5"/>
    <x v="2"/>
    <x v="0"/>
    <n v="211.46"/>
    <s v="5% off"/>
    <n v="10.573"/>
    <x v="0"/>
    <x v="0"/>
    <n v="200.887"/>
    <x v="3"/>
    <n v="1"/>
    <s v="Very Poor"/>
  </r>
  <r>
    <s v="5df76df7-e062-41a8-83c1-8aa29bcdb00f"/>
    <x v="0"/>
    <x v="1"/>
    <x v="0"/>
    <x v="1"/>
    <x v="26"/>
    <s v="2025-03-16"/>
    <x v="5"/>
    <x v="6"/>
    <x v="1"/>
    <n v="775.75"/>
    <s v="15% off"/>
    <n v="116.3625"/>
    <x v="0"/>
    <x v="1"/>
    <n v="659.38750000000005"/>
    <x v="0"/>
    <n v="5"/>
    <s v="Excellent"/>
  </r>
  <r>
    <s v="e74d8af0-7b6d-4d33-89eb-98aedd563479"/>
    <x v="6"/>
    <x v="1"/>
    <x v="1"/>
    <x v="5"/>
    <x v="9"/>
    <s v="2024-09-10"/>
    <x v="1"/>
    <x v="10"/>
    <x v="0"/>
    <n v="452.97"/>
    <s v="5% off"/>
    <n v="22.648500000000002"/>
    <x v="0"/>
    <x v="0"/>
    <n v="430.32150000000001"/>
    <x v="3"/>
    <n v="4"/>
    <s v="Good"/>
  </r>
  <r>
    <s v="adb6d9d5-7dd4-42f6-aa53-3fbb5245a2d0"/>
    <x v="35"/>
    <x v="1"/>
    <x v="2"/>
    <x v="3"/>
    <x v="19"/>
    <s v="2025-03-01"/>
    <x v="2"/>
    <x v="6"/>
    <x v="1"/>
    <n v="165.68"/>
    <s v="5% off"/>
    <n v="8.2840000000000007"/>
    <x v="0"/>
    <x v="1"/>
    <n v="157.39600000000002"/>
    <x v="2"/>
    <n v="3"/>
    <s v="Average"/>
  </r>
  <r>
    <s v="495f9ea2-f14c-49c9-9f4d-5428fe6f126c"/>
    <x v="26"/>
    <x v="1"/>
    <x v="3"/>
    <x v="1"/>
    <x v="25"/>
    <s v="2024-10-10"/>
    <x v="3"/>
    <x v="5"/>
    <x v="0"/>
    <n v="527.16999999999996"/>
    <s v="10% off"/>
    <n v="52.716999999999999"/>
    <x v="0"/>
    <x v="1"/>
    <n v="474.45299999999997"/>
    <x v="3"/>
    <n v="3"/>
    <s v="Average"/>
  </r>
  <r>
    <s v="3ccd1a5b-7e20-4573-86a7-505c4abaa3fe"/>
    <x v="26"/>
    <x v="1"/>
    <x v="4"/>
    <x v="6"/>
    <x v="10"/>
    <s v="2024-12-24"/>
    <x v="1"/>
    <x v="7"/>
    <x v="0"/>
    <n v="782.29"/>
    <s v="15% off"/>
    <n v="117.34349999999999"/>
    <x v="0"/>
    <x v="0"/>
    <n v="664.94650000000001"/>
    <x v="0"/>
    <n v="5"/>
    <s v="Excellent"/>
  </r>
  <r>
    <s v="bb7ff01a-02a1-45e4-be59-bb112cd86e87"/>
    <x v="19"/>
    <x v="1"/>
    <x v="5"/>
    <x v="1"/>
    <x v="1"/>
    <s v="2025-01-18"/>
    <x v="2"/>
    <x v="9"/>
    <x v="1"/>
    <n v="67.040000000000006"/>
    <s v="0% off"/>
    <n v="0"/>
    <x v="1"/>
    <x v="0"/>
    <n v="67.040000000000006"/>
    <x v="1"/>
    <n v="1"/>
    <s v="Very Poor"/>
  </r>
  <r>
    <s v="ae31449f-26d1-4a70-ba09-e5b765a05085"/>
    <x v="6"/>
    <x v="1"/>
    <x v="6"/>
    <x v="5"/>
    <x v="8"/>
    <s v="2024-10-19"/>
    <x v="2"/>
    <x v="5"/>
    <x v="0"/>
    <n v="374.92"/>
    <s v="5% off"/>
    <n v="18.746000000000002"/>
    <x v="0"/>
    <x v="1"/>
    <n v="356.17400000000004"/>
    <x v="2"/>
    <n v="1"/>
    <s v="Very Poor"/>
  </r>
  <r>
    <s v="05e79d00-55d7-4fa5-9d13-eb08e98f87c2"/>
    <x v="10"/>
    <x v="1"/>
    <x v="7"/>
    <x v="3"/>
    <x v="3"/>
    <s v="2025-03-01"/>
    <x v="2"/>
    <x v="6"/>
    <x v="1"/>
    <n v="211.46"/>
    <s v="5% off"/>
    <n v="10.573"/>
    <x v="0"/>
    <x v="0"/>
    <n v="200.887"/>
    <x v="1"/>
    <n v="2"/>
    <s v="Poor"/>
  </r>
  <r>
    <s v="6eec469a-1878-47db-a8b4-fadd5d00dd28"/>
    <x v="36"/>
    <x v="1"/>
    <x v="8"/>
    <x v="1"/>
    <x v="1"/>
    <s v="2024-10-07"/>
    <x v="6"/>
    <x v="5"/>
    <x v="0"/>
    <n v="67.040000000000006"/>
    <s v="0% off"/>
    <n v="0"/>
    <x v="1"/>
    <x v="1"/>
    <n v="67.040000000000006"/>
    <x v="3"/>
    <n v="2"/>
    <s v="Poor"/>
  </r>
  <r>
    <s v="5d88a2dc-3f6a-4bec-9197-d5ec5f6b58f4"/>
    <x v="51"/>
    <x v="0"/>
    <x v="9"/>
    <x v="6"/>
    <x v="13"/>
    <s v="2024-08-09"/>
    <x v="0"/>
    <x v="3"/>
    <x v="0"/>
    <n v="418.55"/>
    <s v="5% off"/>
    <n v="20.927500000000002"/>
    <x v="0"/>
    <x v="1"/>
    <n v="397.6225"/>
    <x v="2"/>
    <n v="3"/>
    <s v="Average"/>
  </r>
  <r>
    <s v="74306972-b470-446c-880b-ca97fcb54315"/>
    <x v="20"/>
    <x v="0"/>
    <x v="10"/>
    <x v="2"/>
    <x v="24"/>
    <s v="2024-08-20"/>
    <x v="1"/>
    <x v="3"/>
    <x v="0"/>
    <n v="52.44"/>
    <s v="0% off"/>
    <n v="0"/>
    <x v="1"/>
    <x v="1"/>
    <n v="52.44"/>
    <x v="2"/>
    <n v="4"/>
    <s v="Good"/>
  </r>
  <r>
    <s v="e7cef76d-e1da-4d36-a9a4-41d838748c0c"/>
    <x v="32"/>
    <x v="0"/>
    <x v="11"/>
    <x v="5"/>
    <x v="6"/>
    <s v="2024-10-19"/>
    <x v="2"/>
    <x v="5"/>
    <x v="0"/>
    <n v="76.81"/>
    <s v="0% off"/>
    <n v="0"/>
    <x v="1"/>
    <x v="0"/>
    <n v="76.81"/>
    <x v="3"/>
    <n v="3"/>
    <s v="Average"/>
  </r>
  <r>
    <s v="84bade59-1057-4ee4-a339-8792a568ae9e"/>
    <x v="42"/>
    <x v="0"/>
    <x v="12"/>
    <x v="5"/>
    <x v="6"/>
    <s v="2024-05-10"/>
    <x v="0"/>
    <x v="4"/>
    <x v="0"/>
    <n v="76.81"/>
    <s v="0% off"/>
    <n v="0"/>
    <x v="1"/>
    <x v="1"/>
    <n v="76.81"/>
    <x v="2"/>
    <n v="5"/>
    <s v="Excellent"/>
  </r>
  <r>
    <s v="515208f6-2b4e-4bc3-9e71-d2bb42057a19"/>
    <x v="31"/>
    <x v="1"/>
    <x v="13"/>
    <x v="2"/>
    <x v="24"/>
    <s v="2024-07-09"/>
    <x v="1"/>
    <x v="2"/>
    <x v="0"/>
    <n v="52.44"/>
    <s v="0% off"/>
    <n v="0"/>
    <x v="1"/>
    <x v="0"/>
    <n v="52.44"/>
    <x v="2"/>
    <n v="1"/>
    <s v="Very Poor"/>
  </r>
  <r>
    <s v="d8fcdc45-9520-4232-bac1-2895801f8be4"/>
    <x v="46"/>
    <x v="1"/>
    <x v="14"/>
    <x v="2"/>
    <x v="24"/>
    <s v="2024-06-30"/>
    <x v="5"/>
    <x v="11"/>
    <x v="0"/>
    <n v="52.44"/>
    <s v="0% off"/>
    <n v="0"/>
    <x v="1"/>
    <x v="0"/>
    <n v="52.44"/>
    <x v="1"/>
    <n v="3"/>
    <s v="Average"/>
  </r>
  <r>
    <s v="40e21c3c-a9a5-40b6-bf39-8ef9d4be08be"/>
    <x v="7"/>
    <x v="1"/>
    <x v="15"/>
    <x v="4"/>
    <x v="4"/>
    <s v="2024-11-05"/>
    <x v="1"/>
    <x v="1"/>
    <x v="0"/>
    <n v="512.94000000000005"/>
    <s v="10% off"/>
    <n v="51.294000000000011"/>
    <x v="0"/>
    <x v="0"/>
    <n v="461.64600000000007"/>
    <x v="3"/>
    <n v="5"/>
    <s v="Excellent"/>
  </r>
  <r>
    <s v="f4b54c11-fb52-413c-9188-b38a027e0654"/>
    <x v="21"/>
    <x v="1"/>
    <x v="16"/>
    <x v="6"/>
    <x v="10"/>
    <s v="2025-03-08"/>
    <x v="2"/>
    <x v="6"/>
    <x v="1"/>
    <n v="782.29"/>
    <s v="15% off"/>
    <n v="117.34349999999999"/>
    <x v="0"/>
    <x v="0"/>
    <n v="664.94650000000001"/>
    <x v="1"/>
    <n v="4"/>
    <s v="Good"/>
  </r>
  <r>
    <s v="9458b095-fa79-4627-8d36-79fdcff3cfb4"/>
    <x v="14"/>
    <x v="1"/>
    <x v="17"/>
    <x v="5"/>
    <x v="16"/>
    <s v="2025-01-29"/>
    <x v="4"/>
    <x v="9"/>
    <x v="1"/>
    <n v="592.26"/>
    <s v="10% off"/>
    <n v="59.225999999999999"/>
    <x v="0"/>
    <x v="1"/>
    <n v="533.03399999999999"/>
    <x v="2"/>
    <n v="1"/>
    <s v="Very Poor"/>
  </r>
  <r>
    <s v="a4940109-935c-4cab-9d6d-9f87ceb9965c"/>
    <x v="5"/>
    <x v="0"/>
    <x v="18"/>
    <x v="1"/>
    <x v="25"/>
    <s v="2024-05-24"/>
    <x v="0"/>
    <x v="4"/>
    <x v="0"/>
    <n v="527.16999999999996"/>
    <s v="10% off"/>
    <n v="52.716999999999999"/>
    <x v="0"/>
    <x v="0"/>
    <n v="474.45299999999997"/>
    <x v="3"/>
    <n v="5"/>
    <s v="Excellent"/>
  </r>
  <r>
    <s v="cf12200c-5fc1-4f75-b276-c00e32e6c1c8"/>
    <x v="41"/>
    <x v="0"/>
    <x v="19"/>
    <x v="2"/>
    <x v="27"/>
    <s v="2024-05-23"/>
    <x v="3"/>
    <x v="4"/>
    <x v="0"/>
    <n v="340.04"/>
    <s v="5% off"/>
    <n v="17.002000000000002"/>
    <x v="0"/>
    <x v="1"/>
    <n v="323.03800000000001"/>
    <x v="1"/>
    <n v="5"/>
    <s v="Excellent"/>
  </r>
  <r>
    <s v="85f4a5d0-15bf-4286-bd92-1e8829db1f9f"/>
    <x v="13"/>
    <x v="1"/>
    <x v="20"/>
    <x v="1"/>
    <x v="1"/>
    <s v="2024-05-15"/>
    <x v="4"/>
    <x v="4"/>
    <x v="0"/>
    <n v="67.040000000000006"/>
    <s v="0% off"/>
    <n v="0"/>
    <x v="1"/>
    <x v="0"/>
    <n v="67.040000000000006"/>
    <x v="2"/>
    <n v="2"/>
    <s v="Poor"/>
  </r>
  <r>
    <s v="82eccd0c-2b8c-4746-83d2-123ece774f3b"/>
    <x v="41"/>
    <x v="0"/>
    <x v="21"/>
    <x v="3"/>
    <x v="3"/>
    <s v="2025-02-03"/>
    <x v="6"/>
    <x v="8"/>
    <x v="1"/>
    <n v="211.46"/>
    <s v="5% off"/>
    <n v="10.573"/>
    <x v="0"/>
    <x v="0"/>
    <n v="200.887"/>
    <x v="0"/>
    <n v="5"/>
    <s v="Excellent"/>
  </r>
  <r>
    <s v="6087efd8-4787-4cec-a00a-89194ee64e88"/>
    <x v="10"/>
    <x v="0"/>
    <x v="22"/>
    <x v="1"/>
    <x v="25"/>
    <s v="2025-03-26"/>
    <x v="4"/>
    <x v="6"/>
    <x v="1"/>
    <n v="527.16999999999996"/>
    <s v="10% off"/>
    <n v="52.716999999999999"/>
    <x v="0"/>
    <x v="0"/>
    <n v="474.45299999999997"/>
    <x v="1"/>
    <n v="5"/>
    <s v="Excellent"/>
  </r>
  <r>
    <s v="3cfec97d-ec05-48e4-a01a-269cbe48fc17"/>
    <x v="27"/>
    <x v="0"/>
    <x v="23"/>
    <x v="5"/>
    <x v="8"/>
    <s v="2025-03-20"/>
    <x v="3"/>
    <x v="6"/>
    <x v="1"/>
    <n v="374.92"/>
    <s v="5% off"/>
    <n v="18.746000000000002"/>
    <x v="0"/>
    <x v="1"/>
    <n v="356.17400000000004"/>
    <x v="2"/>
    <n v="4"/>
    <s v="Good"/>
  </r>
  <r>
    <s v="08f2b177-a2bd-464f-92c4-7e6844f5c930"/>
    <x v="2"/>
    <x v="1"/>
    <x v="24"/>
    <x v="5"/>
    <x v="6"/>
    <s v="2025-02-19"/>
    <x v="4"/>
    <x v="8"/>
    <x v="1"/>
    <n v="76.81"/>
    <s v="0% off"/>
    <n v="0"/>
    <x v="1"/>
    <x v="1"/>
    <n v="76.81"/>
    <x v="0"/>
    <n v="1"/>
    <s v="Very Poor"/>
  </r>
  <r>
    <s v="fc1bba83-f747-47a7-89e5-0d40a4009c2a"/>
    <x v="6"/>
    <x v="1"/>
    <x v="25"/>
    <x v="0"/>
    <x v="11"/>
    <s v="2025-03-21"/>
    <x v="0"/>
    <x v="6"/>
    <x v="1"/>
    <n v="116.78"/>
    <s v="0% off"/>
    <n v="0"/>
    <x v="1"/>
    <x v="0"/>
    <n v="116.78"/>
    <x v="3"/>
    <n v="4"/>
    <s v="Good"/>
  </r>
  <r>
    <s v="5c336b82-fac1-478e-8f24-c5ab68f13c86"/>
    <x v="49"/>
    <x v="0"/>
    <x v="26"/>
    <x v="6"/>
    <x v="10"/>
    <s v="2024-05-13"/>
    <x v="6"/>
    <x v="4"/>
    <x v="0"/>
    <n v="782.29"/>
    <s v="15% off"/>
    <n v="117.34349999999999"/>
    <x v="0"/>
    <x v="1"/>
    <n v="664.94650000000001"/>
    <x v="3"/>
    <n v="4"/>
    <s v="Good"/>
  </r>
  <r>
    <s v="adc53d5c-60e6-4e51-a9ea-228afce52238"/>
    <x v="34"/>
    <x v="1"/>
    <x v="27"/>
    <x v="1"/>
    <x v="1"/>
    <s v="2024-08-25"/>
    <x v="5"/>
    <x v="3"/>
    <x v="0"/>
    <n v="67.040000000000006"/>
    <s v="0% off"/>
    <n v="0"/>
    <x v="1"/>
    <x v="0"/>
    <n v="67.040000000000006"/>
    <x v="1"/>
    <n v="4"/>
    <s v="Good"/>
  </r>
  <r>
    <s v="a74601a9-f386-4046-bd18-ef665bac2abe"/>
    <x v="17"/>
    <x v="1"/>
    <x v="28"/>
    <x v="1"/>
    <x v="1"/>
    <s v="2024-07-05"/>
    <x v="0"/>
    <x v="2"/>
    <x v="0"/>
    <n v="67.040000000000006"/>
    <s v="0% off"/>
    <n v="0"/>
    <x v="1"/>
    <x v="1"/>
    <n v="67.040000000000006"/>
    <x v="3"/>
    <n v="5"/>
    <s v="Excellent"/>
  </r>
  <r>
    <s v="10f1b8ab-3d1e-4698-899c-8ae4759fa9e6"/>
    <x v="19"/>
    <x v="0"/>
    <x v="29"/>
    <x v="6"/>
    <x v="14"/>
    <s v="2024-07-26"/>
    <x v="0"/>
    <x v="2"/>
    <x v="0"/>
    <n v="965.09"/>
    <s v="20% off"/>
    <n v="193.01800000000003"/>
    <x v="0"/>
    <x v="1"/>
    <n v="772.072"/>
    <x v="2"/>
    <n v="2"/>
    <s v="Poor"/>
  </r>
  <r>
    <s v="7bc1c540-c7b9-48e3-8273-b864846d761d"/>
    <x v="46"/>
    <x v="0"/>
    <x v="30"/>
    <x v="4"/>
    <x v="4"/>
    <s v="2024-07-15"/>
    <x v="6"/>
    <x v="2"/>
    <x v="0"/>
    <n v="512.94000000000005"/>
    <s v="10% off"/>
    <n v="51.294000000000011"/>
    <x v="0"/>
    <x v="1"/>
    <n v="461.64600000000007"/>
    <x v="3"/>
    <n v="5"/>
    <s v="Excellent"/>
  </r>
  <r>
    <s v="9bcfea5d-c828-4495-86c1-9ff1b48b5f0f"/>
    <x v="24"/>
    <x v="0"/>
    <x v="31"/>
    <x v="4"/>
    <x v="17"/>
    <s v="2024-09-07"/>
    <x v="2"/>
    <x v="10"/>
    <x v="0"/>
    <n v="315.56"/>
    <s v="5% off"/>
    <n v="15.778"/>
    <x v="0"/>
    <x v="1"/>
    <n v="299.78199999999998"/>
    <x v="0"/>
    <n v="2"/>
    <s v="Poor"/>
  </r>
  <r>
    <s v="7471fdae-0e40-411f-9625-856e9a1f7715"/>
    <x v="4"/>
    <x v="0"/>
    <x v="32"/>
    <x v="2"/>
    <x v="2"/>
    <s v="2024-09-12"/>
    <x v="3"/>
    <x v="10"/>
    <x v="0"/>
    <n v="493.96"/>
    <s v="5% off"/>
    <n v="24.698"/>
    <x v="0"/>
    <x v="0"/>
    <n v="469.262"/>
    <x v="3"/>
    <n v="4"/>
    <s v="Good"/>
  </r>
  <r>
    <s v="38c21546-3a0f-49f4-97c4-4c5bf4220d71"/>
    <x v="46"/>
    <x v="0"/>
    <x v="33"/>
    <x v="5"/>
    <x v="16"/>
    <s v="2024-08-29"/>
    <x v="3"/>
    <x v="3"/>
    <x v="0"/>
    <n v="592.26"/>
    <s v="10% off"/>
    <n v="59.225999999999999"/>
    <x v="0"/>
    <x v="1"/>
    <n v="533.03399999999999"/>
    <x v="2"/>
    <n v="1"/>
    <s v="Very Poor"/>
  </r>
  <r>
    <s v="fe010fc1-fb73-4547-a9ff-8d43cba54652"/>
    <x v="47"/>
    <x v="0"/>
    <x v="34"/>
    <x v="1"/>
    <x v="23"/>
    <s v="2024-10-19"/>
    <x v="2"/>
    <x v="5"/>
    <x v="0"/>
    <n v="362.55"/>
    <s v="5% off"/>
    <n v="18.127500000000001"/>
    <x v="0"/>
    <x v="1"/>
    <n v="344.42250000000001"/>
    <x v="3"/>
    <n v="5"/>
    <s v="Excellent"/>
  </r>
  <r>
    <s v="ac86456e-0395-49f4-a4c7-f291094c5dd4"/>
    <x v="22"/>
    <x v="1"/>
    <x v="35"/>
    <x v="2"/>
    <x v="24"/>
    <s v="2024-08-20"/>
    <x v="1"/>
    <x v="3"/>
    <x v="0"/>
    <n v="52.44"/>
    <s v="0% off"/>
    <n v="0"/>
    <x v="1"/>
    <x v="1"/>
    <n v="52.44"/>
    <x v="0"/>
    <n v="1"/>
    <s v="Very Poor"/>
  </r>
  <r>
    <s v="f4bc98f3-45e7-4b2e-b1fd-1170c0f14f0e"/>
    <x v="32"/>
    <x v="0"/>
    <x v="36"/>
    <x v="0"/>
    <x v="22"/>
    <s v="2024-05-01"/>
    <x v="4"/>
    <x v="4"/>
    <x v="0"/>
    <n v="485.26"/>
    <s v="5% off"/>
    <n v="24.263000000000002"/>
    <x v="0"/>
    <x v="0"/>
    <n v="460.99700000000001"/>
    <x v="2"/>
    <n v="3"/>
    <s v="Average"/>
  </r>
  <r>
    <s v="84d73f86-6325-4d0f-aaba-0110d1390d4b"/>
    <x v="5"/>
    <x v="0"/>
    <x v="37"/>
    <x v="5"/>
    <x v="16"/>
    <s v="2024-06-23"/>
    <x v="5"/>
    <x v="11"/>
    <x v="0"/>
    <n v="592.26"/>
    <s v="10% off"/>
    <n v="59.225999999999999"/>
    <x v="0"/>
    <x v="0"/>
    <n v="533.03399999999999"/>
    <x v="0"/>
    <n v="4"/>
    <s v="Good"/>
  </r>
  <r>
    <s v="41c42321-e1f8-4d32-8484-c9cd831be633"/>
    <x v="21"/>
    <x v="0"/>
    <x v="38"/>
    <x v="4"/>
    <x v="5"/>
    <s v="2024-07-05"/>
    <x v="0"/>
    <x v="2"/>
    <x v="0"/>
    <n v="988.77"/>
    <s v="20% off"/>
    <n v="197.75400000000002"/>
    <x v="0"/>
    <x v="1"/>
    <n v="791.01599999999996"/>
    <x v="3"/>
    <n v="5"/>
    <s v="Excellent"/>
  </r>
  <r>
    <s v="0b6a468b-96bf-46fa-b1fc-df50bb8fa6d9"/>
    <x v="25"/>
    <x v="0"/>
    <x v="39"/>
    <x v="5"/>
    <x v="9"/>
    <s v="2024-10-28"/>
    <x v="6"/>
    <x v="5"/>
    <x v="0"/>
    <n v="452.97"/>
    <s v="5% off"/>
    <n v="22.648500000000002"/>
    <x v="0"/>
    <x v="0"/>
    <n v="430.32150000000001"/>
    <x v="3"/>
    <n v="2"/>
    <s v="Poor"/>
  </r>
  <r>
    <s v="510d5fe7-b9ef-4bef-9cb1-44128a1cd4ea"/>
    <x v="16"/>
    <x v="1"/>
    <x v="40"/>
    <x v="5"/>
    <x v="6"/>
    <s v="2024-04-15"/>
    <x v="6"/>
    <x v="0"/>
    <x v="0"/>
    <n v="76.81"/>
    <s v="0% off"/>
    <n v="0"/>
    <x v="1"/>
    <x v="1"/>
    <n v="76.81"/>
    <x v="3"/>
    <n v="4"/>
    <s v="Good"/>
  </r>
  <r>
    <s v="f5f258b5-ff57-454a-a749-0bbacf75876e"/>
    <x v="19"/>
    <x v="1"/>
    <x v="41"/>
    <x v="5"/>
    <x v="8"/>
    <s v="2024-08-19"/>
    <x v="6"/>
    <x v="3"/>
    <x v="0"/>
    <n v="374.92"/>
    <s v="5% off"/>
    <n v="18.746000000000002"/>
    <x v="0"/>
    <x v="1"/>
    <n v="356.17400000000004"/>
    <x v="2"/>
    <n v="2"/>
    <s v="Poor"/>
  </r>
  <r>
    <s v="18dcb80c-8afe-4d2c-aaca-645399c9b856"/>
    <x v="52"/>
    <x v="0"/>
    <x v="42"/>
    <x v="2"/>
    <x v="27"/>
    <s v="2024-04-05"/>
    <x v="0"/>
    <x v="0"/>
    <x v="0"/>
    <n v="340.04"/>
    <s v="5% off"/>
    <n v="17.002000000000002"/>
    <x v="0"/>
    <x v="0"/>
    <n v="323.03800000000001"/>
    <x v="2"/>
    <n v="3"/>
    <s v="Average"/>
  </r>
  <r>
    <s v="e6535363-0ff0-43d1-b0ac-f7d7da85442a"/>
    <x v="3"/>
    <x v="0"/>
    <x v="43"/>
    <x v="0"/>
    <x v="11"/>
    <s v="2024-09-20"/>
    <x v="0"/>
    <x v="10"/>
    <x v="0"/>
    <n v="116.78"/>
    <s v="0% off"/>
    <n v="0"/>
    <x v="1"/>
    <x v="0"/>
    <n v="116.78"/>
    <x v="0"/>
    <n v="2"/>
    <s v="Poor"/>
  </r>
  <r>
    <s v="51a633f4-e042-4cbc-b8d6-ad97810300b7"/>
    <x v="30"/>
    <x v="1"/>
    <x v="44"/>
    <x v="5"/>
    <x v="8"/>
    <s v="2024-08-14"/>
    <x v="4"/>
    <x v="3"/>
    <x v="0"/>
    <n v="374.92"/>
    <s v="5% off"/>
    <n v="18.746000000000002"/>
    <x v="0"/>
    <x v="1"/>
    <n v="356.17400000000004"/>
    <x v="3"/>
    <n v="2"/>
    <s v="Poor"/>
  </r>
  <r>
    <s v="9eb6539f-3706-409b-8a28-8fec2ed69bb4"/>
    <x v="38"/>
    <x v="0"/>
    <x v="45"/>
    <x v="6"/>
    <x v="21"/>
    <s v="2024-10-25"/>
    <x v="0"/>
    <x v="5"/>
    <x v="0"/>
    <n v="461.81"/>
    <s v="5% off"/>
    <n v="23.090500000000002"/>
    <x v="0"/>
    <x v="1"/>
    <n v="438.71949999999998"/>
    <x v="2"/>
    <n v="4"/>
    <s v="Good"/>
  </r>
  <r>
    <s v="50369117-938f-49c1-a0cd-b20f34910fda"/>
    <x v="29"/>
    <x v="1"/>
    <x v="46"/>
    <x v="3"/>
    <x v="3"/>
    <s v="2024-10-31"/>
    <x v="3"/>
    <x v="5"/>
    <x v="0"/>
    <n v="211.46"/>
    <s v="5% off"/>
    <n v="10.573"/>
    <x v="0"/>
    <x v="0"/>
    <n v="200.887"/>
    <x v="1"/>
    <n v="1"/>
    <s v="Very Poor"/>
  </r>
  <r>
    <s v="aa67ea5b-a8eb-4637-a884-94a041fa9657"/>
    <x v="42"/>
    <x v="1"/>
    <x v="47"/>
    <x v="0"/>
    <x v="11"/>
    <s v="2024-11-23"/>
    <x v="2"/>
    <x v="1"/>
    <x v="0"/>
    <n v="116.78"/>
    <s v="0% off"/>
    <n v="0"/>
    <x v="1"/>
    <x v="0"/>
    <n v="116.78"/>
    <x v="0"/>
    <n v="3"/>
    <s v="Average"/>
  </r>
  <r>
    <s v="38410a83-1f2f-4b4e-9d04-a9203a7971ce"/>
    <x v="22"/>
    <x v="0"/>
    <x v="48"/>
    <x v="3"/>
    <x v="12"/>
    <s v="2024-06-23"/>
    <x v="5"/>
    <x v="11"/>
    <x v="0"/>
    <n v="270.41000000000003"/>
    <s v="5% off"/>
    <n v="13.520500000000002"/>
    <x v="0"/>
    <x v="0"/>
    <n v="256.8895"/>
    <x v="3"/>
    <n v="5"/>
    <s v="Excellent"/>
  </r>
  <r>
    <s v="69a8db7d-0437-4fec-83f8-80b01380e50e"/>
    <x v="41"/>
    <x v="1"/>
    <x v="49"/>
    <x v="1"/>
    <x v="25"/>
    <s v="2025-03-20"/>
    <x v="3"/>
    <x v="6"/>
    <x v="1"/>
    <n v="527.16999999999996"/>
    <s v="10% off"/>
    <n v="52.716999999999999"/>
    <x v="0"/>
    <x v="1"/>
    <n v="474.45299999999997"/>
    <x v="3"/>
    <n v="4"/>
    <s v="Good"/>
  </r>
  <r>
    <s v="2fcfcba0-bd72-4bf2-9cad-b4d540713ec0"/>
    <x v="18"/>
    <x v="0"/>
    <x v="50"/>
    <x v="1"/>
    <x v="25"/>
    <s v="2024-05-21"/>
    <x v="1"/>
    <x v="4"/>
    <x v="0"/>
    <n v="527.16999999999996"/>
    <s v="10% off"/>
    <n v="52.716999999999999"/>
    <x v="0"/>
    <x v="0"/>
    <n v="474.45299999999997"/>
    <x v="1"/>
    <n v="4"/>
    <s v="Good"/>
  </r>
  <r>
    <s v="2bb4f075-1f13-4961-9364-f833dcd52417"/>
    <x v="20"/>
    <x v="1"/>
    <x v="51"/>
    <x v="5"/>
    <x v="6"/>
    <s v="2024-04-10"/>
    <x v="4"/>
    <x v="0"/>
    <x v="0"/>
    <n v="76.81"/>
    <s v="0% off"/>
    <n v="0"/>
    <x v="1"/>
    <x v="1"/>
    <n v="76.81"/>
    <x v="0"/>
    <n v="5"/>
    <s v="Excellent"/>
  </r>
  <r>
    <s v="1979a079-8f41-42b6-a2b7-7be5de63ba5d"/>
    <x v="40"/>
    <x v="0"/>
    <x v="52"/>
    <x v="1"/>
    <x v="1"/>
    <s v="2024-08-04"/>
    <x v="5"/>
    <x v="3"/>
    <x v="0"/>
    <n v="67.040000000000006"/>
    <s v="0% off"/>
    <n v="0"/>
    <x v="1"/>
    <x v="1"/>
    <n v="67.040000000000006"/>
    <x v="2"/>
    <n v="1"/>
    <s v="Very Poor"/>
  </r>
  <r>
    <s v="f6626342-eb67-4be2-8203-ef42ef1082f8"/>
    <x v="48"/>
    <x v="1"/>
    <x v="53"/>
    <x v="5"/>
    <x v="8"/>
    <s v="2024-05-22"/>
    <x v="4"/>
    <x v="4"/>
    <x v="0"/>
    <n v="374.92"/>
    <s v="5% off"/>
    <n v="18.746000000000002"/>
    <x v="0"/>
    <x v="1"/>
    <n v="356.17400000000004"/>
    <x v="3"/>
    <n v="2"/>
    <s v="Poor"/>
  </r>
  <r>
    <s v="3021503a-c0d5-4684-946e-bff1b07accdf"/>
    <x v="16"/>
    <x v="0"/>
    <x v="33"/>
    <x v="3"/>
    <x v="3"/>
    <s v="2024-08-27"/>
    <x v="1"/>
    <x v="3"/>
    <x v="0"/>
    <n v="211.46"/>
    <s v="5% off"/>
    <n v="10.573"/>
    <x v="0"/>
    <x v="0"/>
    <n v="200.887"/>
    <x v="2"/>
    <n v="1"/>
    <s v="Very Poor"/>
  </r>
  <r>
    <s v="1f619d4c-52ed-45c8-8cfb-a860aae05669"/>
    <x v="8"/>
    <x v="1"/>
    <x v="54"/>
    <x v="5"/>
    <x v="8"/>
    <s v="2024-07-02"/>
    <x v="1"/>
    <x v="2"/>
    <x v="0"/>
    <n v="374.92"/>
    <s v="5% off"/>
    <n v="18.746000000000002"/>
    <x v="0"/>
    <x v="0"/>
    <n v="356.17400000000004"/>
    <x v="0"/>
    <n v="2"/>
    <s v="Poor"/>
  </r>
  <r>
    <s v="18dc064c-270e-4b6a-8f74-1efe85a656e4"/>
    <x v="34"/>
    <x v="0"/>
    <x v="55"/>
    <x v="1"/>
    <x v="23"/>
    <s v="2024-06-06"/>
    <x v="3"/>
    <x v="11"/>
    <x v="0"/>
    <n v="362.55"/>
    <s v="5% off"/>
    <n v="18.127500000000001"/>
    <x v="0"/>
    <x v="1"/>
    <n v="344.42250000000001"/>
    <x v="0"/>
    <n v="4"/>
    <s v="Good"/>
  </r>
  <r>
    <s v="4dbabd53-569d-4ad4-a2f6-985dca626f21"/>
    <x v="50"/>
    <x v="0"/>
    <x v="56"/>
    <x v="5"/>
    <x v="8"/>
    <s v="2025-02-16"/>
    <x v="5"/>
    <x v="8"/>
    <x v="1"/>
    <n v="374.92"/>
    <s v="5% off"/>
    <n v="18.746000000000002"/>
    <x v="0"/>
    <x v="1"/>
    <n v="356.17400000000004"/>
    <x v="2"/>
    <n v="2"/>
    <s v="Poor"/>
  </r>
  <r>
    <s v="1875e380-7808-4dde-9ad0-ec641894d161"/>
    <x v="4"/>
    <x v="1"/>
    <x v="57"/>
    <x v="6"/>
    <x v="10"/>
    <s v="2024-07-11"/>
    <x v="3"/>
    <x v="2"/>
    <x v="0"/>
    <n v="782.29"/>
    <s v="15% off"/>
    <n v="117.34349999999999"/>
    <x v="0"/>
    <x v="1"/>
    <n v="664.94650000000001"/>
    <x v="0"/>
    <n v="1"/>
    <s v="Very Poor"/>
  </r>
  <r>
    <s v="e09a36ba-21ee-4501-a64a-68293455e7a6"/>
    <x v="25"/>
    <x v="0"/>
    <x v="58"/>
    <x v="2"/>
    <x v="2"/>
    <s v="2024-11-22"/>
    <x v="0"/>
    <x v="1"/>
    <x v="0"/>
    <n v="493.96"/>
    <s v="5% off"/>
    <n v="24.698"/>
    <x v="0"/>
    <x v="1"/>
    <n v="469.262"/>
    <x v="2"/>
    <n v="3"/>
    <s v="Average"/>
  </r>
  <r>
    <s v="e655f3e0-0d0c-40a7-9987-218533de82fb"/>
    <x v="50"/>
    <x v="0"/>
    <x v="59"/>
    <x v="3"/>
    <x v="15"/>
    <s v="2024-12-16"/>
    <x v="6"/>
    <x v="7"/>
    <x v="0"/>
    <n v="855.21"/>
    <s v="15% off"/>
    <n v="128.28149999999999"/>
    <x v="0"/>
    <x v="1"/>
    <n v="726.92849999999999"/>
    <x v="1"/>
    <n v="5"/>
    <s v="Excellent"/>
  </r>
  <r>
    <s v="76d75efd-2193-47aa-9d6a-a04a7f6726b5"/>
    <x v="21"/>
    <x v="0"/>
    <x v="60"/>
    <x v="3"/>
    <x v="12"/>
    <s v="2024-10-07"/>
    <x v="6"/>
    <x v="5"/>
    <x v="0"/>
    <n v="270.41000000000003"/>
    <s v="5% off"/>
    <n v="13.520500000000002"/>
    <x v="0"/>
    <x v="0"/>
    <n v="256.8895"/>
    <x v="2"/>
    <n v="1"/>
    <s v="Very Poor"/>
  </r>
  <r>
    <s v="141643ce-9fc0-4c7f-8e7e-1f091e8cae38"/>
    <x v="51"/>
    <x v="1"/>
    <x v="61"/>
    <x v="0"/>
    <x v="11"/>
    <s v="2024-08-19"/>
    <x v="6"/>
    <x v="3"/>
    <x v="0"/>
    <n v="116.78"/>
    <s v="0% off"/>
    <n v="0"/>
    <x v="1"/>
    <x v="1"/>
    <n v="116.78"/>
    <x v="3"/>
    <n v="1"/>
    <s v="Very Poor"/>
  </r>
  <r>
    <s v="3c0e1ae3-c8f9-49a1-858c-70df9151ac16"/>
    <x v="30"/>
    <x v="0"/>
    <x v="42"/>
    <x v="2"/>
    <x v="27"/>
    <s v="2025-02-02"/>
    <x v="5"/>
    <x v="8"/>
    <x v="1"/>
    <n v="340.04"/>
    <s v="5% off"/>
    <n v="17.002000000000002"/>
    <x v="0"/>
    <x v="0"/>
    <n v="323.03800000000001"/>
    <x v="0"/>
    <n v="2"/>
    <s v="Poor"/>
  </r>
  <r>
    <s v="cd1011dd-c5ba-4eaf-a6ab-7c757badc444"/>
    <x v="12"/>
    <x v="0"/>
    <x v="62"/>
    <x v="2"/>
    <x v="27"/>
    <s v="2024-11-07"/>
    <x v="3"/>
    <x v="1"/>
    <x v="0"/>
    <n v="340.04"/>
    <s v="5% off"/>
    <n v="17.002000000000002"/>
    <x v="0"/>
    <x v="0"/>
    <n v="323.03800000000001"/>
    <x v="2"/>
    <n v="1"/>
    <s v="Very Poor"/>
  </r>
  <r>
    <s v="f2401876-97cc-4ae9-865e-8c642f136947"/>
    <x v="31"/>
    <x v="0"/>
    <x v="63"/>
    <x v="6"/>
    <x v="13"/>
    <s v="2024-09-30"/>
    <x v="6"/>
    <x v="10"/>
    <x v="0"/>
    <n v="418.55"/>
    <s v="5% off"/>
    <n v="20.927500000000002"/>
    <x v="0"/>
    <x v="1"/>
    <n v="397.6225"/>
    <x v="2"/>
    <n v="3"/>
    <s v="Average"/>
  </r>
  <r>
    <s v="78b04335-3fbc-4555-8110-a229ae248eab"/>
    <x v="6"/>
    <x v="1"/>
    <x v="64"/>
    <x v="0"/>
    <x v="11"/>
    <s v="2025-01-26"/>
    <x v="5"/>
    <x v="9"/>
    <x v="1"/>
    <n v="116.78"/>
    <s v="0% off"/>
    <n v="0"/>
    <x v="1"/>
    <x v="0"/>
    <n v="116.78"/>
    <x v="2"/>
    <n v="4"/>
    <s v="Good"/>
  </r>
  <r>
    <s v="6bfa859e-eb70-4fd1-a5e8-613c4540feda"/>
    <x v="30"/>
    <x v="1"/>
    <x v="65"/>
    <x v="2"/>
    <x v="18"/>
    <s v="2025-03-15"/>
    <x v="2"/>
    <x v="6"/>
    <x v="1"/>
    <n v="492.1"/>
    <s v="5% off"/>
    <n v="24.605000000000004"/>
    <x v="0"/>
    <x v="1"/>
    <n v="467.495"/>
    <x v="2"/>
    <n v="2"/>
    <s v="Poor"/>
  </r>
  <r>
    <s v="fe2f9561-9bc8-4647-9655-58b179705e4b"/>
    <x v="34"/>
    <x v="1"/>
    <x v="66"/>
    <x v="5"/>
    <x v="9"/>
    <s v="2024-06-04"/>
    <x v="1"/>
    <x v="11"/>
    <x v="0"/>
    <n v="452.97"/>
    <s v="5% off"/>
    <n v="22.648500000000002"/>
    <x v="0"/>
    <x v="0"/>
    <n v="430.32150000000001"/>
    <x v="0"/>
    <n v="3"/>
    <s v="Average"/>
  </r>
  <r>
    <s v="a4490f0e-85f1-4f0a-b5ce-cf00919376ef"/>
    <x v="15"/>
    <x v="0"/>
    <x v="67"/>
    <x v="5"/>
    <x v="8"/>
    <s v="2025-01-03"/>
    <x v="0"/>
    <x v="9"/>
    <x v="1"/>
    <n v="374.92"/>
    <s v="5% off"/>
    <n v="18.746000000000002"/>
    <x v="0"/>
    <x v="1"/>
    <n v="356.17400000000004"/>
    <x v="0"/>
    <n v="4"/>
    <s v="Good"/>
  </r>
  <r>
    <s v="80d83b56-136a-4370-b727-e40f06604864"/>
    <x v="32"/>
    <x v="0"/>
    <x v="68"/>
    <x v="6"/>
    <x v="10"/>
    <s v="2024-09-08"/>
    <x v="5"/>
    <x v="10"/>
    <x v="0"/>
    <n v="782.29"/>
    <s v="15% off"/>
    <n v="117.34349999999999"/>
    <x v="0"/>
    <x v="0"/>
    <n v="664.94650000000001"/>
    <x v="1"/>
    <n v="5"/>
    <s v="Excellent"/>
  </r>
  <r>
    <s v="09bee230-7f8c-42b7-8324-d9129c4a13a4"/>
    <x v="32"/>
    <x v="0"/>
    <x v="69"/>
    <x v="5"/>
    <x v="16"/>
    <s v="2024-07-24"/>
    <x v="4"/>
    <x v="2"/>
    <x v="0"/>
    <n v="592.26"/>
    <s v="10% off"/>
    <n v="59.225999999999999"/>
    <x v="0"/>
    <x v="1"/>
    <n v="533.03399999999999"/>
    <x v="3"/>
    <n v="2"/>
    <s v="Poor"/>
  </r>
  <r>
    <s v="51145eca-a183-4751-9a47-40fa400d71ec"/>
    <x v="23"/>
    <x v="0"/>
    <x v="70"/>
    <x v="6"/>
    <x v="10"/>
    <s v="2025-01-07"/>
    <x v="1"/>
    <x v="9"/>
    <x v="1"/>
    <n v="782.29"/>
    <s v="15% off"/>
    <n v="117.34349999999999"/>
    <x v="0"/>
    <x v="0"/>
    <n v="664.94650000000001"/>
    <x v="3"/>
    <n v="5"/>
    <s v="Excellent"/>
  </r>
  <r>
    <s v="993613e6-f475-413e-9f0d-c5f161e27137"/>
    <x v="52"/>
    <x v="1"/>
    <x v="71"/>
    <x v="3"/>
    <x v="15"/>
    <s v="2024-08-17"/>
    <x v="2"/>
    <x v="3"/>
    <x v="0"/>
    <n v="855.21"/>
    <s v="15% off"/>
    <n v="128.28149999999999"/>
    <x v="0"/>
    <x v="0"/>
    <n v="726.92849999999999"/>
    <x v="1"/>
    <n v="2"/>
    <s v="Poor"/>
  </r>
  <r>
    <s v="3bf9c767-d485-412d-9118-4fb945bfe0e9"/>
    <x v="13"/>
    <x v="0"/>
    <x v="72"/>
    <x v="4"/>
    <x v="5"/>
    <s v="2024-08-12"/>
    <x v="6"/>
    <x v="3"/>
    <x v="0"/>
    <n v="988.77"/>
    <s v="20% off"/>
    <n v="197.75400000000002"/>
    <x v="0"/>
    <x v="0"/>
    <n v="791.01599999999996"/>
    <x v="1"/>
    <n v="1"/>
    <s v="Very Poor"/>
  </r>
  <r>
    <s v="66a79cb6-a346-4cfd-9646-1afed666aa50"/>
    <x v="37"/>
    <x v="0"/>
    <x v="73"/>
    <x v="1"/>
    <x v="23"/>
    <s v="2025-01-16"/>
    <x v="3"/>
    <x v="9"/>
    <x v="1"/>
    <n v="362.55"/>
    <s v="5% off"/>
    <n v="18.127500000000001"/>
    <x v="0"/>
    <x v="0"/>
    <n v="344.42250000000001"/>
    <x v="0"/>
    <n v="3"/>
    <s v="Average"/>
  </r>
  <r>
    <s v="94bc84c4-b027-4c7b-b9db-f44b7ef03ebe"/>
    <x v="9"/>
    <x v="0"/>
    <x v="74"/>
    <x v="1"/>
    <x v="1"/>
    <s v="2024-04-20"/>
    <x v="2"/>
    <x v="0"/>
    <x v="0"/>
    <n v="67.040000000000006"/>
    <s v="0% off"/>
    <n v="0"/>
    <x v="1"/>
    <x v="0"/>
    <n v="67.040000000000006"/>
    <x v="3"/>
    <n v="3"/>
    <s v="Average"/>
  </r>
  <r>
    <s v="d67b6841-49b7-4f6b-9bf5-ef529ff0f2c5"/>
    <x v="32"/>
    <x v="1"/>
    <x v="75"/>
    <x v="0"/>
    <x v="11"/>
    <s v="2024-07-01"/>
    <x v="6"/>
    <x v="2"/>
    <x v="0"/>
    <n v="116.78"/>
    <s v="0% off"/>
    <n v="0"/>
    <x v="1"/>
    <x v="0"/>
    <n v="116.78"/>
    <x v="0"/>
    <n v="3"/>
    <s v="Average"/>
  </r>
  <r>
    <s v="e87cd331-0e5f-49cb-b881-1c4af2dce05d"/>
    <x v="28"/>
    <x v="1"/>
    <x v="76"/>
    <x v="2"/>
    <x v="2"/>
    <s v="2024-07-23"/>
    <x v="1"/>
    <x v="2"/>
    <x v="0"/>
    <n v="493.96"/>
    <s v="5% off"/>
    <n v="24.698"/>
    <x v="0"/>
    <x v="1"/>
    <n v="469.262"/>
    <x v="0"/>
    <n v="5"/>
    <s v="Excellent"/>
  </r>
  <r>
    <s v="6e87aa51-cbb7-4f60-9575-31a00916e497"/>
    <x v="30"/>
    <x v="1"/>
    <x v="77"/>
    <x v="3"/>
    <x v="3"/>
    <s v="2025-01-12"/>
    <x v="5"/>
    <x v="9"/>
    <x v="1"/>
    <n v="211.46"/>
    <s v="5% off"/>
    <n v="10.573"/>
    <x v="0"/>
    <x v="1"/>
    <n v="200.887"/>
    <x v="0"/>
    <n v="2"/>
    <s v="Poor"/>
  </r>
  <r>
    <s v="52658855-ca47-47b4-9893-cd28ed34df47"/>
    <x v="34"/>
    <x v="0"/>
    <x v="78"/>
    <x v="2"/>
    <x v="24"/>
    <s v="2024-12-20"/>
    <x v="0"/>
    <x v="7"/>
    <x v="0"/>
    <n v="52.44"/>
    <s v="0% off"/>
    <n v="0"/>
    <x v="1"/>
    <x v="1"/>
    <n v="52.44"/>
    <x v="0"/>
    <n v="3"/>
    <s v="Average"/>
  </r>
  <r>
    <s v="76b0244a-25e6-478e-a0bf-b9137145cce0"/>
    <x v="43"/>
    <x v="1"/>
    <x v="79"/>
    <x v="6"/>
    <x v="13"/>
    <s v="2024-05-01"/>
    <x v="4"/>
    <x v="4"/>
    <x v="0"/>
    <n v="418.55"/>
    <s v="5% off"/>
    <n v="20.927500000000002"/>
    <x v="0"/>
    <x v="0"/>
    <n v="397.6225"/>
    <x v="3"/>
    <n v="3"/>
    <s v="Average"/>
  </r>
  <r>
    <s v="25a1ef4e-0320-4c6d-8611-0f89817ff587"/>
    <x v="1"/>
    <x v="0"/>
    <x v="80"/>
    <x v="0"/>
    <x v="22"/>
    <s v="2024-09-13"/>
    <x v="0"/>
    <x v="10"/>
    <x v="0"/>
    <n v="485.26"/>
    <s v="5% off"/>
    <n v="24.263000000000002"/>
    <x v="0"/>
    <x v="1"/>
    <n v="460.99700000000001"/>
    <x v="1"/>
    <n v="4"/>
    <s v="Good"/>
  </r>
  <r>
    <s v="317a9369-1236-4260-b9c3-fab7af0c3fe0"/>
    <x v="31"/>
    <x v="0"/>
    <x v="81"/>
    <x v="3"/>
    <x v="19"/>
    <s v="2024-10-25"/>
    <x v="0"/>
    <x v="5"/>
    <x v="0"/>
    <n v="165.68"/>
    <s v="5% off"/>
    <n v="8.2840000000000007"/>
    <x v="0"/>
    <x v="0"/>
    <n v="157.39600000000002"/>
    <x v="2"/>
    <n v="2"/>
    <s v="Poor"/>
  </r>
  <r>
    <s v="b62beb56-68d5-42f4-9812-e27e3b7c468f"/>
    <x v="3"/>
    <x v="0"/>
    <x v="82"/>
    <x v="4"/>
    <x v="4"/>
    <s v="2024-04-19"/>
    <x v="0"/>
    <x v="0"/>
    <x v="0"/>
    <n v="512.94000000000005"/>
    <s v="10% off"/>
    <n v="51.294000000000011"/>
    <x v="0"/>
    <x v="1"/>
    <n v="461.64600000000007"/>
    <x v="0"/>
    <n v="1"/>
    <s v="Very Poor"/>
  </r>
  <r>
    <s v="118b1fdf-af9d-4c3c-b8c5-50fbc55c144e"/>
    <x v="30"/>
    <x v="1"/>
    <x v="83"/>
    <x v="0"/>
    <x v="11"/>
    <s v="2024-12-13"/>
    <x v="0"/>
    <x v="7"/>
    <x v="0"/>
    <n v="116.78"/>
    <s v="0% off"/>
    <n v="0"/>
    <x v="1"/>
    <x v="0"/>
    <n v="116.78"/>
    <x v="3"/>
    <n v="3"/>
    <s v="Average"/>
  </r>
  <r>
    <s v="88406d30-4b5e-4762-b710-bddffa5d4581"/>
    <x v="30"/>
    <x v="0"/>
    <x v="84"/>
    <x v="6"/>
    <x v="10"/>
    <s v="2024-06-15"/>
    <x v="2"/>
    <x v="11"/>
    <x v="0"/>
    <n v="782.29"/>
    <s v="15% off"/>
    <n v="117.34349999999999"/>
    <x v="0"/>
    <x v="0"/>
    <n v="664.94650000000001"/>
    <x v="2"/>
    <n v="3"/>
    <s v="Average"/>
  </r>
  <r>
    <s v="0aa64cab-abc7-4a05-a375-a461aa739120"/>
    <x v="34"/>
    <x v="1"/>
    <x v="85"/>
    <x v="4"/>
    <x v="4"/>
    <s v="2024-11-06"/>
    <x v="4"/>
    <x v="1"/>
    <x v="0"/>
    <n v="512.94000000000005"/>
    <s v="10% off"/>
    <n v="51.294000000000011"/>
    <x v="0"/>
    <x v="0"/>
    <n v="461.64600000000007"/>
    <x v="0"/>
    <n v="1"/>
    <s v="Very Poor"/>
  </r>
  <r>
    <s v="13e18565-89cd-456d-8888-d5302467a7a0"/>
    <x v="44"/>
    <x v="1"/>
    <x v="86"/>
    <x v="0"/>
    <x v="22"/>
    <s v="2024-10-03"/>
    <x v="3"/>
    <x v="5"/>
    <x v="0"/>
    <n v="485.26"/>
    <s v="5% off"/>
    <n v="24.263000000000002"/>
    <x v="0"/>
    <x v="1"/>
    <n v="460.99700000000001"/>
    <x v="1"/>
    <n v="2"/>
    <s v="Poor"/>
  </r>
  <r>
    <s v="e987c172-abb6-4469-9891-bfe545d96530"/>
    <x v="40"/>
    <x v="1"/>
    <x v="87"/>
    <x v="0"/>
    <x v="11"/>
    <s v="2024-09-01"/>
    <x v="5"/>
    <x v="10"/>
    <x v="0"/>
    <n v="116.78"/>
    <s v="0% off"/>
    <n v="0"/>
    <x v="1"/>
    <x v="0"/>
    <n v="116.78"/>
    <x v="0"/>
    <n v="1"/>
    <s v="Very Poor"/>
  </r>
  <r>
    <s v="3f99eee4-cef4-4a03-86cd-b1c37266d99c"/>
    <x v="35"/>
    <x v="1"/>
    <x v="88"/>
    <x v="5"/>
    <x v="6"/>
    <s v="2024-09-24"/>
    <x v="1"/>
    <x v="10"/>
    <x v="0"/>
    <n v="76.81"/>
    <s v="0% off"/>
    <n v="0"/>
    <x v="1"/>
    <x v="1"/>
    <n v="76.81"/>
    <x v="1"/>
    <n v="1"/>
    <s v="Very Poor"/>
  </r>
  <r>
    <s v="d30797fe-8f35-4898-9ae1-5783fc386836"/>
    <x v="50"/>
    <x v="1"/>
    <x v="89"/>
    <x v="4"/>
    <x v="4"/>
    <s v="2025-02-21"/>
    <x v="0"/>
    <x v="8"/>
    <x v="1"/>
    <n v="512.94000000000005"/>
    <s v="10% off"/>
    <n v="51.294000000000011"/>
    <x v="0"/>
    <x v="0"/>
    <n v="461.64600000000007"/>
    <x v="2"/>
    <n v="1"/>
    <s v="Very Poor"/>
  </r>
  <r>
    <s v="15de34c7-eedb-4081-b7c8-6febc70ce0bd"/>
    <x v="40"/>
    <x v="1"/>
    <x v="90"/>
    <x v="0"/>
    <x v="11"/>
    <s v="2024-04-26"/>
    <x v="0"/>
    <x v="0"/>
    <x v="0"/>
    <n v="116.78"/>
    <s v="0% off"/>
    <n v="0"/>
    <x v="1"/>
    <x v="0"/>
    <n v="116.78"/>
    <x v="0"/>
    <n v="3"/>
    <s v="Average"/>
  </r>
  <r>
    <s v="33ac10e4-c2ca-4dd9-94cb-e75480326174"/>
    <x v="42"/>
    <x v="1"/>
    <x v="91"/>
    <x v="2"/>
    <x v="24"/>
    <s v="2024-06-20"/>
    <x v="3"/>
    <x v="11"/>
    <x v="0"/>
    <n v="52.44"/>
    <s v="0% off"/>
    <n v="0"/>
    <x v="1"/>
    <x v="1"/>
    <n v="52.44"/>
    <x v="1"/>
    <n v="4"/>
    <s v="Good"/>
  </r>
  <r>
    <s v="bf29756e-b06a-4424-a680-1d9f9297a9b6"/>
    <x v="14"/>
    <x v="0"/>
    <x v="92"/>
    <x v="4"/>
    <x v="17"/>
    <s v="2024-06-19"/>
    <x v="4"/>
    <x v="11"/>
    <x v="0"/>
    <n v="315.56"/>
    <s v="5% off"/>
    <n v="15.778"/>
    <x v="0"/>
    <x v="1"/>
    <n v="299.78199999999998"/>
    <x v="0"/>
    <n v="3"/>
    <s v="Average"/>
  </r>
  <r>
    <s v="c7cdf8eb-5b08-40da-9779-d8b16ca6c06c"/>
    <x v="47"/>
    <x v="0"/>
    <x v="93"/>
    <x v="2"/>
    <x v="2"/>
    <s v="2024-07-12"/>
    <x v="0"/>
    <x v="2"/>
    <x v="0"/>
    <n v="493.96"/>
    <s v="5% off"/>
    <n v="24.698"/>
    <x v="0"/>
    <x v="0"/>
    <n v="469.262"/>
    <x v="1"/>
    <n v="5"/>
    <s v="Excellent"/>
  </r>
  <r>
    <s v="5ec9185f-ea60-40ca-a72d-6cc43da7fc03"/>
    <x v="15"/>
    <x v="0"/>
    <x v="56"/>
    <x v="3"/>
    <x v="3"/>
    <s v="2024-04-20"/>
    <x v="2"/>
    <x v="0"/>
    <x v="0"/>
    <n v="211.46"/>
    <s v="5% off"/>
    <n v="10.573"/>
    <x v="0"/>
    <x v="0"/>
    <n v="200.887"/>
    <x v="3"/>
    <n v="1"/>
    <s v="Very Poor"/>
  </r>
  <r>
    <s v="fc42f645-ed2b-47b6-9b2c-3fc9d2461ca4"/>
    <x v="33"/>
    <x v="0"/>
    <x v="94"/>
    <x v="3"/>
    <x v="3"/>
    <s v="2025-01-10"/>
    <x v="0"/>
    <x v="9"/>
    <x v="1"/>
    <n v="211.46"/>
    <s v="5% off"/>
    <n v="10.573"/>
    <x v="0"/>
    <x v="0"/>
    <n v="200.887"/>
    <x v="2"/>
    <n v="2"/>
    <s v="Poor"/>
  </r>
  <r>
    <s v="9e58b976-dcb2-4bd4-a110-ba59d770fd48"/>
    <x v="41"/>
    <x v="0"/>
    <x v="89"/>
    <x v="6"/>
    <x v="13"/>
    <s v="2024-09-13"/>
    <x v="0"/>
    <x v="10"/>
    <x v="0"/>
    <n v="418.55"/>
    <s v="5% off"/>
    <n v="20.927500000000002"/>
    <x v="0"/>
    <x v="0"/>
    <n v="397.6225"/>
    <x v="2"/>
    <n v="5"/>
    <s v="Excellent"/>
  </r>
  <r>
    <s v="beac9eb1-e81b-4c5f-82f1-b586c5971475"/>
    <x v="17"/>
    <x v="1"/>
    <x v="95"/>
    <x v="3"/>
    <x v="12"/>
    <s v="2024-05-06"/>
    <x v="6"/>
    <x v="4"/>
    <x v="0"/>
    <n v="270.41000000000003"/>
    <s v="5% off"/>
    <n v="13.520500000000002"/>
    <x v="0"/>
    <x v="0"/>
    <n v="256.8895"/>
    <x v="0"/>
    <n v="5"/>
    <s v="Excellent"/>
  </r>
  <r>
    <s v="96d666ab-d538-48fe-9040-46f4b6610fd4"/>
    <x v="25"/>
    <x v="0"/>
    <x v="96"/>
    <x v="0"/>
    <x v="0"/>
    <s v="2024-05-20"/>
    <x v="6"/>
    <x v="4"/>
    <x v="0"/>
    <n v="697.86"/>
    <s v="10% off"/>
    <n v="69.786000000000001"/>
    <x v="0"/>
    <x v="1"/>
    <n v="628.07400000000007"/>
    <x v="0"/>
    <n v="4"/>
    <s v="Good"/>
  </r>
  <r>
    <s v="a7119fa0-c90b-4df0-9e06-9e48395508ff"/>
    <x v="10"/>
    <x v="0"/>
    <x v="58"/>
    <x v="3"/>
    <x v="19"/>
    <s v="2025-03-15"/>
    <x v="2"/>
    <x v="6"/>
    <x v="1"/>
    <n v="165.68"/>
    <s v="5% off"/>
    <n v="8.2840000000000007"/>
    <x v="0"/>
    <x v="0"/>
    <n v="157.39600000000002"/>
    <x v="2"/>
    <n v="5"/>
    <s v="Excellent"/>
  </r>
  <r>
    <s v="41683b88-b53d-41e3-877d-5a0d8586361e"/>
    <x v="52"/>
    <x v="0"/>
    <x v="90"/>
    <x v="4"/>
    <x v="20"/>
    <s v="2025-03-14"/>
    <x v="0"/>
    <x v="6"/>
    <x v="1"/>
    <n v="260.77999999999997"/>
    <s v="5% off"/>
    <n v="13.039"/>
    <x v="0"/>
    <x v="1"/>
    <n v="247.74099999999999"/>
    <x v="0"/>
    <n v="5"/>
    <s v="Excellent"/>
  </r>
  <r>
    <s v="f6367814-912a-4d38-aec7-08e230f2f483"/>
    <x v="26"/>
    <x v="0"/>
    <x v="91"/>
    <x v="3"/>
    <x v="3"/>
    <s v="2024-12-27"/>
    <x v="0"/>
    <x v="7"/>
    <x v="0"/>
    <n v="211.46"/>
    <s v="5% off"/>
    <n v="10.573"/>
    <x v="0"/>
    <x v="0"/>
    <n v="200.887"/>
    <x v="1"/>
    <n v="4"/>
    <s v="Good"/>
  </r>
  <r>
    <s v="a8ec2379-f344-440a-8664-c36604ceec98"/>
    <x v="44"/>
    <x v="1"/>
    <x v="97"/>
    <x v="4"/>
    <x v="5"/>
    <s v="2024-06-06"/>
    <x v="3"/>
    <x v="11"/>
    <x v="0"/>
    <n v="988.77"/>
    <s v="20% off"/>
    <n v="197.75400000000002"/>
    <x v="0"/>
    <x v="1"/>
    <n v="791.01599999999996"/>
    <x v="2"/>
    <n v="1"/>
    <s v="Very Poor"/>
  </r>
  <r>
    <s v="d3895a49-50a7-482c-84cf-826f08f086c0"/>
    <x v="29"/>
    <x v="1"/>
    <x v="98"/>
    <x v="5"/>
    <x v="16"/>
    <s v="2024-08-13"/>
    <x v="1"/>
    <x v="3"/>
    <x v="0"/>
    <n v="592.26"/>
    <s v="10% off"/>
    <n v="59.225999999999999"/>
    <x v="0"/>
    <x v="0"/>
    <n v="533.03399999999999"/>
    <x v="0"/>
    <n v="2"/>
    <s v="Poor"/>
  </r>
  <r>
    <s v="c2a88bf7-7fec-43ca-8722-f6a8d0541f13"/>
    <x v="44"/>
    <x v="1"/>
    <x v="99"/>
    <x v="5"/>
    <x v="6"/>
    <s v="2024-07-31"/>
    <x v="4"/>
    <x v="2"/>
    <x v="0"/>
    <n v="76.81"/>
    <s v="0% off"/>
    <n v="0"/>
    <x v="1"/>
    <x v="0"/>
    <n v="76.81"/>
    <x v="2"/>
    <n v="5"/>
    <s v="Excellent"/>
  </r>
  <r>
    <s v="48f49e8f-6092-4cab-88fc-1407357f28d4"/>
    <x v="33"/>
    <x v="0"/>
    <x v="100"/>
    <x v="1"/>
    <x v="26"/>
    <s v="2024-04-14"/>
    <x v="5"/>
    <x v="0"/>
    <x v="0"/>
    <n v="775.75"/>
    <s v="15% off"/>
    <n v="116.3625"/>
    <x v="0"/>
    <x v="1"/>
    <n v="659.38750000000005"/>
    <x v="1"/>
    <n v="5"/>
    <s v="Excellent"/>
  </r>
  <r>
    <s v="ba405989-a7b7-4cf8-bca0-f469643d0edf"/>
    <x v="46"/>
    <x v="0"/>
    <x v="101"/>
    <x v="6"/>
    <x v="10"/>
    <s v="2024-11-07"/>
    <x v="3"/>
    <x v="1"/>
    <x v="0"/>
    <n v="782.29"/>
    <s v="15% off"/>
    <n v="117.34349999999999"/>
    <x v="0"/>
    <x v="1"/>
    <n v="664.94650000000001"/>
    <x v="3"/>
    <n v="5"/>
    <s v="Excellent"/>
  </r>
  <r>
    <s v="17da611a-4f59-45b8-ab05-fd5fd7dee074"/>
    <x v="3"/>
    <x v="1"/>
    <x v="102"/>
    <x v="5"/>
    <x v="9"/>
    <s v="2024-08-01"/>
    <x v="3"/>
    <x v="3"/>
    <x v="0"/>
    <n v="452.97"/>
    <s v="5% off"/>
    <n v="22.648500000000002"/>
    <x v="0"/>
    <x v="1"/>
    <n v="430.32150000000001"/>
    <x v="1"/>
    <n v="1"/>
    <s v="Very Poor"/>
  </r>
  <r>
    <s v="d8b8a1e1-6d90-4a35-8d5d-16cb451011f7"/>
    <x v="37"/>
    <x v="0"/>
    <x v="103"/>
    <x v="2"/>
    <x v="24"/>
    <s v="2024-08-22"/>
    <x v="3"/>
    <x v="3"/>
    <x v="0"/>
    <n v="52.44"/>
    <s v="0% off"/>
    <n v="0"/>
    <x v="1"/>
    <x v="1"/>
    <n v="52.44"/>
    <x v="0"/>
    <n v="5"/>
    <s v="Excellent"/>
  </r>
  <r>
    <s v="93669ee5-1f28-4231-985c-15d3058972be"/>
    <x v="23"/>
    <x v="1"/>
    <x v="104"/>
    <x v="3"/>
    <x v="3"/>
    <s v="2024-09-04"/>
    <x v="4"/>
    <x v="10"/>
    <x v="0"/>
    <n v="211.46"/>
    <s v="5% off"/>
    <n v="10.573"/>
    <x v="0"/>
    <x v="0"/>
    <n v="200.887"/>
    <x v="1"/>
    <n v="5"/>
    <s v="Excellent"/>
  </r>
  <r>
    <s v="7e8504d5-a13e-44a7-bbd8-8e75f416a646"/>
    <x v="5"/>
    <x v="1"/>
    <x v="105"/>
    <x v="6"/>
    <x v="13"/>
    <s v="2024-04-18"/>
    <x v="3"/>
    <x v="0"/>
    <x v="0"/>
    <n v="418.55"/>
    <s v="5% off"/>
    <n v="20.927500000000002"/>
    <x v="0"/>
    <x v="1"/>
    <n v="397.6225"/>
    <x v="1"/>
    <n v="1"/>
    <s v="Very Poor"/>
  </r>
  <r>
    <s v="d2e18eaa-bedf-4d24-88e4-543eda4e83fc"/>
    <x v="40"/>
    <x v="0"/>
    <x v="106"/>
    <x v="4"/>
    <x v="17"/>
    <s v="2024-09-19"/>
    <x v="3"/>
    <x v="10"/>
    <x v="0"/>
    <n v="315.56"/>
    <s v="5% off"/>
    <n v="15.778"/>
    <x v="0"/>
    <x v="1"/>
    <n v="299.78199999999998"/>
    <x v="3"/>
    <n v="5"/>
    <s v="Excellent"/>
  </r>
  <r>
    <s v="20c3a703-f38b-4574-8c2c-baa18607bb37"/>
    <x v="6"/>
    <x v="1"/>
    <x v="89"/>
    <x v="4"/>
    <x v="20"/>
    <s v="2024-05-28"/>
    <x v="1"/>
    <x v="4"/>
    <x v="0"/>
    <n v="260.77999999999997"/>
    <s v="5% off"/>
    <n v="13.039"/>
    <x v="0"/>
    <x v="1"/>
    <n v="247.74099999999999"/>
    <x v="0"/>
    <n v="4"/>
    <s v="Good"/>
  </r>
  <r>
    <s v="d5df04dd-db0b-4bdc-9b49-6037d0e32df3"/>
    <x v="51"/>
    <x v="1"/>
    <x v="107"/>
    <x v="0"/>
    <x v="7"/>
    <s v="2024-11-20"/>
    <x v="4"/>
    <x v="1"/>
    <x v="0"/>
    <n v="78.349999999999994"/>
    <s v="0% off"/>
    <n v="0"/>
    <x v="1"/>
    <x v="0"/>
    <n v="78.349999999999994"/>
    <x v="2"/>
    <n v="5"/>
    <s v="Excellent"/>
  </r>
  <r>
    <s v="dddddd90-87f3-40d3-9b67-86f887b1ea9b"/>
    <x v="12"/>
    <x v="0"/>
    <x v="108"/>
    <x v="5"/>
    <x v="16"/>
    <s v="2024-06-18"/>
    <x v="1"/>
    <x v="11"/>
    <x v="0"/>
    <n v="592.26"/>
    <s v="10% off"/>
    <n v="59.225999999999999"/>
    <x v="0"/>
    <x v="0"/>
    <n v="533.03399999999999"/>
    <x v="2"/>
    <n v="4"/>
    <s v="Good"/>
  </r>
  <r>
    <s v="c43943a2-2d8e-40f1-84bd-ee3e863e4e65"/>
    <x v="42"/>
    <x v="0"/>
    <x v="109"/>
    <x v="4"/>
    <x v="5"/>
    <s v="2024-07-26"/>
    <x v="0"/>
    <x v="2"/>
    <x v="0"/>
    <n v="988.77"/>
    <s v="20% off"/>
    <n v="197.75400000000002"/>
    <x v="0"/>
    <x v="0"/>
    <n v="791.01599999999996"/>
    <x v="1"/>
    <n v="2"/>
    <s v="Poor"/>
  </r>
  <r>
    <s v="dc994c57-004f-412a-b797-38e065fa3984"/>
    <x v="28"/>
    <x v="0"/>
    <x v="110"/>
    <x v="4"/>
    <x v="17"/>
    <s v="2025-03-27"/>
    <x v="3"/>
    <x v="6"/>
    <x v="1"/>
    <n v="315.56"/>
    <s v="5% off"/>
    <n v="15.778"/>
    <x v="0"/>
    <x v="1"/>
    <n v="299.78199999999998"/>
    <x v="0"/>
    <n v="5"/>
    <s v="Excellent"/>
  </r>
  <r>
    <s v="7e2a3d15-2444-4067-871c-e803fa77f04f"/>
    <x v="27"/>
    <x v="0"/>
    <x v="111"/>
    <x v="2"/>
    <x v="24"/>
    <s v="2024-07-09"/>
    <x v="1"/>
    <x v="2"/>
    <x v="0"/>
    <n v="52.44"/>
    <s v="0% off"/>
    <n v="0"/>
    <x v="1"/>
    <x v="0"/>
    <n v="52.44"/>
    <x v="1"/>
    <n v="2"/>
    <s v="Poor"/>
  </r>
  <r>
    <s v="bc9b73f6-8984-4f4b-bd85-4c0d3c5ced39"/>
    <x v="43"/>
    <x v="1"/>
    <x v="59"/>
    <x v="1"/>
    <x v="26"/>
    <s v="2024-07-06"/>
    <x v="2"/>
    <x v="2"/>
    <x v="0"/>
    <n v="775.75"/>
    <s v="15% off"/>
    <n v="116.3625"/>
    <x v="0"/>
    <x v="0"/>
    <n v="659.38750000000005"/>
    <x v="3"/>
    <n v="5"/>
    <s v="Excellent"/>
  </r>
  <r>
    <s v="c7621d55-e9d3-4426-b216-3c51b374bb48"/>
    <x v="40"/>
    <x v="0"/>
    <x v="112"/>
    <x v="6"/>
    <x v="13"/>
    <s v="2024-10-22"/>
    <x v="1"/>
    <x v="5"/>
    <x v="0"/>
    <n v="418.55"/>
    <s v="5% off"/>
    <n v="20.927500000000002"/>
    <x v="0"/>
    <x v="1"/>
    <n v="397.6225"/>
    <x v="2"/>
    <n v="3"/>
    <s v="Average"/>
  </r>
  <r>
    <s v="769d024b-23de-49e6-8218-9818b8e96f8f"/>
    <x v="10"/>
    <x v="1"/>
    <x v="113"/>
    <x v="1"/>
    <x v="23"/>
    <s v="2025-01-24"/>
    <x v="0"/>
    <x v="9"/>
    <x v="1"/>
    <n v="362.55"/>
    <s v="5% off"/>
    <n v="18.127500000000001"/>
    <x v="0"/>
    <x v="1"/>
    <n v="344.42250000000001"/>
    <x v="3"/>
    <n v="3"/>
    <s v="Average"/>
  </r>
  <r>
    <s v="006cb0ad-7b9f-403f-af85-e71a8e1c9cdd"/>
    <x v="8"/>
    <x v="0"/>
    <x v="114"/>
    <x v="4"/>
    <x v="20"/>
    <s v="2024-12-08"/>
    <x v="5"/>
    <x v="7"/>
    <x v="0"/>
    <n v="260.77999999999997"/>
    <s v="5% off"/>
    <n v="13.039"/>
    <x v="0"/>
    <x v="0"/>
    <n v="247.74099999999999"/>
    <x v="1"/>
    <n v="5"/>
    <s v="Excellent"/>
  </r>
  <r>
    <s v="e5c6e594-6050-4226-9b5e-e3e9697dbf0a"/>
    <x v="39"/>
    <x v="1"/>
    <x v="115"/>
    <x v="1"/>
    <x v="25"/>
    <s v="2025-03-14"/>
    <x v="0"/>
    <x v="6"/>
    <x v="1"/>
    <n v="527.16999999999996"/>
    <s v="10% off"/>
    <n v="52.716999999999999"/>
    <x v="0"/>
    <x v="0"/>
    <n v="474.45299999999997"/>
    <x v="2"/>
    <n v="5"/>
    <s v="Excellent"/>
  </r>
  <r>
    <s v="062115e6-373f-4eb7-9e05-045e8af72b6e"/>
    <x v="35"/>
    <x v="0"/>
    <x v="116"/>
    <x v="0"/>
    <x v="11"/>
    <s v="2024-12-03"/>
    <x v="1"/>
    <x v="7"/>
    <x v="0"/>
    <n v="116.78"/>
    <s v="0% off"/>
    <n v="0"/>
    <x v="1"/>
    <x v="1"/>
    <n v="116.78"/>
    <x v="0"/>
    <n v="3"/>
    <s v="Average"/>
  </r>
  <r>
    <s v="0fef338b-09bf-4212-8a60-1101c9cb223c"/>
    <x v="42"/>
    <x v="1"/>
    <x v="117"/>
    <x v="2"/>
    <x v="24"/>
    <s v="2024-05-20"/>
    <x v="6"/>
    <x v="4"/>
    <x v="0"/>
    <n v="52.44"/>
    <s v="0% off"/>
    <n v="0"/>
    <x v="1"/>
    <x v="1"/>
    <n v="52.44"/>
    <x v="0"/>
    <n v="1"/>
    <s v="Very Poor"/>
  </r>
  <r>
    <s v="36450e3d-ec03-4def-943d-089bff145141"/>
    <x v="34"/>
    <x v="0"/>
    <x v="118"/>
    <x v="2"/>
    <x v="27"/>
    <s v="2024-10-28"/>
    <x v="6"/>
    <x v="5"/>
    <x v="0"/>
    <n v="340.04"/>
    <s v="5% off"/>
    <n v="17.002000000000002"/>
    <x v="0"/>
    <x v="0"/>
    <n v="323.03800000000001"/>
    <x v="3"/>
    <n v="4"/>
    <s v="Good"/>
  </r>
  <r>
    <s v="cfabba54-10ae-4645-9e22-08178a822565"/>
    <x v="6"/>
    <x v="1"/>
    <x v="119"/>
    <x v="6"/>
    <x v="13"/>
    <s v="2024-07-17"/>
    <x v="4"/>
    <x v="2"/>
    <x v="0"/>
    <n v="418.55"/>
    <s v="5% off"/>
    <n v="20.927500000000002"/>
    <x v="0"/>
    <x v="0"/>
    <n v="397.6225"/>
    <x v="0"/>
    <n v="5"/>
    <s v="Excellent"/>
  </r>
  <r>
    <s v="c7e56a93-ed96-427a-8c6e-87dead3d4f1f"/>
    <x v="10"/>
    <x v="1"/>
    <x v="120"/>
    <x v="4"/>
    <x v="20"/>
    <s v="2024-10-31"/>
    <x v="3"/>
    <x v="5"/>
    <x v="0"/>
    <n v="260.77999999999997"/>
    <s v="5% off"/>
    <n v="13.039"/>
    <x v="0"/>
    <x v="1"/>
    <n v="247.74099999999999"/>
    <x v="3"/>
    <n v="5"/>
    <s v="Excellent"/>
  </r>
  <r>
    <s v="905d1bc4-470c-41b1-857c-3a84dc0db31c"/>
    <x v="2"/>
    <x v="0"/>
    <x v="121"/>
    <x v="3"/>
    <x v="3"/>
    <s v="2024-06-01"/>
    <x v="2"/>
    <x v="11"/>
    <x v="0"/>
    <n v="211.46"/>
    <s v="5% off"/>
    <n v="10.573"/>
    <x v="0"/>
    <x v="1"/>
    <n v="200.887"/>
    <x v="3"/>
    <n v="1"/>
    <s v="Very Poor"/>
  </r>
  <r>
    <s v="7dac8cc9-78e9-4d43-a3d4-214f6104805d"/>
    <x v="6"/>
    <x v="1"/>
    <x v="122"/>
    <x v="0"/>
    <x v="11"/>
    <s v="2024-11-18"/>
    <x v="6"/>
    <x v="1"/>
    <x v="0"/>
    <n v="116.78"/>
    <s v="0% off"/>
    <n v="0"/>
    <x v="1"/>
    <x v="1"/>
    <n v="116.78"/>
    <x v="0"/>
    <n v="3"/>
    <s v="Average"/>
  </r>
  <r>
    <s v="1ac5b027-b275-401f-9161-d58f01c4ec9f"/>
    <x v="42"/>
    <x v="0"/>
    <x v="123"/>
    <x v="5"/>
    <x v="9"/>
    <s v="2024-04-18"/>
    <x v="3"/>
    <x v="0"/>
    <x v="0"/>
    <n v="452.97"/>
    <s v="5% off"/>
    <n v="22.648500000000002"/>
    <x v="0"/>
    <x v="1"/>
    <n v="430.32150000000001"/>
    <x v="0"/>
    <n v="2"/>
    <s v="Poor"/>
  </r>
  <r>
    <s v="fef7a162-5ab4-44de-ac33-d14deb72654c"/>
    <x v="25"/>
    <x v="0"/>
    <x v="124"/>
    <x v="3"/>
    <x v="15"/>
    <s v="2024-10-31"/>
    <x v="3"/>
    <x v="5"/>
    <x v="0"/>
    <n v="855.21"/>
    <s v="15% off"/>
    <n v="128.28149999999999"/>
    <x v="0"/>
    <x v="0"/>
    <n v="726.92849999999999"/>
    <x v="3"/>
    <n v="1"/>
    <s v="Very Poor"/>
  </r>
  <r>
    <s v="0b6b7f9a-3d0b-49f2-9ec2-63b32d5425d9"/>
    <x v="1"/>
    <x v="1"/>
    <x v="125"/>
    <x v="2"/>
    <x v="27"/>
    <s v="2024-06-15"/>
    <x v="2"/>
    <x v="11"/>
    <x v="0"/>
    <n v="340.04"/>
    <s v="5% off"/>
    <n v="17.002000000000002"/>
    <x v="0"/>
    <x v="1"/>
    <n v="323.03800000000001"/>
    <x v="0"/>
    <n v="3"/>
    <s v="Average"/>
  </r>
  <r>
    <s v="43932b6e-3c6f-40b0-bfa5-2a490af326e6"/>
    <x v="39"/>
    <x v="0"/>
    <x v="126"/>
    <x v="0"/>
    <x v="22"/>
    <s v="2024-06-04"/>
    <x v="1"/>
    <x v="11"/>
    <x v="0"/>
    <n v="485.26"/>
    <s v="5% off"/>
    <n v="24.263000000000002"/>
    <x v="0"/>
    <x v="1"/>
    <n v="460.99700000000001"/>
    <x v="2"/>
    <n v="1"/>
    <s v="Very Poor"/>
  </r>
  <r>
    <s v="aaf7d0db-d09b-454f-a381-d909fc0027d5"/>
    <x v="3"/>
    <x v="1"/>
    <x v="127"/>
    <x v="1"/>
    <x v="1"/>
    <s v="2024-05-08"/>
    <x v="4"/>
    <x v="4"/>
    <x v="0"/>
    <n v="67.040000000000006"/>
    <s v="0% off"/>
    <n v="0"/>
    <x v="1"/>
    <x v="1"/>
    <n v="67.040000000000006"/>
    <x v="1"/>
    <n v="2"/>
    <s v="Poor"/>
  </r>
  <r>
    <s v="1d9985be-eed3-4465-8249-f5e1d4565e8f"/>
    <x v="23"/>
    <x v="0"/>
    <x v="128"/>
    <x v="1"/>
    <x v="1"/>
    <s v="2025-01-26"/>
    <x v="5"/>
    <x v="9"/>
    <x v="1"/>
    <n v="67.040000000000006"/>
    <s v="0% off"/>
    <n v="0"/>
    <x v="1"/>
    <x v="0"/>
    <n v="67.040000000000006"/>
    <x v="3"/>
    <n v="1"/>
    <s v="Very Poor"/>
  </r>
  <r>
    <s v="8ab4757f-1973-4933-978f-c85355f98708"/>
    <x v="44"/>
    <x v="0"/>
    <x v="129"/>
    <x v="4"/>
    <x v="5"/>
    <s v="2025-03-18"/>
    <x v="1"/>
    <x v="6"/>
    <x v="1"/>
    <n v="988.77"/>
    <s v="20% off"/>
    <n v="197.75400000000002"/>
    <x v="0"/>
    <x v="0"/>
    <n v="791.01599999999996"/>
    <x v="0"/>
    <n v="2"/>
    <s v="Poor"/>
  </r>
  <r>
    <s v="d36dc53b-9b50-4e2c-91fe-3e56ec80ec5d"/>
    <x v="0"/>
    <x v="1"/>
    <x v="130"/>
    <x v="3"/>
    <x v="19"/>
    <s v="2024-08-05"/>
    <x v="6"/>
    <x v="3"/>
    <x v="0"/>
    <n v="165.68"/>
    <s v="5% off"/>
    <n v="8.2840000000000007"/>
    <x v="0"/>
    <x v="0"/>
    <n v="157.39600000000002"/>
    <x v="2"/>
    <n v="1"/>
    <s v="Very Poor"/>
  </r>
  <r>
    <s v="e261e5a1-0118-4215-bdb3-f793cd8167b2"/>
    <x v="20"/>
    <x v="0"/>
    <x v="131"/>
    <x v="0"/>
    <x v="22"/>
    <s v="2025-02-18"/>
    <x v="1"/>
    <x v="8"/>
    <x v="1"/>
    <n v="485.26"/>
    <s v="5% off"/>
    <n v="24.263000000000002"/>
    <x v="0"/>
    <x v="0"/>
    <n v="460.99700000000001"/>
    <x v="0"/>
    <n v="4"/>
    <s v="Good"/>
  </r>
  <r>
    <s v="2b0ff528-9aa1-419c-bb12-50edfe62a151"/>
    <x v="48"/>
    <x v="1"/>
    <x v="132"/>
    <x v="5"/>
    <x v="6"/>
    <s v="2024-12-18"/>
    <x v="4"/>
    <x v="7"/>
    <x v="0"/>
    <n v="76.81"/>
    <s v="0% off"/>
    <n v="0"/>
    <x v="1"/>
    <x v="1"/>
    <n v="76.81"/>
    <x v="3"/>
    <n v="2"/>
    <s v="Poor"/>
  </r>
  <r>
    <s v="c015c143-9218-41ab-be29-54b4ab0aae2b"/>
    <x v="41"/>
    <x v="0"/>
    <x v="72"/>
    <x v="1"/>
    <x v="1"/>
    <s v="2025-01-23"/>
    <x v="3"/>
    <x v="9"/>
    <x v="1"/>
    <n v="67.040000000000006"/>
    <s v="0% off"/>
    <n v="0"/>
    <x v="1"/>
    <x v="0"/>
    <n v="67.040000000000006"/>
    <x v="2"/>
    <n v="1"/>
    <s v="Very Poor"/>
  </r>
  <r>
    <s v="50fe7141-2dd5-49a5-97cd-932cb1f92220"/>
    <x v="50"/>
    <x v="0"/>
    <x v="75"/>
    <x v="0"/>
    <x v="0"/>
    <s v="2024-10-07"/>
    <x v="6"/>
    <x v="5"/>
    <x v="0"/>
    <n v="697.86"/>
    <s v="10% off"/>
    <n v="69.786000000000001"/>
    <x v="0"/>
    <x v="1"/>
    <n v="628.07400000000007"/>
    <x v="2"/>
    <n v="2"/>
    <s v="Poor"/>
  </r>
  <r>
    <s v="c29b16e9-e506-4dd6-a109-36b2c367b66e"/>
    <x v="14"/>
    <x v="1"/>
    <x v="76"/>
    <x v="1"/>
    <x v="26"/>
    <s v="2024-04-20"/>
    <x v="2"/>
    <x v="0"/>
    <x v="0"/>
    <n v="775.75"/>
    <s v="15% off"/>
    <n v="116.3625"/>
    <x v="0"/>
    <x v="1"/>
    <n v="659.38750000000005"/>
    <x v="2"/>
    <n v="5"/>
    <s v="Excellent"/>
  </r>
  <r>
    <s v="521754b0-7514-4e2d-a953-6937dc89e23a"/>
    <x v="17"/>
    <x v="0"/>
    <x v="133"/>
    <x v="6"/>
    <x v="10"/>
    <s v="2025-01-25"/>
    <x v="2"/>
    <x v="9"/>
    <x v="1"/>
    <n v="782.29"/>
    <s v="15% off"/>
    <n v="117.34349999999999"/>
    <x v="0"/>
    <x v="0"/>
    <n v="664.94650000000001"/>
    <x v="1"/>
    <n v="5"/>
    <s v="Excellent"/>
  </r>
  <r>
    <s v="f682c064-9996-4cb2-ba23-d77dba2ec751"/>
    <x v="42"/>
    <x v="0"/>
    <x v="134"/>
    <x v="5"/>
    <x v="16"/>
    <s v="2024-11-29"/>
    <x v="0"/>
    <x v="1"/>
    <x v="0"/>
    <n v="592.26"/>
    <s v="10% off"/>
    <n v="59.225999999999999"/>
    <x v="0"/>
    <x v="0"/>
    <n v="533.03399999999999"/>
    <x v="2"/>
    <n v="4"/>
    <s v="Good"/>
  </r>
  <r>
    <s v="ca71a0d7-8c86-45ea-a659-3481d13f7a23"/>
    <x v="13"/>
    <x v="1"/>
    <x v="135"/>
    <x v="2"/>
    <x v="18"/>
    <s v="2024-04-13"/>
    <x v="2"/>
    <x v="0"/>
    <x v="0"/>
    <n v="492.1"/>
    <s v="5% off"/>
    <n v="24.605000000000004"/>
    <x v="0"/>
    <x v="0"/>
    <n v="467.495"/>
    <x v="1"/>
    <n v="3"/>
    <s v="Average"/>
  </r>
  <r>
    <s v="1cd9856d-83ca-4ef9-ada4-5ed0d32b1905"/>
    <x v="16"/>
    <x v="1"/>
    <x v="136"/>
    <x v="6"/>
    <x v="14"/>
    <s v="2024-06-09"/>
    <x v="5"/>
    <x v="11"/>
    <x v="0"/>
    <n v="965.09"/>
    <s v="20% off"/>
    <n v="193.01800000000003"/>
    <x v="0"/>
    <x v="1"/>
    <n v="772.072"/>
    <x v="1"/>
    <n v="5"/>
    <s v="Excellent"/>
  </r>
  <r>
    <s v="7d3aae84-23dd-4cc3-a2a1-8167fef89208"/>
    <x v="45"/>
    <x v="0"/>
    <x v="137"/>
    <x v="0"/>
    <x v="22"/>
    <s v="2024-06-29"/>
    <x v="2"/>
    <x v="11"/>
    <x v="0"/>
    <n v="485.26"/>
    <s v="5% off"/>
    <n v="24.263000000000002"/>
    <x v="0"/>
    <x v="0"/>
    <n v="460.99700000000001"/>
    <x v="3"/>
    <n v="2"/>
    <s v="Poor"/>
  </r>
  <r>
    <s v="5696593b-2d96-46e3-a2f0-ccfd709282b5"/>
    <x v="19"/>
    <x v="0"/>
    <x v="0"/>
    <x v="4"/>
    <x v="4"/>
    <s v="2024-10-22"/>
    <x v="1"/>
    <x v="5"/>
    <x v="0"/>
    <n v="512.94000000000005"/>
    <s v="10% off"/>
    <n v="51.294000000000011"/>
    <x v="0"/>
    <x v="1"/>
    <n v="461.64600000000007"/>
    <x v="3"/>
    <n v="1"/>
    <s v="Very Poor"/>
  </r>
  <r>
    <s v="ca4b63b0-f969-48ec-8db9-7e486b5fb90f"/>
    <x v="47"/>
    <x v="1"/>
    <x v="1"/>
    <x v="4"/>
    <x v="17"/>
    <s v="2025-01-11"/>
    <x v="2"/>
    <x v="9"/>
    <x v="1"/>
    <n v="315.56"/>
    <s v="5% off"/>
    <n v="15.778"/>
    <x v="0"/>
    <x v="1"/>
    <n v="299.78199999999998"/>
    <x v="3"/>
    <n v="2"/>
    <s v="Poor"/>
  </r>
  <r>
    <s v="9295b918-d8b0-41bb-924e-e457071b99cf"/>
    <x v="7"/>
    <x v="0"/>
    <x v="2"/>
    <x v="3"/>
    <x v="15"/>
    <s v="2024-08-27"/>
    <x v="1"/>
    <x v="3"/>
    <x v="0"/>
    <n v="855.21"/>
    <s v="15% off"/>
    <n v="128.28149999999999"/>
    <x v="0"/>
    <x v="0"/>
    <n v="726.92849999999999"/>
    <x v="2"/>
    <n v="2"/>
    <s v="Poor"/>
  </r>
  <r>
    <s v="fe010b32-2102-4ba3-869d-a4c7ab9af1a5"/>
    <x v="24"/>
    <x v="1"/>
    <x v="3"/>
    <x v="6"/>
    <x v="21"/>
    <s v="2024-04-26"/>
    <x v="0"/>
    <x v="0"/>
    <x v="0"/>
    <n v="461.81"/>
    <s v="5% off"/>
    <n v="23.090500000000002"/>
    <x v="0"/>
    <x v="1"/>
    <n v="438.71949999999998"/>
    <x v="0"/>
    <n v="5"/>
    <s v="Excellent"/>
  </r>
  <r>
    <s v="ce99be89-889b-4dd2-977f-15a81e8e7144"/>
    <x v="3"/>
    <x v="0"/>
    <x v="4"/>
    <x v="0"/>
    <x v="11"/>
    <s v="2024-08-18"/>
    <x v="5"/>
    <x v="3"/>
    <x v="0"/>
    <n v="116.78"/>
    <s v="0% off"/>
    <n v="0"/>
    <x v="1"/>
    <x v="0"/>
    <n v="116.78"/>
    <x v="1"/>
    <n v="2"/>
    <s v="Poor"/>
  </r>
  <r>
    <s v="2c9443c0-3822-45c2-b013-f664d08d1ad0"/>
    <x v="40"/>
    <x v="0"/>
    <x v="5"/>
    <x v="4"/>
    <x v="4"/>
    <s v="2025-01-06"/>
    <x v="6"/>
    <x v="9"/>
    <x v="1"/>
    <n v="512.94000000000005"/>
    <s v="10% off"/>
    <n v="51.294000000000011"/>
    <x v="0"/>
    <x v="1"/>
    <n v="461.64600000000007"/>
    <x v="2"/>
    <n v="4"/>
    <s v="Good"/>
  </r>
  <r>
    <s v="4c1e72b5-5484-4566-81fb-3d8f706f0fd0"/>
    <x v="48"/>
    <x v="0"/>
    <x v="6"/>
    <x v="4"/>
    <x v="5"/>
    <s v="2024-11-30"/>
    <x v="2"/>
    <x v="1"/>
    <x v="0"/>
    <n v="988.77"/>
    <s v="20% off"/>
    <n v="197.75400000000002"/>
    <x v="0"/>
    <x v="0"/>
    <n v="791.01599999999996"/>
    <x v="0"/>
    <n v="2"/>
    <s v="Poor"/>
  </r>
  <r>
    <s v="508c533c-72cb-4728-a5d0-c1017f53c810"/>
    <x v="52"/>
    <x v="0"/>
    <x v="7"/>
    <x v="5"/>
    <x v="9"/>
    <s v="2025-01-28"/>
    <x v="1"/>
    <x v="9"/>
    <x v="1"/>
    <n v="452.97"/>
    <s v="5% off"/>
    <n v="22.648500000000002"/>
    <x v="0"/>
    <x v="0"/>
    <n v="430.32150000000001"/>
    <x v="1"/>
    <n v="1"/>
    <s v="Very Poor"/>
  </r>
  <r>
    <s v="cb33bb04-3d7b-46ee-a41b-207e857707f1"/>
    <x v="39"/>
    <x v="1"/>
    <x v="8"/>
    <x v="5"/>
    <x v="16"/>
    <s v="2025-01-03"/>
    <x v="0"/>
    <x v="9"/>
    <x v="1"/>
    <n v="592.26"/>
    <s v="10% off"/>
    <n v="59.225999999999999"/>
    <x v="0"/>
    <x v="0"/>
    <n v="533.03399999999999"/>
    <x v="2"/>
    <n v="1"/>
    <s v="Very Poor"/>
  </r>
  <r>
    <s v="875955df-27c5-43fd-9917-27afde2f43a7"/>
    <x v="32"/>
    <x v="0"/>
    <x v="9"/>
    <x v="5"/>
    <x v="8"/>
    <s v="2025-03-24"/>
    <x v="6"/>
    <x v="6"/>
    <x v="1"/>
    <n v="374.92"/>
    <s v="5% off"/>
    <n v="18.746000000000002"/>
    <x v="0"/>
    <x v="1"/>
    <n v="356.17400000000004"/>
    <x v="3"/>
    <n v="1"/>
    <s v="Very Poor"/>
  </r>
  <r>
    <s v="c681a8d8-53fd-437d-a6e2-26697fbfa875"/>
    <x v="31"/>
    <x v="1"/>
    <x v="10"/>
    <x v="4"/>
    <x v="5"/>
    <s v="2024-08-03"/>
    <x v="2"/>
    <x v="3"/>
    <x v="0"/>
    <n v="988.77"/>
    <s v="20% off"/>
    <n v="197.75400000000002"/>
    <x v="0"/>
    <x v="0"/>
    <n v="791.01599999999996"/>
    <x v="1"/>
    <n v="4"/>
    <s v="Good"/>
  </r>
  <r>
    <s v="2af76e37-40d4-4141-aa5d-ba46f374e15b"/>
    <x v="11"/>
    <x v="1"/>
    <x v="11"/>
    <x v="1"/>
    <x v="1"/>
    <s v="2024-06-07"/>
    <x v="0"/>
    <x v="11"/>
    <x v="0"/>
    <n v="67.040000000000006"/>
    <s v="0% off"/>
    <n v="0"/>
    <x v="1"/>
    <x v="0"/>
    <n v="67.040000000000006"/>
    <x v="0"/>
    <n v="4"/>
    <s v="Good"/>
  </r>
  <r>
    <s v="2e8bc39d-86a7-4fd7-83e7-333869d59a6a"/>
    <x v="31"/>
    <x v="0"/>
    <x v="12"/>
    <x v="1"/>
    <x v="23"/>
    <s v="2024-05-18"/>
    <x v="2"/>
    <x v="4"/>
    <x v="0"/>
    <n v="362.55"/>
    <s v="5% off"/>
    <n v="18.127500000000001"/>
    <x v="0"/>
    <x v="1"/>
    <n v="344.42250000000001"/>
    <x v="0"/>
    <n v="2"/>
    <s v="Poor"/>
  </r>
  <r>
    <s v="bbedb9ad-c117-4d5d-8838-aa6a654641bf"/>
    <x v="49"/>
    <x v="1"/>
    <x v="13"/>
    <x v="5"/>
    <x v="6"/>
    <s v="2024-04-03"/>
    <x v="4"/>
    <x v="0"/>
    <x v="0"/>
    <n v="76.81"/>
    <s v="0% off"/>
    <n v="0"/>
    <x v="1"/>
    <x v="0"/>
    <n v="76.81"/>
    <x v="3"/>
    <n v="5"/>
    <s v="Excellent"/>
  </r>
  <r>
    <s v="751e076d-7d10-4716-bc37-794f7c3560a4"/>
    <x v="3"/>
    <x v="1"/>
    <x v="14"/>
    <x v="2"/>
    <x v="2"/>
    <s v="2024-08-12"/>
    <x v="6"/>
    <x v="3"/>
    <x v="0"/>
    <n v="493.96"/>
    <s v="5% off"/>
    <n v="24.698"/>
    <x v="0"/>
    <x v="0"/>
    <n v="469.262"/>
    <x v="3"/>
    <n v="5"/>
    <s v="Excellent"/>
  </r>
  <r>
    <s v="07555b65-86fd-484a-8c86-f0c54448bc4f"/>
    <x v="28"/>
    <x v="0"/>
    <x v="15"/>
    <x v="5"/>
    <x v="6"/>
    <s v="2024-12-02"/>
    <x v="6"/>
    <x v="7"/>
    <x v="0"/>
    <n v="76.81"/>
    <s v="0% off"/>
    <n v="0"/>
    <x v="1"/>
    <x v="1"/>
    <n v="76.81"/>
    <x v="3"/>
    <n v="3"/>
    <s v="Average"/>
  </r>
  <r>
    <s v="e2adc98a-9a35-45b7-a3be-3de413a94858"/>
    <x v="6"/>
    <x v="0"/>
    <x v="16"/>
    <x v="2"/>
    <x v="18"/>
    <s v="2024-05-19"/>
    <x v="5"/>
    <x v="4"/>
    <x v="0"/>
    <n v="492.1"/>
    <s v="5% off"/>
    <n v="24.605000000000004"/>
    <x v="0"/>
    <x v="1"/>
    <n v="467.495"/>
    <x v="0"/>
    <n v="3"/>
    <s v="Average"/>
  </r>
  <r>
    <s v="bbba8a83-382c-4fd0-88dd-94a2a1cc929d"/>
    <x v="25"/>
    <x v="1"/>
    <x v="17"/>
    <x v="3"/>
    <x v="3"/>
    <s v="2025-02-16"/>
    <x v="5"/>
    <x v="8"/>
    <x v="1"/>
    <n v="211.46"/>
    <s v="5% off"/>
    <n v="10.573"/>
    <x v="0"/>
    <x v="0"/>
    <n v="200.887"/>
    <x v="2"/>
    <n v="3"/>
    <s v="Average"/>
  </r>
  <r>
    <s v="6a1b3079-f571-41f4-9b42-54f8b5d65cf0"/>
    <x v="14"/>
    <x v="1"/>
    <x v="18"/>
    <x v="2"/>
    <x v="24"/>
    <s v="2024-05-25"/>
    <x v="2"/>
    <x v="4"/>
    <x v="0"/>
    <n v="52.44"/>
    <s v="0% off"/>
    <n v="0"/>
    <x v="1"/>
    <x v="1"/>
    <n v="52.44"/>
    <x v="2"/>
    <n v="4"/>
    <s v="Good"/>
  </r>
  <r>
    <s v="b7cd6221-db48-4537-8afe-da1c3ba98812"/>
    <x v="15"/>
    <x v="0"/>
    <x v="19"/>
    <x v="6"/>
    <x v="13"/>
    <s v="2024-08-16"/>
    <x v="0"/>
    <x v="3"/>
    <x v="0"/>
    <n v="418.55"/>
    <s v="5% off"/>
    <n v="20.927500000000002"/>
    <x v="0"/>
    <x v="1"/>
    <n v="397.6225"/>
    <x v="1"/>
    <n v="2"/>
    <s v="Poor"/>
  </r>
  <r>
    <s v="b3a161a9-2fe9-4990-b533-97597501bf1e"/>
    <x v="31"/>
    <x v="1"/>
    <x v="20"/>
    <x v="6"/>
    <x v="14"/>
    <s v="2024-06-12"/>
    <x v="4"/>
    <x v="11"/>
    <x v="0"/>
    <n v="965.09"/>
    <s v="20% off"/>
    <n v="193.01800000000003"/>
    <x v="0"/>
    <x v="0"/>
    <n v="772.072"/>
    <x v="3"/>
    <n v="1"/>
    <s v="Very Poor"/>
  </r>
  <r>
    <s v="dedb41d9-475d-4adb-beab-c3eabc4b2d7d"/>
    <x v="20"/>
    <x v="0"/>
    <x v="21"/>
    <x v="0"/>
    <x v="22"/>
    <s v="2024-04-12"/>
    <x v="0"/>
    <x v="0"/>
    <x v="0"/>
    <n v="485.26"/>
    <s v="5% off"/>
    <n v="24.263000000000002"/>
    <x v="0"/>
    <x v="1"/>
    <n v="460.99700000000001"/>
    <x v="0"/>
    <n v="4"/>
    <s v="Good"/>
  </r>
  <r>
    <s v="14923b32-0ab9-404c-acad-609f6b25e8f0"/>
    <x v="28"/>
    <x v="1"/>
    <x v="22"/>
    <x v="3"/>
    <x v="15"/>
    <s v="2024-10-18"/>
    <x v="0"/>
    <x v="5"/>
    <x v="0"/>
    <n v="855.21"/>
    <s v="15% off"/>
    <n v="128.28149999999999"/>
    <x v="0"/>
    <x v="1"/>
    <n v="726.92849999999999"/>
    <x v="0"/>
    <n v="3"/>
    <s v="Average"/>
  </r>
  <r>
    <s v="c8a86bf6-7445-48e7-8acd-33316c627fee"/>
    <x v="46"/>
    <x v="1"/>
    <x v="23"/>
    <x v="1"/>
    <x v="23"/>
    <s v="2024-04-22"/>
    <x v="6"/>
    <x v="0"/>
    <x v="0"/>
    <n v="362.55"/>
    <s v="5% off"/>
    <n v="18.127500000000001"/>
    <x v="0"/>
    <x v="1"/>
    <n v="344.42250000000001"/>
    <x v="3"/>
    <n v="4"/>
    <s v="Good"/>
  </r>
  <r>
    <s v="db141523-800d-421d-a9a0-1d22121ea818"/>
    <x v="45"/>
    <x v="0"/>
    <x v="24"/>
    <x v="6"/>
    <x v="21"/>
    <s v="2024-04-28"/>
    <x v="5"/>
    <x v="0"/>
    <x v="0"/>
    <n v="461.81"/>
    <s v="5% off"/>
    <n v="23.090500000000002"/>
    <x v="0"/>
    <x v="1"/>
    <n v="438.71949999999998"/>
    <x v="1"/>
    <n v="3"/>
    <s v="Average"/>
  </r>
  <r>
    <s v="fa659462-bd41-46f5-a506-2b8b168d2c89"/>
    <x v="4"/>
    <x v="0"/>
    <x v="25"/>
    <x v="1"/>
    <x v="26"/>
    <s v="2024-07-03"/>
    <x v="4"/>
    <x v="2"/>
    <x v="0"/>
    <n v="775.75"/>
    <s v="15% off"/>
    <n v="116.3625"/>
    <x v="0"/>
    <x v="1"/>
    <n v="659.38750000000005"/>
    <x v="3"/>
    <n v="3"/>
    <s v="Average"/>
  </r>
  <r>
    <s v="e470f6aa-0c54-4a20-bb53-f925c26e24f7"/>
    <x v="31"/>
    <x v="1"/>
    <x v="26"/>
    <x v="6"/>
    <x v="10"/>
    <s v="2024-09-01"/>
    <x v="5"/>
    <x v="10"/>
    <x v="0"/>
    <n v="782.29"/>
    <s v="15% off"/>
    <n v="117.34349999999999"/>
    <x v="0"/>
    <x v="0"/>
    <n v="664.94650000000001"/>
    <x v="2"/>
    <n v="4"/>
    <s v="Good"/>
  </r>
  <r>
    <s v="ac3ee201-28dd-429a-a3aa-970a2eae63e9"/>
    <x v="41"/>
    <x v="0"/>
    <x v="27"/>
    <x v="5"/>
    <x v="6"/>
    <s v="2024-12-04"/>
    <x v="4"/>
    <x v="7"/>
    <x v="0"/>
    <n v="76.81"/>
    <s v="0% off"/>
    <n v="0"/>
    <x v="1"/>
    <x v="0"/>
    <n v="76.81"/>
    <x v="0"/>
    <n v="4"/>
    <s v="Good"/>
  </r>
  <r>
    <s v="7cf5eac6-fb01-467f-9bb6-b14eae19b6f5"/>
    <x v="38"/>
    <x v="1"/>
    <x v="28"/>
    <x v="3"/>
    <x v="15"/>
    <s v="2024-12-24"/>
    <x v="1"/>
    <x v="7"/>
    <x v="0"/>
    <n v="855.21"/>
    <s v="15% off"/>
    <n v="128.28149999999999"/>
    <x v="0"/>
    <x v="1"/>
    <n v="726.92849999999999"/>
    <x v="0"/>
    <n v="5"/>
    <s v="Excellent"/>
  </r>
  <r>
    <s v="7baf71e9-ed7e-47e3-8f5f-439d28af7ce9"/>
    <x v="29"/>
    <x v="1"/>
    <x v="29"/>
    <x v="4"/>
    <x v="20"/>
    <s v="2025-01-07"/>
    <x v="1"/>
    <x v="9"/>
    <x v="1"/>
    <n v="260.77999999999997"/>
    <s v="5% off"/>
    <n v="13.039"/>
    <x v="0"/>
    <x v="0"/>
    <n v="247.74099999999999"/>
    <x v="2"/>
    <n v="4"/>
    <s v="Good"/>
  </r>
  <r>
    <s v="c4e10b7b-f48b-48fb-b58d-f0e5a9be7c9f"/>
    <x v="18"/>
    <x v="1"/>
    <x v="30"/>
    <x v="2"/>
    <x v="2"/>
    <s v="2024-09-18"/>
    <x v="4"/>
    <x v="10"/>
    <x v="0"/>
    <n v="493.96"/>
    <s v="5% off"/>
    <n v="24.698"/>
    <x v="0"/>
    <x v="1"/>
    <n v="469.262"/>
    <x v="3"/>
    <n v="2"/>
    <s v="Poor"/>
  </r>
  <r>
    <s v="97021d90-6be8-43b4-b137-acbffce6a5c7"/>
    <x v="39"/>
    <x v="0"/>
    <x v="31"/>
    <x v="6"/>
    <x v="10"/>
    <s v="2025-02-08"/>
    <x v="2"/>
    <x v="8"/>
    <x v="1"/>
    <n v="782.29"/>
    <s v="15% off"/>
    <n v="117.34349999999999"/>
    <x v="0"/>
    <x v="0"/>
    <n v="664.94650000000001"/>
    <x v="2"/>
    <n v="2"/>
    <s v="Poor"/>
  </r>
  <r>
    <s v="3c33f351-f08b-4bf9-9a75-4d25472cc533"/>
    <x v="32"/>
    <x v="0"/>
    <x v="32"/>
    <x v="2"/>
    <x v="24"/>
    <s v="2024-04-07"/>
    <x v="5"/>
    <x v="0"/>
    <x v="0"/>
    <n v="52.44"/>
    <s v="0% off"/>
    <n v="0"/>
    <x v="1"/>
    <x v="1"/>
    <n v="52.44"/>
    <x v="1"/>
    <n v="2"/>
    <s v="Poor"/>
  </r>
  <r>
    <s v="d267dd7d-fb9c-4dfc-8a5f-6f02b451d9c0"/>
    <x v="25"/>
    <x v="1"/>
    <x v="33"/>
    <x v="0"/>
    <x v="0"/>
    <s v="2024-11-18"/>
    <x v="6"/>
    <x v="1"/>
    <x v="0"/>
    <n v="697.86"/>
    <s v="10% off"/>
    <n v="69.786000000000001"/>
    <x v="0"/>
    <x v="0"/>
    <n v="628.07400000000007"/>
    <x v="3"/>
    <n v="2"/>
    <s v="Poor"/>
  </r>
  <r>
    <s v="24fd11de-7265-4a87-8f66-18d7eeda3eeb"/>
    <x v="4"/>
    <x v="0"/>
    <x v="34"/>
    <x v="6"/>
    <x v="13"/>
    <s v="2025-01-29"/>
    <x v="4"/>
    <x v="9"/>
    <x v="1"/>
    <n v="418.55"/>
    <s v="5% off"/>
    <n v="20.927500000000002"/>
    <x v="0"/>
    <x v="1"/>
    <n v="397.6225"/>
    <x v="3"/>
    <n v="1"/>
    <s v="Very Poor"/>
  </r>
  <r>
    <s v="8ee31998-adbf-4b18-b9a9-37370342d0ca"/>
    <x v="45"/>
    <x v="1"/>
    <x v="35"/>
    <x v="5"/>
    <x v="9"/>
    <s v="2024-06-29"/>
    <x v="2"/>
    <x v="11"/>
    <x v="0"/>
    <n v="452.97"/>
    <s v="5% off"/>
    <n v="22.648500000000002"/>
    <x v="0"/>
    <x v="1"/>
    <n v="430.32150000000001"/>
    <x v="3"/>
    <n v="4"/>
    <s v="Good"/>
  </r>
  <r>
    <s v="e9453397-c3d7-4013-9cb9-9407d9014019"/>
    <x v="10"/>
    <x v="1"/>
    <x v="36"/>
    <x v="5"/>
    <x v="9"/>
    <s v="2024-09-13"/>
    <x v="0"/>
    <x v="10"/>
    <x v="0"/>
    <n v="452.97"/>
    <s v="5% off"/>
    <n v="22.648500000000002"/>
    <x v="0"/>
    <x v="1"/>
    <n v="430.32150000000001"/>
    <x v="1"/>
    <n v="5"/>
    <s v="Excellent"/>
  </r>
  <r>
    <s v="60b5362a-1d80-4cf6-9457-fd587b6be00f"/>
    <x v="39"/>
    <x v="1"/>
    <x v="37"/>
    <x v="1"/>
    <x v="26"/>
    <s v="2024-06-10"/>
    <x v="6"/>
    <x v="11"/>
    <x v="0"/>
    <n v="775.75"/>
    <s v="15% off"/>
    <n v="116.3625"/>
    <x v="0"/>
    <x v="1"/>
    <n v="659.38750000000005"/>
    <x v="0"/>
    <n v="1"/>
    <s v="Very Poor"/>
  </r>
  <r>
    <s v="b2fe7e04-8d30-4343-a370-1fea0885ee3f"/>
    <x v="23"/>
    <x v="1"/>
    <x v="38"/>
    <x v="4"/>
    <x v="17"/>
    <s v="2024-09-06"/>
    <x v="0"/>
    <x v="10"/>
    <x v="0"/>
    <n v="315.56"/>
    <s v="5% off"/>
    <n v="15.778"/>
    <x v="0"/>
    <x v="0"/>
    <n v="299.78199999999998"/>
    <x v="3"/>
    <n v="2"/>
    <s v="Poor"/>
  </r>
  <r>
    <s v="ec02b1e2-0af5-4269-8ba2-cd72a03c39fb"/>
    <x v="46"/>
    <x v="1"/>
    <x v="39"/>
    <x v="1"/>
    <x v="1"/>
    <s v="2024-05-13"/>
    <x v="6"/>
    <x v="4"/>
    <x v="0"/>
    <n v="67.040000000000006"/>
    <s v="0% off"/>
    <n v="0"/>
    <x v="1"/>
    <x v="0"/>
    <n v="67.040000000000006"/>
    <x v="3"/>
    <n v="5"/>
    <s v="Excellent"/>
  </r>
  <r>
    <s v="07f5cf10-82d5-40f8-9cf5-424a1e91fef3"/>
    <x v="18"/>
    <x v="0"/>
    <x v="40"/>
    <x v="6"/>
    <x v="10"/>
    <s v="2024-07-31"/>
    <x v="4"/>
    <x v="2"/>
    <x v="0"/>
    <n v="782.29"/>
    <s v="15% off"/>
    <n v="117.34349999999999"/>
    <x v="0"/>
    <x v="0"/>
    <n v="664.94650000000001"/>
    <x v="3"/>
    <n v="3"/>
    <s v="Average"/>
  </r>
  <r>
    <s v="0ef3f4a0-7fd5-45eb-b680-567e36e337ae"/>
    <x v="45"/>
    <x v="1"/>
    <x v="41"/>
    <x v="4"/>
    <x v="17"/>
    <s v="2024-09-28"/>
    <x v="2"/>
    <x v="10"/>
    <x v="0"/>
    <n v="315.56"/>
    <s v="5% off"/>
    <n v="15.778"/>
    <x v="0"/>
    <x v="0"/>
    <n v="299.78199999999998"/>
    <x v="1"/>
    <n v="2"/>
    <s v="Poor"/>
  </r>
  <r>
    <s v="c00c8a75-c7cc-4d02-9761-af9d40fce8b7"/>
    <x v="17"/>
    <x v="0"/>
    <x v="42"/>
    <x v="6"/>
    <x v="14"/>
    <s v="2025-03-16"/>
    <x v="5"/>
    <x v="6"/>
    <x v="1"/>
    <n v="965.09"/>
    <s v="20% off"/>
    <n v="193.01800000000003"/>
    <x v="0"/>
    <x v="0"/>
    <n v="772.072"/>
    <x v="1"/>
    <n v="2"/>
    <s v="Poor"/>
  </r>
  <r>
    <s v="4d443701-36e4-499d-bd37-145e05fbc24a"/>
    <x v="24"/>
    <x v="1"/>
    <x v="43"/>
    <x v="2"/>
    <x v="18"/>
    <s v="2024-06-03"/>
    <x v="6"/>
    <x v="11"/>
    <x v="0"/>
    <n v="492.1"/>
    <s v="5% off"/>
    <n v="24.605000000000004"/>
    <x v="0"/>
    <x v="1"/>
    <n v="467.495"/>
    <x v="2"/>
    <n v="1"/>
    <s v="Very Poor"/>
  </r>
  <r>
    <s v="bc2c6bb5-44d1-45c9-abbc-7f853ecbccc3"/>
    <x v="0"/>
    <x v="1"/>
    <x v="44"/>
    <x v="4"/>
    <x v="20"/>
    <s v="2025-01-12"/>
    <x v="5"/>
    <x v="9"/>
    <x v="1"/>
    <n v="260.77999999999997"/>
    <s v="5% off"/>
    <n v="13.039"/>
    <x v="0"/>
    <x v="1"/>
    <n v="247.74099999999999"/>
    <x v="0"/>
    <n v="4"/>
    <s v="Good"/>
  </r>
  <r>
    <s v="79c9d405-c0a1-48ec-823e-d567a19b96ec"/>
    <x v="26"/>
    <x v="0"/>
    <x v="45"/>
    <x v="1"/>
    <x v="26"/>
    <s v="2024-06-29"/>
    <x v="2"/>
    <x v="11"/>
    <x v="0"/>
    <n v="775.75"/>
    <s v="15% off"/>
    <n v="116.3625"/>
    <x v="0"/>
    <x v="1"/>
    <n v="659.38750000000005"/>
    <x v="2"/>
    <n v="5"/>
    <s v="Excellent"/>
  </r>
  <r>
    <s v="67a66e91-212d-4d17-addb-c12c7bc8921e"/>
    <x v="39"/>
    <x v="0"/>
    <x v="46"/>
    <x v="5"/>
    <x v="9"/>
    <s v="2024-04-07"/>
    <x v="5"/>
    <x v="0"/>
    <x v="0"/>
    <n v="452.97"/>
    <s v="5% off"/>
    <n v="22.648500000000002"/>
    <x v="0"/>
    <x v="1"/>
    <n v="430.32150000000001"/>
    <x v="0"/>
    <n v="5"/>
    <s v="Excellent"/>
  </r>
  <r>
    <s v="b2f206fc-3c12-4be1-9553-f05e8e23e676"/>
    <x v="52"/>
    <x v="0"/>
    <x v="47"/>
    <x v="3"/>
    <x v="12"/>
    <s v="2024-05-09"/>
    <x v="3"/>
    <x v="4"/>
    <x v="0"/>
    <n v="270.41000000000003"/>
    <s v="5% off"/>
    <n v="13.520500000000002"/>
    <x v="0"/>
    <x v="0"/>
    <n v="256.8895"/>
    <x v="1"/>
    <n v="4"/>
    <s v="Good"/>
  </r>
  <r>
    <s v="769ca977-6ec5-4106-b5f0-1215460a937e"/>
    <x v="29"/>
    <x v="0"/>
    <x v="48"/>
    <x v="1"/>
    <x v="1"/>
    <s v="2024-12-09"/>
    <x v="6"/>
    <x v="7"/>
    <x v="0"/>
    <n v="67.040000000000006"/>
    <s v="0% off"/>
    <n v="0"/>
    <x v="1"/>
    <x v="0"/>
    <n v="67.040000000000006"/>
    <x v="0"/>
    <n v="4"/>
    <s v="Good"/>
  </r>
  <r>
    <s v="d6f592e2-20e1-40c9-ad13-5bf567db3e05"/>
    <x v="13"/>
    <x v="0"/>
    <x v="49"/>
    <x v="6"/>
    <x v="13"/>
    <s v="2024-06-24"/>
    <x v="6"/>
    <x v="11"/>
    <x v="0"/>
    <n v="418.55"/>
    <s v="5% off"/>
    <n v="20.927500000000002"/>
    <x v="0"/>
    <x v="1"/>
    <n v="397.6225"/>
    <x v="2"/>
    <n v="2"/>
    <s v="Poor"/>
  </r>
  <r>
    <s v="740e9d49-df9f-41c4-8a0f-ca48bee3faeb"/>
    <x v="11"/>
    <x v="0"/>
    <x v="50"/>
    <x v="0"/>
    <x v="11"/>
    <s v="2025-01-24"/>
    <x v="0"/>
    <x v="9"/>
    <x v="1"/>
    <n v="116.78"/>
    <s v="0% off"/>
    <n v="0"/>
    <x v="1"/>
    <x v="1"/>
    <n v="116.78"/>
    <x v="3"/>
    <n v="3"/>
    <s v="Average"/>
  </r>
  <r>
    <s v="8b665ffc-3c1b-4bd1-9481-0ba138d742a0"/>
    <x v="14"/>
    <x v="1"/>
    <x v="51"/>
    <x v="5"/>
    <x v="8"/>
    <s v="2025-03-16"/>
    <x v="5"/>
    <x v="6"/>
    <x v="1"/>
    <n v="374.92"/>
    <s v="5% off"/>
    <n v="18.746000000000002"/>
    <x v="0"/>
    <x v="1"/>
    <n v="356.17400000000004"/>
    <x v="2"/>
    <n v="2"/>
    <s v="Poor"/>
  </r>
  <r>
    <s v="7c61e40f-b3f8-4198-bbae-2adaf0957014"/>
    <x v="44"/>
    <x v="0"/>
    <x v="52"/>
    <x v="5"/>
    <x v="8"/>
    <s v="2025-01-03"/>
    <x v="0"/>
    <x v="9"/>
    <x v="1"/>
    <n v="374.92"/>
    <s v="5% off"/>
    <n v="18.746000000000002"/>
    <x v="0"/>
    <x v="0"/>
    <n v="356.17400000000004"/>
    <x v="3"/>
    <n v="2"/>
    <s v="Poor"/>
  </r>
  <r>
    <s v="a34744e3-6a7c-4e8f-8038-599ebb1400ba"/>
    <x v="20"/>
    <x v="0"/>
    <x v="53"/>
    <x v="4"/>
    <x v="17"/>
    <s v="2025-02-10"/>
    <x v="6"/>
    <x v="8"/>
    <x v="1"/>
    <n v="315.56"/>
    <s v="5% off"/>
    <n v="15.778"/>
    <x v="0"/>
    <x v="0"/>
    <n v="299.78199999999998"/>
    <x v="1"/>
    <n v="3"/>
    <s v="Average"/>
  </r>
  <r>
    <s v="930e4856-b8b0-4f8a-b5e2-b8a82e8e3a43"/>
    <x v="28"/>
    <x v="0"/>
    <x v="33"/>
    <x v="6"/>
    <x v="10"/>
    <s v="2024-05-21"/>
    <x v="1"/>
    <x v="4"/>
    <x v="0"/>
    <n v="782.29"/>
    <s v="15% off"/>
    <n v="117.34349999999999"/>
    <x v="0"/>
    <x v="0"/>
    <n v="664.94650000000001"/>
    <x v="0"/>
    <n v="1"/>
    <s v="Very Poor"/>
  </r>
  <r>
    <s v="38cf6f28-0f68-4e9a-bd2c-3b1009a0d160"/>
    <x v="28"/>
    <x v="0"/>
    <x v="54"/>
    <x v="4"/>
    <x v="20"/>
    <s v="2025-03-22"/>
    <x v="2"/>
    <x v="6"/>
    <x v="1"/>
    <n v="260.77999999999997"/>
    <s v="5% off"/>
    <n v="13.039"/>
    <x v="0"/>
    <x v="0"/>
    <n v="247.74099999999999"/>
    <x v="2"/>
    <n v="3"/>
    <s v="Average"/>
  </r>
  <r>
    <s v="c36ab48c-52dd-4bfd-82c4-4e1b88878730"/>
    <x v="14"/>
    <x v="0"/>
    <x v="55"/>
    <x v="0"/>
    <x v="22"/>
    <s v="2024-05-19"/>
    <x v="5"/>
    <x v="4"/>
    <x v="0"/>
    <n v="485.26"/>
    <s v="5% off"/>
    <n v="24.263000000000002"/>
    <x v="0"/>
    <x v="0"/>
    <n v="460.99700000000001"/>
    <x v="1"/>
    <n v="4"/>
    <s v="Good"/>
  </r>
  <r>
    <s v="cb54aae0-9ebf-4fc4-a509-a87920eefff0"/>
    <x v="5"/>
    <x v="1"/>
    <x v="56"/>
    <x v="1"/>
    <x v="26"/>
    <s v="2025-01-08"/>
    <x v="4"/>
    <x v="9"/>
    <x v="1"/>
    <n v="775.75"/>
    <s v="15% off"/>
    <n v="116.3625"/>
    <x v="0"/>
    <x v="1"/>
    <n v="659.38750000000005"/>
    <x v="3"/>
    <n v="3"/>
    <s v="Average"/>
  </r>
  <r>
    <s v="26a8c680-7429-49b6-b9ab-91cee7396e79"/>
    <x v="6"/>
    <x v="0"/>
    <x v="57"/>
    <x v="5"/>
    <x v="16"/>
    <s v="2024-09-28"/>
    <x v="2"/>
    <x v="10"/>
    <x v="0"/>
    <n v="592.26"/>
    <s v="10% off"/>
    <n v="59.225999999999999"/>
    <x v="0"/>
    <x v="0"/>
    <n v="533.03399999999999"/>
    <x v="2"/>
    <n v="1"/>
    <s v="Very Poor"/>
  </r>
  <r>
    <s v="bd724709-2cdf-43dd-bb2d-6a056e29bc26"/>
    <x v="29"/>
    <x v="0"/>
    <x v="58"/>
    <x v="1"/>
    <x v="25"/>
    <s v="2024-07-04"/>
    <x v="3"/>
    <x v="2"/>
    <x v="0"/>
    <n v="527.16999999999996"/>
    <s v="10% off"/>
    <n v="52.716999999999999"/>
    <x v="0"/>
    <x v="0"/>
    <n v="474.45299999999997"/>
    <x v="0"/>
    <n v="3"/>
    <s v="Average"/>
  </r>
  <r>
    <s v="e89cecc2-01bb-441e-90dd-72313b7ae907"/>
    <x v="19"/>
    <x v="1"/>
    <x v="59"/>
    <x v="6"/>
    <x v="13"/>
    <s v="2024-08-24"/>
    <x v="2"/>
    <x v="3"/>
    <x v="0"/>
    <n v="418.55"/>
    <s v="5% off"/>
    <n v="20.927500000000002"/>
    <x v="0"/>
    <x v="0"/>
    <n v="397.6225"/>
    <x v="3"/>
    <n v="2"/>
    <s v="Poor"/>
  </r>
  <r>
    <s v="3f535e8b-4501-4404-a9ec-a23e3fd8e7e7"/>
    <x v="23"/>
    <x v="0"/>
    <x v="60"/>
    <x v="6"/>
    <x v="10"/>
    <s v="2024-11-08"/>
    <x v="0"/>
    <x v="1"/>
    <x v="0"/>
    <n v="782.29"/>
    <s v="15% off"/>
    <n v="117.34349999999999"/>
    <x v="0"/>
    <x v="0"/>
    <n v="664.94650000000001"/>
    <x v="0"/>
    <n v="4"/>
    <s v="Good"/>
  </r>
  <r>
    <s v="5811bf74-0383-43b9-aef8-00b7b72135ea"/>
    <x v="1"/>
    <x v="0"/>
    <x v="61"/>
    <x v="5"/>
    <x v="8"/>
    <s v="2025-02-11"/>
    <x v="1"/>
    <x v="8"/>
    <x v="1"/>
    <n v="374.92"/>
    <s v="5% off"/>
    <n v="18.746000000000002"/>
    <x v="0"/>
    <x v="1"/>
    <n v="356.17400000000004"/>
    <x v="2"/>
    <n v="1"/>
    <s v="Very Poor"/>
  </r>
  <r>
    <s v="bad334b5-cac7-4cd3-86c1-51bb35001164"/>
    <x v="52"/>
    <x v="1"/>
    <x v="42"/>
    <x v="3"/>
    <x v="19"/>
    <s v="2024-05-14"/>
    <x v="1"/>
    <x v="4"/>
    <x v="0"/>
    <n v="165.68"/>
    <s v="5% off"/>
    <n v="8.2840000000000007"/>
    <x v="0"/>
    <x v="1"/>
    <n v="157.39600000000002"/>
    <x v="0"/>
    <n v="1"/>
    <s v="Very Poor"/>
  </r>
  <r>
    <s v="87f79a10-63d3-41dd-b38f-ba7e00c8a196"/>
    <x v="14"/>
    <x v="1"/>
    <x v="62"/>
    <x v="0"/>
    <x v="11"/>
    <s v="2024-07-29"/>
    <x v="6"/>
    <x v="2"/>
    <x v="0"/>
    <n v="116.78"/>
    <s v="0% off"/>
    <n v="0"/>
    <x v="1"/>
    <x v="0"/>
    <n v="116.78"/>
    <x v="2"/>
    <n v="4"/>
    <s v="Good"/>
  </r>
  <r>
    <s v="c6f7bd2e-abdd-4314-a326-f814dfaa2a52"/>
    <x v="15"/>
    <x v="0"/>
    <x v="63"/>
    <x v="6"/>
    <x v="14"/>
    <s v="2024-08-06"/>
    <x v="1"/>
    <x v="3"/>
    <x v="0"/>
    <n v="965.09"/>
    <s v="20% off"/>
    <n v="193.01800000000003"/>
    <x v="0"/>
    <x v="1"/>
    <n v="772.072"/>
    <x v="3"/>
    <n v="3"/>
    <s v="Average"/>
  </r>
  <r>
    <s v="6995b3de-11e7-44cf-bcaa-dc33d250a3ca"/>
    <x v="45"/>
    <x v="1"/>
    <x v="64"/>
    <x v="0"/>
    <x v="11"/>
    <s v="2025-01-23"/>
    <x v="3"/>
    <x v="9"/>
    <x v="1"/>
    <n v="116.78"/>
    <s v="0% off"/>
    <n v="0"/>
    <x v="1"/>
    <x v="0"/>
    <n v="116.78"/>
    <x v="3"/>
    <n v="3"/>
    <s v="Average"/>
  </r>
  <r>
    <s v="290c88cf-532b-4718-984c-4a4818631723"/>
    <x v="20"/>
    <x v="0"/>
    <x v="65"/>
    <x v="0"/>
    <x v="22"/>
    <s v="2024-11-01"/>
    <x v="0"/>
    <x v="1"/>
    <x v="0"/>
    <n v="485.26"/>
    <s v="5% off"/>
    <n v="24.263000000000002"/>
    <x v="0"/>
    <x v="0"/>
    <n v="460.99700000000001"/>
    <x v="1"/>
    <n v="3"/>
    <s v="Average"/>
  </r>
  <r>
    <s v="a49fe029-8e5e-4361-800d-5e3000c14599"/>
    <x v="50"/>
    <x v="1"/>
    <x v="66"/>
    <x v="1"/>
    <x v="26"/>
    <s v="2024-08-17"/>
    <x v="2"/>
    <x v="3"/>
    <x v="0"/>
    <n v="775.75"/>
    <s v="15% off"/>
    <n v="116.3625"/>
    <x v="0"/>
    <x v="1"/>
    <n v="659.38750000000005"/>
    <x v="3"/>
    <n v="1"/>
    <s v="Very Poor"/>
  </r>
  <r>
    <s v="fcbe6a33-4d10-4618-bb98-ade8271453a5"/>
    <x v="25"/>
    <x v="1"/>
    <x v="67"/>
    <x v="6"/>
    <x v="21"/>
    <s v="2024-08-11"/>
    <x v="5"/>
    <x v="3"/>
    <x v="0"/>
    <n v="461.81"/>
    <s v="5% off"/>
    <n v="23.090500000000002"/>
    <x v="0"/>
    <x v="0"/>
    <n v="438.71949999999998"/>
    <x v="0"/>
    <n v="3"/>
    <s v="Average"/>
  </r>
  <r>
    <s v="298ab500-220f-4e6a-9fcd-6dabe052b30c"/>
    <x v="52"/>
    <x v="0"/>
    <x v="68"/>
    <x v="5"/>
    <x v="9"/>
    <s v="2025-01-03"/>
    <x v="0"/>
    <x v="9"/>
    <x v="1"/>
    <n v="452.97"/>
    <s v="5% off"/>
    <n v="22.648500000000002"/>
    <x v="0"/>
    <x v="0"/>
    <n v="430.32150000000001"/>
    <x v="1"/>
    <n v="1"/>
    <s v="Very Poor"/>
  </r>
  <r>
    <s v="a5c5a7bf-ce40-4a2d-b0fc-0e952634e368"/>
    <x v="48"/>
    <x v="0"/>
    <x v="69"/>
    <x v="2"/>
    <x v="27"/>
    <s v="2025-01-22"/>
    <x v="4"/>
    <x v="9"/>
    <x v="1"/>
    <n v="340.04"/>
    <s v="5% off"/>
    <n v="17.002000000000002"/>
    <x v="0"/>
    <x v="1"/>
    <n v="323.03800000000001"/>
    <x v="1"/>
    <n v="2"/>
    <s v="Poor"/>
  </r>
  <r>
    <s v="4ab63118-a2e9-4a38-9425-393ebf303a8e"/>
    <x v="19"/>
    <x v="0"/>
    <x v="70"/>
    <x v="0"/>
    <x v="11"/>
    <s v="2024-12-25"/>
    <x v="4"/>
    <x v="7"/>
    <x v="0"/>
    <n v="116.78"/>
    <s v="0% off"/>
    <n v="0"/>
    <x v="1"/>
    <x v="1"/>
    <n v="116.78"/>
    <x v="2"/>
    <n v="5"/>
    <s v="Excellent"/>
  </r>
  <r>
    <s v="708290b4-de22-4ef4-9232-70e8c0444646"/>
    <x v="5"/>
    <x v="1"/>
    <x v="71"/>
    <x v="6"/>
    <x v="21"/>
    <s v="2025-02-17"/>
    <x v="6"/>
    <x v="8"/>
    <x v="1"/>
    <n v="461.81"/>
    <s v="5% off"/>
    <n v="23.090500000000002"/>
    <x v="0"/>
    <x v="0"/>
    <n v="438.71949999999998"/>
    <x v="1"/>
    <n v="1"/>
    <s v="Very Poor"/>
  </r>
  <r>
    <s v="7d372187-b0d0-4fd5-a7a1-c2a9e17b77cd"/>
    <x v="38"/>
    <x v="0"/>
    <x v="72"/>
    <x v="5"/>
    <x v="8"/>
    <s v="2024-10-16"/>
    <x v="4"/>
    <x v="5"/>
    <x v="0"/>
    <n v="374.92"/>
    <s v="5% off"/>
    <n v="18.746000000000002"/>
    <x v="0"/>
    <x v="0"/>
    <n v="356.17400000000004"/>
    <x v="1"/>
    <n v="1"/>
    <s v="Very Poor"/>
  </r>
  <r>
    <s v="c5e338d5-14e8-49e4-841d-c717ca399cee"/>
    <x v="34"/>
    <x v="1"/>
    <x v="73"/>
    <x v="4"/>
    <x v="4"/>
    <s v="2024-05-17"/>
    <x v="0"/>
    <x v="4"/>
    <x v="0"/>
    <n v="512.94000000000005"/>
    <s v="10% off"/>
    <n v="51.294000000000011"/>
    <x v="0"/>
    <x v="1"/>
    <n v="461.64600000000007"/>
    <x v="2"/>
    <n v="1"/>
    <s v="Very Poor"/>
  </r>
  <r>
    <s v="9baa0684-6368-47ed-bbd9-e6526eb6bf47"/>
    <x v="32"/>
    <x v="0"/>
    <x v="74"/>
    <x v="3"/>
    <x v="12"/>
    <s v="2024-06-21"/>
    <x v="0"/>
    <x v="11"/>
    <x v="0"/>
    <n v="270.41000000000003"/>
    <s v="5% off"/>
    <n v="13.520500000000002"/>
    <x v="0"/>
    <x v="0"/>
    <n v="256.8895"/>
    <x v="2"/>
    <n v="3"/>
    <s v="Average"/>
  </r>
  <r>
    <s v="bf40e37f-fa30-411b-af8e-7b323ed28fce"/>
    <x v="22"/>
    <x v="0"/>
    <x v="75"/>
    <x v="5"/>
    <x v="9"/>
    <s v="2024-08-06"/>
    <x v="1"/>
    <x v="3"/>
    <x v="0"/>
    <n v="452.97"/>
    <s v="5% off"/>
    <n v="22.648500000000002"/>
    <x v="0"/>
    <x v="1"/>
    <n v="430.32150000000001"/>
    <x v="2"/>
    <n v="1"/>
    <s v="Very Poor"/>
  </r>
  <r>
    <s v="75a3bf64-3082-4d45-88ed-c75b14a6727a"/>
    <x v="12"/>
    <x v="1"/>
    <x v="76"/>
    <x v="6"/>
    <x v="13"/>
    <s v="2024-05-16"/>
    <x v="3"/>
    <x v="4"/>
    <x v="0"/>
    <n v="418.55"/>
    <s v="5% off"/>
    <n v="20.927500000000002"/>
    <x v="0"/>
    <x v="0"/>
    <n v="397.6225"/>
    <x v="2"/>
    <n v="3"/>
    <s v="Average"/>
  </r>
  <r>
    <s v="2ac160c9-39fd-49d1-b51f-0a529c5c2431"/>
    <x v="43"/>
    <x v="0"/>
    <x v="77"/>
    <x v="2"/>
    <x v="18"/>
    <s v="2024-10-26"/>
    <x v="2"/>
    <x v="5"/>
    <x v="0"/>
    <n v="492.1"/>
    <s v="5% off"/>
    <n v="24.605000000000004"/>
    <x v="0"/>
    <x v="1"/>
    <n v="467.495"/>
    <x v="0"/>
    <n v="1"/>
    <s v="Very Poor"/>
  </r>
  <r>
    <s v="eb3ac27f-0b72-4846-948d-47c7950940c5"/>
    <x v="25"/>
    <x v="1"/>
    <x v="78"/>
    <x v="1"/>
    <x v="23"/>
    <s v="2024-05-08"/>
    <x v="4"/>
    <x v="4"/>
    <x v="0"/>
    <n v="362.55"/>
    <s v="5% off"/>
    <n v="18.127500000000001"/>
    <x v="0"/>
    <x v="1"/>
    <n v="344.42250000000001"/>
    <x v="0"/>
    <n v="5"/>
    <s v="Excellent"/>
  </r>
  <r>
    <s v="b512db50-72fc-4f42-badd-80dbbf0d6121"/>
    <x v="2"/>
    <x v="0"/>
    <x v="79"/>
    <x v="2"/>
    <x v="2"/>
    <s v="2024-04-11"/>
    <x v="3"/>
    <x v="0"/>
    <x v="0"/>
    <n v="493.96"/>
    <s v="5% off"/>
    <n v="24.698"/>
    <x v="0"/>
    <x v="0"/>
    <n v="469.262"/>
    <x v="2"/>
    <n v="5"/>
    <s v="Excellent"/>
  </r>
  <r>
    <s v="d33ded92-ff70-44b5-ad90-e27036b1b864"/>
    <x v="38"/>
    <x v="0"/>
    <x v="80"/>
    <x v="5"/>
    <x v="9"/>
    <s v="2024-12-27"/>
    <x v="0"/>
    <x v="7"/>
    <x v="0"/>
    <n v="452.97"/>
    <s v="5% off"/>
    <n v="22.648500000000002"/>
    <x v="0"/>
    <x v="1"/>
    <n v="430.32150000000001"/>
    <x v="3"/>
    <n v="4"/>
    <s v="Good"/>
  </r>
  <r>
    <s v="0e115b1d-83e3-48e6-a962-03a68bd92315"/>
    <x v="26"/>
    <x v="1"/>
    <x v="81"/>
    <x v="6"/>
    <x v="10"/>
    <s v="2024-11-09"/>
    <x v="2"/>
    <x v="1"/>
    <x v="0"/>
    <n v="782.29"/>
    <s v="15% off"/>
    <n v="117.34349999999999"/>
    <x v="0"/>
    <x v="0"/>
    <n v="664.94650000000001"/>
    <x v="1"/>
    <n v="3"/>
    <s v="Average"/>
  </r>
  <r>
    <s v="ac0f2c2b-0602-4824-a663-7b0ebb7182eb"/>
    <x v="0"/>
    <x v="1"/>
    <x v="82"/>
    <x v="4"/>
    <x v="4"/>
    <s v="2024-04-27"/>
    <x v="2"/>
    <x v="0"/>
    <x v="0"/>
    <n v="512.94000000000005"/>
    <s v="10% off"/>
    <n v="51.294000000000011"/>
    <x v="0"/>
    <x v="1"/>
    <n v="461.64600000000007"/>
    <x v="3"/>
    <n v="1"/>
    <s v="Very Poor"/>
  </r>
  <r>
    <s v="cdeb60b7-07cc-4aa1-a4ed-f83c77c7043b"/>
    <x v="1"/>
    <x v="1"/>
    <x v="83"/>
    <x v="1"/>
    <x v="25"/>
    <s v="2024-09-02"/>
    <x v="6"/>
    <x v="10"/>
    <x v="0"/>
    <n v="527.16999999999996"/>
    <s v="10% off"/>
    <n v="52.716999999999999"/>
    <x v="0"/>
    <x v="1"/>
    <n v="474.45299999999997"/>
    <x v="3"/>
    <n v="1"/>
    <s v="Very Poor"/>
  </r>
  <r>
    <s v="fad1584d-7b7c-4cf2-9f18-653b1f352fc3"/>
    <x v="8"/>
    <x v="1"/>
    <x v="84"/>
    <x v="2"/>
    <x v="18"/>
    <s v="2024-04-26"/>
    <x v="0"/>
    <x v="0"/>
    <x v="0"/>
    <n v="492.1"/>
    <s v="5% off"/>
    <n v="24.605000000000004"/>
    <x v="0"/>
    <x v="0"/>
    <n v="467.495"/>
    <x v="0"/>
    <n v="1"/>
    <s v="Very Poor"/>
  </r>
  <r>
    <s v="ffef813b-70a5-40b3-a7c9-5b8701eca3b3"/>
    <x v="9"/>
    <x v="0"/>
    <x v="85"/>
    <x v="2"/>
    <x v="2"/>
    <s v="2024-06-18"/>
    <x v="1"/>
    <x v="11"/>
    <x v="0"/>
    <n v="493.96"/>
    <s v="5% off"/>
    <n v="24.698"/>
    <x v="0"/>
    <x v="0"/>
    <n v="469.262"/>
    <x v="0"/>
    <n v="4"/>
    <s v="Good"/>
  </r>
  <r>
    <s v="6630d02f-77e8-415e-84bb-08bb3252e74d"/>
    <x v="51"/>
    <x v="1"/>
    <x v="86"/>
    <x v="1"/>
    <x v="1"/>
    <s v="2024-05-11"/>
    <x v="2"/>
    <x v="4"/>
    <x v="0"/>
    <n v="67.040000000000006"/>
    <s v="0% off"/>
    <n v="0"/>
    <x v="1"/>
    <x v="0"/>
    <n v="67.040000000000006"/>
    <x v="0"/>
    <n v="5"/>
    <s v="Excellent"/>
  </r>
  <r>
    <s v="e4f8275c-8a6f-4cf1-83b9-9fbdf74f2195"/>
    <x v="16"/>
    <x v="0"/>
    <x v="87"/>
    <x v="0"/>
    <x v="7"/>
    <s v="2024-12-15"/>
    <x v="5"/>
    <x v="7"/>
    <x v="0"/>
    <n v="78.349999999999994"/>
    <s v="0% off"/>
    <n v="0"/>
    <x v="1"/>
    <x v="1"/>
    <n v="78.349999999999994"/>
    <x v="2"/>
    <n v="4"/>
    <s v="Good"/>
  </r>
  <r>
    <s v="7e78b713-4749-4edd-8df4-116dfeb1cff2"/>
    <x v="37"/>
    <x v="1"/>
    <x v="88"/>
    <x v="1"/>
    <x v="23"/>
    <s v="2024-07-19"/>
    <x v="0"/>
    <x v="2"/>
    <x v="0"/>
    <n v="362.55"/>
    <s v="5% off"/>
    <n v="18.127500000000001"/>
    <x v="0"/>
    <x v="1"/>
    <n v="344.42250000000001"/>
    <x v="0"/>
    <n v="2"/>
    <s v="Poor"/>
  </r>
  <r>
    <s v="d752d358-b02e-4715-8f2d-7c9a3399c280"/>
    <x v="42"/>
    <x v="0"/>
    <x v="89"/>
    <x v="4"/>
    <x v="20"/>
    <s v="2024-09-18"/>
    <x v="4"/>
    <x v="10"/>
    <x v="0"/>
    <n v="260.77999999999997"/>
    <s v="5% off"/>
    <n v="13.039"/>
    <x v="0"/>
    <x v="0"/>
    <n v="247.74099999999999"/>
    <x v="1"/>
    <n v="2"/>
    <s v="Poor"/>
  </r>
  <r>
    <s v="74c3abe7-95e3-4449-a96b-2f233b04624b"/>
    <x v="45"/>
    <x v="0"/>
    <x v="90"/>
    <x v="5"/>
    <x v="16"/>
    <s v="2024-10-18"/>
    <x v="0"/>
    <x v="5"/>
    <x v="0"/>
    <n v="592.26"/>
    <s v="10% off"/>
    <n v="59.225999999999999"/>
    <x v="0"/>
    <x v="1"/>
    <n v="533.03399999999999"/>
    <x v="2"/>
    <n v="5"/>
    <s v="Excellent"/>
  </r>
  <r>
    <s v="9931982c-0b0e-4fb4-aba4-cff97aa26e30"/>
    <x v="27"/>
    <x v="0"/>
    <x v="91"/>
    <x v="3"/>
    <x v="19"/>
    <s v="2024-07-30"/>
    <x v="1"/>
    <x v="2"/>
    <x v="0"/>
    <n v="165.68"/>
    <s v="5% off"/>
    <n v="8.2840000000000007"/>
    <x v="0"/>
    <x v="0"/>
    <n v="157.39600000000002"/>
    <x v="0"/>
    <n v="5"/>
    <s v="Excellent"/>
  </r>
  <r>
    <s v="1365f8c6-86ea-48d4-8919-d78a083e4dea"/>
    <x v="44"/>
    <x v="0"/>
    <x v="92"/>
    <x v="0"/>
    <x v="22"/>
    <s v="2024-04-24"/>
    <x v="4"/>
    <x v="0"/>
    <x v="0"/>
    <n v="485.26"/>
    <s v="5% off"/>
    <n v="24.263000000000002"/>
    <x v="0"/>
    <x v="0"/>
    <n v="460.99700000000001"/>
    <x v="3"/>
    <n v="4"/>
    <s v="Good"/>
  </r>
  <r>
    <s v="27f2363c-1f3b-43c5-9283-8bbc78236f28"/>
    <x v="11"/>
    <x v="1"/>
    <x v="93"/>
    <x v="5"/>
    <x v="8"/>
    <s v="2025-01-05"/>
    <x v="5"/>
    <x v="9"/>
    <x v="1"/>
    <n v="374.92"/>
    <s v="5% off"/>
    <n v="18.746000000000002"/>
    <x v="0"/>
    <x v="1"/>
    <n v="356.17400000000004"/>
    <x v="1"/>
    <n v="1"/>
    <s v="Very Poor"/>
  </r>
  <r>
    <s v="ba72c9f2-d63c-4337-a6c8-0e9d9057201b"/>
    <x v="1"/>
    <x v="1"/>
    <x v="56"/>
    <x v="4"/>
    <x v="20"/>
    <s v="2024-08-05"/>
    <x v="6"/>
    <x v="3"/>
    <x v="0"/>
    <n v="260.77999999999997"/>
    <s v="5% off"/>
    <n v="13.039"/>
    <x v="0"/>
    <x v="0"/>
    <n v="247.74099999999999"/>
    <x v="2"/>
    <n v="2"/>
    <s v="Poor"/>
  </r>
  <r>
    <s v="0a2e0258-3d7d-4500-9945-420899a8dbe6"/>
    <x v="4"/>
    <x v="0"/>
    <x v="94"/>
    <x v="2"/>
    <x v="24"/>
    <s v="2025-01-22"/>
    <x v="4"/>
    <x v="9"/>
    <x v="1"/>
    <n v="52.44"/>
    <s v="0% off"/>
    <n v="0"/>
    <x v="1"/>
    <x v="0"/>
    <n v="52.44"/>
    <x v="1"/>
    <n v="1"/>
    <s v="Very Poor"/>
  </r>
  <r>
    <s v="ed0eb25f-9c96-4f94-ab45-95de1b42ee66"/>
    <x v="14"/>
    <x v="0"/>
    <x v="89"/>
    <x v="0"/>
    <x v="7"/>
    <s v="2024-06-29"/>
    <x v="2"/>
    <x v="11"/>
    <x v="0"/>
    <n v="78.349999999999994"/>
    <s v="0% off"/>
    <n v="0"/>
    <x v="1"/>
    <x v="0"/>
    <n v="78.349999999999994"/>
    <x v="2"/>
    <n v="1"/>
    <s v="Very Poor"/>
  </r>
  <r>
    <s v="91a87654-0866-4615-8e4d-1e022bff10ab"/>
    <x v="32"/>
    <x v="1"/>
    <x v="95"/>
    <x v="2"/>
    <x v="27"/>
    <s v="2024-04-09"/>
    <x v="1"/>
    <x v="0"/>
    <x v="0"/>
    <n v="340.04"/>
    <s v="5% off"/>
    <n v="17.002000000000002"/>
    <x v="0"/>
    <x v="1"/>
    <n v="323.03800000000001"/>
    <x v="2"/>
    <n v="1"/>
    <s v="Very Poor"/>
  </r>
  <r>
    <s v="703ce2ef-0048-41f2-b72b-4a3abbdd771e"/>
    <x v="33"/>
    <x v="0"/>
    <x v="96"/>
    <x v="3"/>
    <x v="12"/>
    <s v="2024-07-09"/>
    <x v="1"/>
    <x v="2"/>
    <x v="0"/>
    <n v="270.41000000000003"/>
    <s v="5% off"/>
    <n v="13.520500000000002"/>
    <x v="0"/>
    <x v="1"/>
    <n v="256.8895"/>
    <x v="1"/>
    <n v="4"/>
    <s v="Good"/>
  </r>
  <r>
    <s v="d3920e92-7ee4-48d9-8e3d-0f6ee89819e9"/>
    <x v="35"/>
    <x v="0"/>
    <x v="58"/>
    <x v="0"/>
    <x v="11"/>
    <s v="2024-11-29"/>
    <x v="0"/>
    <x v="1"/>
    <x v="0"/>
    <n v="116.78"/>
    <s v="0% off"/>
    <n v="0"/>
    <x v="1"/>
    <x v="1"/>
    <n v="116.78"/>
    <x v="3"/>
    <n v="3"/>
    <s v="Average"/>
  </r>
  <r>
    <s v="d9d16584-4d5f-449d-b585-d8b318687b97"/>
    <x v="48"/>
    <x v="0"/>
    <x v="90"/>
    <x v="6"/>
    <x v="10"/>
    <s v="2024-10-14"/>
    <x v="6"/>
    <x v="5"/>
    <x v="0"/>
    <n v="782.29"/>
    <s v="15% off"/>
    <n v="117.34349999999999"/>
    <x v="0"/>
    <x v="1"/>
    <n v="664.94650000000001"/>
    <x v="2"/>
    <n v="2"/>
    <s v="Poor"/>
  </r>
  <r>
    <s v="9eade883-6f94-4be9-8bf8-52ef5a43d2e9"/>
    <x v="8"/>
    <x v="1"/>
    <x v="91"/>
    <x v="5"/>
    <x v="6"/>
    <s v="2024-04-27"/>
    <x v="2"/>
    <x v="0"/>
    <x v="0"/>
    <n v="76.81"/>
    <s v="0% off"/>
    <n v="0"/>
    <x v="1"/>
    <x v="1"/>
    <n v="76.81"/>
    <x v="2"/>
    <n v="1"/>
    <s v="Very Poor"/>
  </r>
  <r>
    <s v="6e5c8320-4921-4300-a44e-0e26977fd5f7"/>
    <x v="12"/>
    <x v="1"/>
    <x v="97"/>
    <x v="5"/>
    <x v="6"/>
    <s v="2025-02-18"/>
    <x v="1"/>
    <x v="8"/>
    <x v="1"/>
    <n v="76.81"/>
    <s v="0% off"/>
    <n v="0"/>
    <x v="1"/>
    <x v="0"/>
    <n v="76.81"/>
    <x v="3"/>
    <n v="4"/>
    <s v="Good"/>
  </r>
  <r>
    <s v="55854310-5708-4cda-96e8-2e91d8025ec0"/>
    <x v="5"/>
    <x v="0"/>
    <x v="98"/>
    <x v="6"/>
    <x v="13"/>
    <s v="2024-05-26"/>
    <x v="5"/>
    <x v="4"/>
    <x v="0"/>
    <n v="418.55"/>
    <s v="5% off"/>
    <n v="20.927500000000002"/>
    <x v="0"/>
    <x v="0"/>
    <n v="397.6225"/>
    <x v="0"/>
    <n v="5"/>
    <s v="Excellent"/>
  </r>
  <r>
    <s v="652ec2dd-86d3-4c98-83af-c6c07e3a501f"/>
    <x v="38"/>
    <x v="1"/>
    <x v="99"/>
    <x v="3"/>
    <x v="12"/>
    <s v="2025-03-12"/>
    <x v="4"/>
    <x v="6"/>
    <x v="1"/>
    <n v="270.41000000000003"/>
    <s v="5% off"/>
    <n v="13.520500000000002"/>
    <x v="0"/>
    <x v="1"/>
    <n v="256.8895"/>
    <x v="0"/>
    <n v="5"/>
    <s v="Excellent"/>
  </r>
  <r>
    <s v="e843ef27-bfef-4430-b7d3-ea9a2d77aaea"/>
    <x v="49"/>
    <x v="0"/>
    <x v="100"/>
    <x v="6"/>
    <x v="14"/>
    <s v="2025-02-13"/>
    <x v="3"/>
    <x v="8"/>
    <x v="1"/>
    <n v="965.09"/>
    <s v="20% off"/>
    <n v="193.01800000000003"/>
    <x v="0"/>
    <x v="1"/>
    <n v="772.072"/>
    <x v="3"/>
    <n v="5"/>
    <s v="Excellent"/>
  </r>
  <r>
    <s v="714edeea-0e2e-43bc-ab22-819d8b59e07d"/>
    <x v="16"/>
    <x v="1"/>
    <x v="101"/>
    <x v="0"/>
    <x v="11"/>
    <s v="2025-03-11"/>
    <x v="1"/>
    <x v="6"/>
    <x v="1"/>
    <n v="116.78"/>
    <s v="0% off"/>
    <n v="0"/>
    <x v="1"/>
    <x v="0"/>
    <n v="116.78"/>
    <x v="3"/>
    <n v="2"/>
    <s v="Poor"/>
  </r>
  <r>
    <s v="b923648e-66a1-4656-a9b1-cf065fbb9b4d"/>
    <x v="13"/>
    <x v="1"/>
    <x v="102"/>
    <x v="1"/>
    <x v="25"/>
    <s v="2024-07-21"/>
    <x v="5"/>
    <x v="2"/>
    <x v="0"/>
    <n v="527.16999999999996"/>
    <s v="10% off"/>
    <n v="52.716999999999999"/>
    <x v="0"/>
    <x v="0"/>
    <n v="474.45299999999997"/>
    <x v="3"/>
    <n v="1"/>
    <s v="Very Poor"/>
  </r>
  <r>
    <s v="ec6fedf1-8ac5-4494-8d7c-03e446c645a2"/>
    <x v="27"/>
    <x v="0"/>
    <x v="103"/>
    <x v="6"/>
    <x v="13"/>
    <s v="2024-07-10"/>
    <x v="4"/>
    <x v="2"/>
    <x v="0"/>
    <n v="418.55"/>
    <s v="5% off"/>
    <n v="20.927500000000002"/>
    <x v="0"/>
    <x v="1"/>
    <n v="397.6225"/>
    <x v="0"/>
    <n v="3"/>
    <s v="Average"/>
  </r>
  <r>
    <s v="7e0a120c-75a7-4194-b1ee-850f25bc8b69"/>
    <x v="28"/>
    <x v="0"/>
    <x v="104"/>
    <x v="1"/>
    <x v="23"/>
    <s v="2024-08-09"/>
    <x v="0"/>
    <x v="3"/>
    <x v="0"/>
    <n v="362.55"/>
    <s v="5% off"/>
    <n v="18.127500000000001"/>
    <x v="0"/>
    <x v="1"/>
    <n v="344.42250000000001"/>
    <x v="2"/>
    <n v="4"/>
    <s v="Good"/>
  </r>
  <r>
    <s v="5387881e-e018-4c4d-85f0-804321d3d66b"/>
    <x v="5"/>
    <x v="0"/>
    <x v="105"/>
    <x v="3"/>
    <x v="3"/>
    <s v="2025-02-15"/>
    <x v="2"/>
    <x v="8"/>
    <x v="1"/>
    <n v="211.46"/>
    <s v="5% off"/>
    <n v="10.573"/>
    <x v="0"/>
    <x v="1"/>
    <n v="200.887"/>
    <x v="2"/>
    <n v="5"/>
    <s v="Excellent"/>
  </r>
  <r>
    <s v="53d62278-a115-4339-8f88-42b43efbaf76"/>
    <x v="32"/>
    <x v="0"/>
    <x v="106"/>
    <x v="2"/>
    <x v="2"/>
    <s v="2024-06-21"/>
    <x v="0"/>
    <x v="11"/>
    <x v="0"/>
    <n v="493.96"/>
    <s v="5% off"/>
    <n v="24.698"/>
    <x v="0"/>
    <x v="0"/>
    <n v="469.262"/>
    <x v="2"/>
    <n v="3"/>
    <s v="Average"/>
  </r>
  <r>
    <s v="1cdedaf1-9e63-4d70-b055-8a9514cb4827"/>
    <x v="33"/>
    <x v="1"/>
    <x v="89"/>
    <x v="0"/>
    <x v="7"/>
    <s v="2024-10-25"/>
    <x v="0"/>
    <x v="5"/>
    <x v="0"/>
    <n v="78.349999999999994"/>
    <s v="0% off"/>
    <n v="0"/>
    <x v="1"/>
    <x v="1"/>
    <n v="78.349999999999994"/>
    <x v="3"/>
    <n v="1"/>
    <s v="Very Poor"/>
  </r>
  <r>
    <s v="15162ca8-a611-4acb-9413-4135f631d89d"/>
    <x v="17"/>
    <x v="0"/>
    <x v="107"/>
    <x v="1"/>
    <x v="25"/>
    <s v="2024-09-14"/>
    <x v="2"/>
    <x v="10"/>
    <x v="0"/>
    <n v="527.16999999999996"/>
    <s v="10% off"/>
    <n v="52.716999999999999"/>
    <x v="0"/>
    <x v="1"/>
    <n v="474.45299999999997"/>
    <x v="3"/>
    <n v="3"/>
    <s v="Average"/>
  </r>
  <r>
    <s v="78cf43cc-5768-4bd2-82c2-6e5a2cd0134f"/>
    <x v="40"/>
    <x v="0"/>
    <x v="108"/>
    <x v="4"/>
    <x v="20"/>
    <s v="2024-05-14"/>
    <x v="1"/>
    <x v="4"/>
    <x v="0"/>
    <n v="260.77999999999997"/>
    <s v="5% off"/>
    <n v="13.039"/>
    <x v="0"/>
    <x v="0"/>
    <n v="247.74099999999999"/>
    <x v="3"/>
    <n v="3"/>
    <s v="Average"/>
  </r>
  <r>
    <s v="b9928afb-07af-4ce7-b87e-7faff6abd9d2"/>
    <x v="12"/>
    <x v="0"/>
    <x v="109"/>
    <x v="6"/>
    <x v="21"/>
    <s v="2024-12-30"/>
    <x v="6"/>
    <x v="7"/>
    <x v="0"/>
    <n v="461.81"/>
    <s v="5% off"/>
    <n v="23.090500000000002"/>
    <x v="0"/>
    <x v="0"/>
    <n v="438.71949999999998"/>
    <x v="0"/>
    <n v="2"/>
    <s v="Poor"/>
  </r>
  <r>
    <s v="d053cf18-a1de-4919-b83c-3091d32bf56f"/>
    <x v="36"/>
    <x v="1"/>
    <x v="110"/>
    <x v="3"/>
    <x v="15"/>
    <s v="2024-06-12"/>
    <x v="4"/>
    <x v="11"/>
    <x v="0"/>
    <n v="855.21"/>
    <s v="15% off"/>
    <n v="128.28149999999999"/>
    <x v="0"/>
    <x v="0"/>
    <n v="726.92849999999999"/>
    <x v="2"/>
    <n v="3"/>
    <s v="Average"/>
  </r>
  <r>
    <s v="db567f99-a0c1-452a-9c12-0995a6d88a95"/>
    <x v="38"/>
    <x v="1"/>
    <x v="111"/>
    <x v="6"/>
    <x v="10"/>
    <s v="2025-02-14"/>
    <x v="0"/>
    <x v="8"/>
    <x v="1"/>
    <n v="782.29"/>
    <s v="15% off"/>
    <n v="117.34349999999999"/>
    <x v="0"/>
    <x v="1"/>
    <n v="664.94650000000001"/>
    <x v="2"/>
    <n v="3"/>
    <s v="Average"/>
  </r>
  <r>
    <s v="a90ab12c-2993-43b9-b60c-b591e39d4651"/>
    <x v="50"/>
    <x v="0"/>
    <x v="59"/>
    <x v="2"/>
    <x v="24"/>
    <s v="2024-12-10"/>
    <x v="1"/>
    <x v="7"/>
    <x v="0"/>
    <n v="52.44"/>
    <s v="0% off"/>
    <n v="0"/>
    <x v="1"/>
    <x v="1"/>
    <n v="52.44"/>
    <x v="2"/>
    <n v="3"/>
    <s v="Average"/>
  </r>
  <r>
    <s v="b4f378e9-1b51-4369-b963-f0e7a06e0cb9"/>
    <x v="48"/>
    <x v="1"/>
    <x v="112"/>
    <x v="1"/>
    <x v="23"/>
    <s v="2025-02-25"/>
    <x v="1"/>
    <x v="8"/>
    <x v="1"/>
    <n v="362.55"/>
    <s v="5% off"/>
    <n v="18.127500000000001"/>
    <x v="0"/>
    <x v="1"/>
    <n v="344.42250000000001"/>
    <x v="1"/>
    <n v="1"/>
    <s v="Very Poor"/>
  </r>
  <r>
    <s v="6d95c6f4-c05b-44a7-b1bc-85277d5c9712"/>
    <x v="43"/>
    <x v="1"/>
    <x v="113"/>
    <x v="2"/>
    <x v="2"/>
    <s v="2025-01-04"/>
    <x v="2"/>
    <x v="9"/>
    <x v="1"/>
    <n v="493.96"/>
    <s v="5% off"/>
    <n v="24.698"/>
    <x v="0"/>
    <x v="1"/>
    <n v="469.262"/>
    <x v="1"/>
    <n v="1"/>
    <s v="Very Poor"/>
  </r>
  <r>
    <s v="1612b080-f2e9-4c97-8cbd-27d6fad3b6fd"/>
    <x v="2"/>
    <x v="0"/>
    <x v="114"/>
    <x v="6"/>
    <x v="13"/>
    <s v="2024-07-20"/>
    <x v="2"/>
    <x v="2"/>
    <x v="0"/>
    <n v="418.55"/>
    <s v="5% off"/>
    <n v="20.927500000000002"/>
    <x v="0"/>
    <x v="1"/>
    <n v="397.6225"/>
    <x v="0"/>
    <n v="5"/>
    <s v="Excellent"/>
  </r>
  <r>
    <s v="0e9f3d41-14a3-444a-8181-896907c9aafa"/>
    <x v="28"/>
    <x v="1"/>
    <x v="115"/>
    <x v="5"/>
    <x v="9"/>
    <s v="2024-05-09"/>
    <x v="3"/>
    <x v="4"/>
    <x v="0"/>
    <n v="452.97"/>
    <s v="5% off"/>
    <n v="22.648500000000002"/>
    <x v="0"/>
    <x v="1"/>
    <n v="430.32150000000001"/>
    <x v="2"/>
    <n v="5"/>
    <s v="Excellent"/>
  </r>
  <r>
    <s v="fdfcaf79-85cb-49a1-a3f5-f69b0f10925e"/>
    <x v="14"/>
    <x v="1"/>
    <x v="116"/>
    <x v="0"/>
    <x v="0"/>
    <s v="2024-07-20"/>
    <x v="2"/>
    <x v="2"/>
    <x v="0"/>
    <n v="697.86"/>
    <s v="10% off"/>
    <n v="69.786000000000001"/>
    <x v="0"/>
    <x v="1"/>
    <n v="628.07400000000007"/>
    <x v="0"/>
    <n v="1"/>
    <s v="Very Poor"/>
  </r>
  <r>
    <s v="468c2176-c7b6-4ba8-82dc-6c4319113a9a"/>
    <x v="34"/>
    <x v="1"/>
    <x v="117"/>
    <x v="1"/>
    <x v="26"/>
    <s v="2024-12-14"/>
    <x v="2"/>
    <x v="7"/>
    <x v="0"/>
    <n v="775.75"/>
    <s v="15% off"/>
    <n v="116.3625"/>
    <x v="0"/>
    <x v="1"/>
    <n v="659.38750000000005"/>
    <x v="3"/>
    <n v="2"/>
    <s v="Poor"/>
  </r>
  <r>
    <s v="d0b22aee-2880-4ca7-a7ac-892f4af283b7"/>
    <x v="20"/>
    <x v="0"/>
    <x v="118"/>
    <x v="1"/>
    <x v="26"/>
    <s v="2024-05-21"/>
    <x v="1"/>
    <x v="4"/>
    <x v="0"/>
    <n v="775.75"/>
    <s v="15% off"/>
    <n v="116.3625"/>
    <x v="0"/>
    <x v="1"/>
    <n v="659.38750000000005"/>
    <x v="2"/>
    <n v="3"/>
    <s v="Average"/>
  </r>
  <r>
    <s v="12002fa1-ab5f-4447-a838-65da792e804f"/>
    <x v="16"/>
    <x v="1"/>
    <x v="119"/>
    <x v="6"/>
    <x v="10"/>
    <s v="2024-06-07"/>
    <x v="0"/>
    <x v="11"/>
    <x v="0"/>
    <n v="782.29"/>
    <s v="15% off"/>
    <n v="117.34349999999999"/>
    <x v="0"/>
    <x v="0"/>
    <n v="664.94650000000001"/>
    <x v="2"/>
    <n v="5"/>
    <s v="Excellent"/>
  </r>
  <r>
    <s v="9c4e8368-d0b3-4992-8790-955048820551"/>
    <x v="34"/>
    <x v="0"/>
    <x v="120"/>
    <x v="3"/>
    <x v="15"/>
    <s v="2024-09-23"/>
    <x v="6"/>
    <x v="10"/>
    <x v="0"/>
    <n v="855.21"/>
    <s v="15% off"/>
    <n v="128.28149999999999"/>
    <x v="0"/>
    <x v="0"/>
    <n v="726.92849999999999"/>
    <x v="2"/>
    <n v="5"/>
    <s v="Excellent"/>
  </r>
  <r>
    <s v="d6945060-245c-427a-a425-db8c8f896e8d"/>
    <x v="23"/>
    <x v="0"/>
    <x v="121"/>
    <x v="6"/>
    <x v="13"/>
    <s v="2025-01-25"/>
    <x v="2"/>
    <x v="9"/>
    <x v="1"/>
    <n v="418.55"/>
    <s v="5% off"/>
    <n v="20.927500000000002"/>
    <x v="0"/>
    <x v="0"/>
    <n v="397.6225"/>
    <x v="0"/>
    <n v="3"/>
    <s v="Average"/>
  </r>
  <r>
    <s v="1a40106a-c455-4837-87d2-7f47ef1ce89f"/>
    <x v="36"/>
    <x v="0"/>
    <x v="122"/>
    <x v="2"/>
    <x v="27"/>
    <s v="2024-10-14"/>
    <x v="6"/>
    <x v="5"/>
    <x v="0"/>
    <n v="340.04"/>
    <s v="5% off"/>
    <n v="17.002000000000002"/>
    <x v="0"/>
    <x v="0"/>
    <n v="323.03800000000001"/>
    <x v="2"/>
    <n v="3"/>
    <s v="Average"/>
  </r>
  <r>
    <s v="ce6a2443-9d5b-400e-bb6c-2be9eca7f44d"/>
    <x v="25"/>
    <x v="0"/>
    <x v="123"/>
    <x v="6"/>
    <x v="13"/>
    <s v="2025-02-27"/>
    <x v="3"/>
    <x v="8"/>
    <x v="1"/>
    <n v="418.55"/>
    <s v="5% off"/>
    <n v="20.927500000000002"/>
    <x v="0"/>
    <x v="0"/>
    <n v="397.6225"/>
    <x v="3"/>
    <n v="3"/>
    <s v="Average"/>
  </r>
  <r>
    <s v="ddd0ee8a-6c6e-4a52-ab85-7c1d08ea4ad4"/>
    <x v="27"/>
    <x v="0"/>
    <x v="124"/>
    <x v="3"/>
    <x v="15"/>
    <s v="2024-12-01"/>
    <x v="5"/>
    <x v="7"/>
    <x v="0"/>
    <n v="855.21"/>
    <s v="15% off"/>
    <n v="128.28149999999999"/>
    <x v="0"/>
    <x v="1"/>
    <n v="726.92849999999999"/>
    <x v="3"/>
    <n v="4"/>
    <s v="Good"/>
  </r>
  <r>
    <s v="9087ecb1-39f2-4c4b-8a8a-ab872e82bd80"/>
    <x v="15"/>
    <x v="0"/>
    <x v="125"/>
    <x v="3"/>
    <x v="19"/>
    <s v="2024-12-11"/>
    <x v="4"/>
    <x v="7"/>
    <x v="0"/>
    <n v="165.68"/>
    <s v="5% off"/>
    <n v="8.2840000000000007"/>
    <x v="0"/>
    <x v="1"/>
    <n v="157.39600000000002"/>
    <x v="0"/>
    <n v="1"/>
    <s v="Very Poor"/>
  </r>
  <r>
    <s v="3f9dc20c-0c59-402d-a301-bfcaeb102d25"/>
    <x v="50"/>
    <x v="1"/>
    <x v="126"/>
    <x v="6"/>
    <x v="14"/>
    <s v="2024-11-13"/>
    <x v="4"/>
    <x v="1"/>
    <x v="0"/>
    <n v="965.09"/>
    <s v="20% off"/>
    <n v="193.01800000000003"/>
    <x v="0"/>
    <x v="0"/>
    <n v="772.072"/>
    <x v="1"/>
    <n v="3"/>
    <s v="Average"/>
  </r>
  <r>
    <s v="33e04cda-11a4-4bd3-9476-273c7e4cd0ad"/>
    <x v="33"/>
    <x v="1"/>
    <x v="127"/>
    <x v="0"/>
    <x v="11"/>
    <s v="2025-01-06"/>
    <x v="6"/>
    <x v="9"/>
    <x v="1"/>
    <n v="116.78"/>
    <s v="0% off"/>
    <n v="0"/>
    <x v="1"/>
    <x v="0"/>
    <n v="116.78"/>
    <x v="1"/>
    <n v="2"/>
    <s v="Poor"/>
  </r>
  <r>
    <s v="6b3573db-f208-4492-91dc-5b6f1f68d3ae"/>
    <x v="37"/>
    <x v="0"/>
    <x v="128"/>
    <x v="5"/>
    <x v="6"/>
    <s v="2024-04-08"/>
    <x v="6"/>
    <x v="0"/>
    <x v="0"/>
    <n v="76.81"/>
    <s v="0% off"/>
    <n v="0"/>
    <x v="1"/>
    <x v="1"/>
    <n v="76.81"/>
    <x v="2"/>
    <n v="1"/>
    <s v="Very Poor"/>
  </r>
  <r>
    <s v="416dd31e-97fa-4b9b-b279-e961ecc10a20"/>
    <x v="2"/>
    <x v="1"/>
    <x v="129"/>
    <x v="2"/>
    <x v="27"/>
    <s v="2024-09-27"/>
    <x v="0"/>
    <x v="10"/>
    <x v="0"/>
    <n v="340.04"/>
    <s v="5% off"/>
    <n v="17.002000000000002"/>
    <x v="0"/>
    <x v="0"/>
    <n v="323.03800000000001"/>
    <x v="0"/>
    <n v="1"/>
    <s v="Very Poor"/>
  </r>
  <r>
    <s v="745c7b9a-03f4-441e-beb3-76eb9e2f80dc"/>
    <x v="47"/>
    <x v="1"/>
    <x v="130"/>
    <x v="2"/>
    <x v="24"/>
    <s v="2024-05-12"/>
    <x v="5"/>
    <x v="4"/>
    <x v="0"/>
    <n v="52.44"/>
    <s v="0% off"/>
    <n v="0"/>
    <x v="1"/>
    <x v="0"/>
    <n v="52.44"/>
    <x v="3"/>
    <n v="2"/>
    <s v="Poor"/>
  </r>
  <r>
    <s v="722ea1bf-6ac3-4ad4-b48d-d9bb9c35da67"/>
    <x v="38"/>
    <x v="0"/>
    <x v="131"/>
    <x v="3"/>
    <x v="12"/>
    <s v="2025-02-19"/>
    <x v="4"/>
    <x v="8"/>
    <x v="1"/>
    <n v="270.41000000000003"/>
    <s v="5% off"/>
    <n v="13.520500000000002"/>
    <x v="0"/>
    <x v="0"/>
    <n v="256.8895"/>
    <x v="0"/>
    <n v="1"/>
    <s v="Very Poor"/>
  </r>
  <r>
    <s v="cd0bc6a5-6388-44b8-9364-b1eee0b33d1d"/>
    <x v="11"/>
    <x v="0"/>
    <x v="132"/>
    <x v="5"/>
    <x v="16"/>
    <s v="2024-10-12"/>
    <x v="2"/>
    <x v="5"/>
    <x v="0"/>
    <n v="592.26"/>
    <s v="10% off"/>
    <n v="59.225999999999999"/>
    <x v="0"/>
    <x v="0"/>
    <n v="533.03399999999999"/>
    <x v="0"/>
    <n v="2"/>
    <s v="Poor"/>
  </r>
  <r>
    <s v="130f86c5-6f44-4567-b600-258ca3179405"/>
    <x v="39"/>
    <x v="0"/>
    <x v="72"/>
    <x v="0"/>
    <x v="22"/>
    <s v="2024-11-17"/>
    <x v="5"/>
    <x v="1"/>
    <x v="0"/>
    <n v="485.26"/>
    <s v="5% off"/>
    <n v="24.263000000000002"/>
    <x v="0"/>
    <x v="1"/>
    <n v="460.99700000000001"/>
    <x v="0"/>
    <n v="4"/>
    <s v="Good"/>
  </r>
  <r>
    <s v="8cc93bbe-2fd4-47d6-8122-53fa0fa24c14"/>
    <x v="11"/>
    <x v="0"/>
    <x v="75"/>
    <x v="3"/>
    <x v="3"/>
    <s v="2024-06-28"/>
    <x v="0"/>
    <x v="11"/>
    <x v="0"/>
    <n v="211.46"/>
    <s v="5% off"/>
    <n v="10.573"/>
    <x v="0"/>
    <x v="1"/>
    <n v="200.887"/>
    <x v="1"/>
    <n v="3"/>
    <s v="Average"/>
  </r>
  <r>
    <s v="ad819980-d82a-45e9-a025-42604724687a"/>
    <x v="20"/>
    <x v="0"/>
    <x v="76"/>
    <x v="6"/>
    <x v="13"/>
    <s v="2024-07-12"/>
    <x v="0"/>
    <x v="2"/>
    <x v="0"/>
    <n v="418.55"/>
    <s v="5% off"/>
    <n v="20.927500000000002"/>
    <x v="0"/>
    <x v="1"/>
    <n v="397.6225"/>
    <x v="3"/>
    <n v="4"/>
    <s v="Good"/>
  </r>
  <r>
    <s v="18628771-4e39-41de-af03-21745abe3914"/>
    <x v="29"/>
    <x v="1"/>
    <x v="133"/>
    <x v="1"/>
    <x v="26"/>
    <s v="2024-12-13"/>
    <x v="0"/>
    <x v="7"/>
    <x v="0"/>
    <n v="775.75"/>
    <s v="15% off"/>
    <n v="116.3625"/>
    <x v="0"/>
    <x v="1"/>
    <n v="659.38750000000005"/>
    <x v="1"/>
    <n v="2"/>
    <s v="Poor"/>
  </r>
  <r>
    <s v="ed1569c2-676d-4e79-925c-173cfa68993a"/>
    <x v="36"/>
    <x v="1"/>
    <x v="134"/>
    <x v="6"/>
    <x v="21"/>
    <s v="2024-07-27"/>
    <x v="2"/>
    <x v="2"/>
    <x v="0"/>
    <n v="461.81"/>
    <s v="5% off"/>
    <n v="23.090500000000002"/>
    <x v="0"/>
    <x v="1"/>
    <n v="438.71949999999998"/>
    <x v="3"/>
    <n v="2"/>
    <s v="Poor"/>
  </r>
  <r>
    <s v="a9748daf-1db7-4796-9821-605f542d0a83"/>
    <x v="37"/>
    <x v="1"/>
    <x v="135"/>
    <x v="2"/>
    <x v="18"/>
    <s v="2024-06-25"/>
    <x v="1"/>
    <x v="11"/>
    <x v="0"/>
    <n v="492.1"/>
    <s v="5% off"/>
    <n v="24.605000000000004"/>
    <x v="0"/>
    <x v="0"/>
    <n v="467.495"/>
    <x v="3"/>
    <n v="2"/>
    <s v="Poor"/>
  </r>
  <r>
    <s v="cbb8acbf-8f4a-470b-814f-58d6532f0bd3"/>
    <x v="49"/>
    <x v="0"/>
    <x v="136"/>
    <x v="1"/>
    <x v="26"/>
    <s v="2024-12-31"/>
    <x v="1"/>
    <x v="7"/>
    <x v="0"/>
    <n v="775.75"/>
    <s v="15% off"/>
    <n v="116.3625"/>
    <x v="0"/>
    <x v="0"/>
    <n v="659.38750000000005"/>
    <x v="0"/>
    <n v="4"/>
    <s v="Good"/>
  </r>
  <r>
    <s v="78cf0ddd-864a-465d-9aa2-71bd2c1b7539"/>
    <x v="32"/>
    <x v="0"/>
    <x v="137"/>
    <x v="2"/>
    <x v="2"/>
    <s v="2024-10-13"/>
    <x v="5"/>
    <x v="5"/>
    <x v="0"/>
    <n v="493.96"/>
    <s v="5% off"/>
    <n v="24.698"/>
    <x v="0"/>
    <x v="0"/>
    <n v="469.262"/>
    <x v="0"/>
    <n v="4"/>
    <s v="Good"/>
  </r>
  <r>
    <s v="ddc7d800-6023-4263-8cb5-c09024b17a7e"/>
    <x v="32"/>
    <x v="1"/>
    <x v="0"/>
    <x v="0"/>
    <x v="22"/>
    <s v="2024-12-25"/>
    <x v="4"/>
    <x v="7"/>
    <x v="0"/>
    <n v="485.26"/>
    <s v="5% off"/>
    <n v="24.263000000000002"/>
    <x v="0"/>
    <x v="1"/>
    <n v="460.99700000000001"/>
    <x v="2"/>
    <n v="1"/>
    <s v="Very Poor"/>
  </r>
  <r>
    <s v="9f194e6d-1436-47b8-b2a6-a818edfcdc40"/>
    <x v="37"/>
    <x v="0"/>
    <x v="1"/>
    <x v="4"/>
    <x v="4"/>
    <s v="2024-04-09"/>
    <x v="1"/>
    <x v="0"/>
    <x v="0"/>
    <n v="512.94000000000005"/>
    <s v="10% off"/>
    <n v="51.294000000000011"/>
    <x v="0"/>
    <x v="1"/>
    <n v="461.64600000000007"/>
    <x v="3"/>
    <n v="3"/>
    <s v="Average"/>
  </r>
  <r>
    <s v="d94c2f07-6c7a-444f-9fa6-e39aa2fcccb6"/>
    <x v="27"/>
    <x v="1"/>
    <x v="2"/>
    <x v="5"/>
    <x v="6"/>
    <s v="2024-10-24"/>
    <x v="3"/>
    <x v="5"/>
    <x v="0"/>
    <n v="76.81"/>
    <s v="0% off"/>
    <n v="0"/>
    <x v="1"/>
    <x v="0"/>
    <n v="76.81"/>
    <x v="1"/>
    <n v="4"/>
    <s v="Good"/>
  </r>
  <r>
    <s v="8e386185-b9e6-4128-b622-0ac3e510538b"/>
    <x v="22"/>
    <x v="1"/>
    <x v="3"/>
    <x v="6"/>
    <x v="10"/>
    <s v="2025-03-09"/>
    <x v="5"/>
    <x v="6"/>
    <x v="1"/>
    <n v="782.29"/>
    <s v="15% off"/>
    <n v="117.34349999999999"/>
    <x v="0"/>
    <x v="1"/>
    <n v="664.94650000000001"/>
    <x v="1"/>
    <n v="4"/>
    <s v="Good"/>
  </r>
  <r>
    <s v="f6e7c231-976c-469d-bacc-28d65b842de3"/>
    <x v="13"/>
    <x v="1"/>
    <x v="4"/>
    <x v="2"/>
    <x v="24"/>
    <s v="2025-01-20"/>
    <x v="6"/>
    <x v="9"/>
    <x v="1"/>
    <n v="52.44"/>
    <s v="0% off"/>
    <n v="0"/>
    <x v="1"/>
    <x v="0"/>
    <n v="52.44"/>
    <x v="2"/>
    <n v="4"/>
    <s v="Good"/>
  </r>
  <r>
    <s v="62ec761d-beea-462d-81e4-5ef12b813e02"/>
    <x v="14"/>
    <x v="1"/>
    <x v="5"/>
    <x v="4"/>
    <x v="5"/>
    <s v="2025-02-01"/>
    <x v="2"/>
    <x v="8"/>
    <x v="1"/>
    <n v="988.77"/>
    <s v="20% off"/>
    <n v="197.75400000000002"/>
    <x v="0"/>
    <x v="1"/>
    <n v="791.01599999999996"/>
    <x v="2"/>
    <n v="2"/>
    <s v="Poor"/>
  </r>
  <r>
    <s v="bd59b9ed-b7dd-4393-8b34-f1c89163dd39"/>
    <x v="20"/>
    <x v="0"/>
    <x v="6"/>
    <x v="3"/>
    <x v="3"/>
    <s v="2025-02-01"/>
    <x v="2"/>
    <x v="8"/>
    <x v="1"/>
    <n v="211.46"/>
    <s v="5% off"/>
    <n v="10.573"/>
    <x v="0"/>
    <x v="0"/>
    <n v="200.887"/>
    <x v="2"/>
    <n v="3"/>
    <s v="Average"/>
  </r>
  <r>
    <s v="6ad93d74-03a3-4297-ace0-ac317cc970ad"/>
    <x v="36"/>
    <x v="0"/>
    <x v="7"/>
    <x v="0"/>
    <x v="7"/>
    <s v="2024-12-18"/>
    <x v="4"/>
    <x v="7"/>
    <x v="0"/>
    <n v="78.349999999999994"/>
    <s v="0% off"/>
    <n v="0"/>
    <x v="1"/>
    <x v="0"/>
    <n v="78.349999999999994"/>
    <x v="0"/>
    <n v="4"/>
    <s v="Good"/>
  </r>
  <r>
    <s v="93813e66-3ad7-49ce-a44c-54730c6902e2"/>
    <x v="43"/>
    <x v="0"/>
    <x v="8"/>
    <x v="5"/>
    <x v="8"/>
    <s v="2025-01-28"/>
    <x v="1"/>
    <x v="9"/>
    <x v="1"/>
    <n v="374.92"/>
    <s v="5% off"/>
    <n v="18.746000000000002"/>
    <x v="0"/>
    <x v="0"/>
    <n v="356.17400000000004"/>
    <x v="3"/>
    <n v="5"/>
    <s v="Excellent"/>
  </r>
  <r>
    <s v="7406b1c8-3578-405f-9080-2ab87d27fe81"/>
    <x v="23"/>
    <x v="1"/>
    <x v="9"/>
    <x v="1"/>
    <x v="23"/>
    <s v="2025-02-03"/>
    <x v="6"/>
    <x v="8"/>
    <x v="1"/>
    <n v="362.55"/>
    <s v="5% off"/>
    <n v="18.127500000000001"/>
    <x v="0"/>
    <x v="0"/>
    <n v="344.42250000000001"/>
    <x v="3"/>
    <n v="2"/>
    <s v="Poor"/>
  </r>
  <r>
    <s v="16575591-f387-4c2d-9251-1120063d4ac8"/>
    <x v="3"/>
    <x v="0"/>
    <x v="10"/>
    <x v="5"/>
    <x v="8"/>
    <s v="2024-12-01"/>
    <x v="5"/>
    <x v="7"/>
    <x v="0"/>
    <n v="374.92"/>
    <s v="5% off"/>
    <n v="18.746000000000002"/>
    <x v="0"/>
    <x v="1"/>
    <n v="356.17400000000004"/>
    <x v="0"/>
    <n v="5"/>
    <s v="Excellent"/>
  </r>
  <r>
    <s v="7559db65-1c6c-4b2c-a5e7-80a1b93f8cbe"/>
    <x v="14"/>
    <x v="1"/>
    <x v="11"/>
    <x v="3"/>
    <x v="15"/>
    <s v="2024-08-22"/>
    <x v="3"/>
    <x v="3"/>
    <x v="0"/>
    <n v="855.21"/>
    <s v="15% off"/>
    <n v="128.28149999999999"/>
    <x v="0"/>
    <x v="1"/>
    <n v="726.92849999999999"/>
    <x v="1"/>
    <n v="2"/>
    <s v="Poor"/>
  </r>
  <r>
    <s v="a0c491a4-825f-4e6b-899b-7ef9e33a9759"/>
    <x v="10"/>
    <x v="0"/>
    <x v="12"/>
    <x v="4"/>
    <x v="4"/>
    <s v="2024-09-24"/>
    <x v="1"/>
    <x v="10"/>
    <x v="0"/>
    <n v="512.94000000000005"/>
    <s v="10% off"/>
    <n v="51.294000000000011"/>
    <x v="0"/>
    <x v="1"/>
    <n v="461.64600000000007"/>
    <x v="3"/>
    <n v="4"/>
    <s v="Good"/>
  </r>
  <r>
    <s v="a4f400c4-6d0b-4fb4-9db2-c0664a3bb8af"/>
    <x v="6"/>
    <x v="1"/>
    <x v="13"/>
    <x v="3"/>
    <x v="19"/>
    <s v="2025-03-02"/>
    <x v="5"/>
    <x v="6"/>
    <x v="1"/>
    <n v="165.68"/>
    <s v="5% off"/>
    <n v="8.2840000000000007"/>
    <x v="0"/>
    <x v="0"/>
    <n v="157.39600000000002"/>
    <x v="3"/>
    <n v="4"/>
    <s v="Good"/>
  </r>
  <r>
    <s v="d54b3cf0-120f-4734-b91f-05008e9bad32"/>
    <x v="30"/>
    <x v="0"/>
    <x v="14"/>
    <x v="0"/>
    <x v="11"/>
    <s v="2024-04-17"/>
    <x v="4"/>
    <x v="0"/>
    <x v="0"/>
    <n v="116.78"/>
    <s v="0% off"/>
    <n v="0"/>
    <x v="1"/>
    <x v="0"/>
    <n v="116.78"/>
    <x v="0"/>
    <n v="5"/>
    <s v="Excellent"/>
  </r>
  <r>
    <s v="c3bce36e-e0cd-4557-aac3-79102654e2d5"/>
    <x v="9"/>
    <x v="0"/>
    <x v="15"/>
    <x v="1"/>
    <x v="23"/>
    <s v="2024-09-26"/>
    <x v="3"/>
    <x v="10"/>
    <x v="0"/>
    <n v="362.55"/>
    <s v="5% off"/>
    <n v="18.127500000000001"/>
    <x v="0"/>
    <x v="0"/>
    <n v="344.42250000000001"/>
    <x v="2"/>
    <n v="5"/>
    <s v="Excellent"/>
  </r>
  <r>
    <s v="b84b1636-84e3-4059-808f-1ca74c14ab40"/>
    <x v="27"/>
    <x v="0"/>
    <x v="16"/>
    <x v="1"/>
    <x v="26"/>
    <s v="2024-12-09"/>
    <x v="6"/>
    <x v="7"/>
    <x v="0"/>
    <n v="775.75"/>
    <s v="15% off"/>
    <n v="116.3625"/>
    <x v="0"/>
    <x v="0"/>
    <n v="659.38750000000005"/>
    <x v="0"/>
    <n v="4"/>
    <s v="Good"/>
  </r>
  <r>
    <s v="455a584e-8048-489f-ac26-347cca1961d4"/>
    <x v="49"/>
    <x v="0"/>
    <x v="17"/>
    <x v="0"/>
    <x v="0"/>
    <s v="2024-10-12"/>
    <x v="2"/>
    <x v="5"/>
    <x v="0"/>
    <n v="697.86"/>
    <s v="10% off"/>
    <n v="69.786000000000001"/>
    <x v="0"/>
    <x v="0"/>
    <n v="628.07400000000007"/>
    <x v="1"/>
    <n v="3"/>
    <s v="Average"/>
  </r>
  <r>
    <s v="fe68fa93-a7f8-49d0-b19d-3f36e45356d7"/>
    <x v="27"/>
    <x v="1"/>
    <x v="18"/>
    <x v="5"/>
    <x v="16"/>
    <s v="2024-07-31"/>
    <x v="4"/>
    <x v="2"/>
    <x v="0"/>
    <n v="592.26"/>
    <s v="10% off"/>
    <n v="59.225999999999999"/>
    <x v="0"/>
    <x v="0"/>
    <n v="533.03399999999999"/>
    <x v="3"/>
    <n v="2"/>
    <s v="Poor"/>
  </r>
  <r>
    <s v="bb049f2b-d4f6-4276-ba98-5e2661a68fc4"/>
    <x v="50"/>
    <x v="0"/>
    <x v="19"/>
    <x v="5"/>
    <x v="6"/>
    <s v="2024-06-09"/>
    <x v="5"/>
    <x v="11"/>
    <x v="0"/>
    <n v="76.81"/>
    <s v="0% off"/>
    <n v="0"/>
    <x v="1"/>
    <x v="0"/>
    <n v="76.81"/>
    <x v="1"/>
    <n v="2"/>
    <s v="Poor"/>
  </r>
  <r>
    <s v="e129d47d-da94-4266-8db9-d9348458c2a7"/>
    <x v="18"/>
    <x v="1"/>
    <x v="20"/>
    <x v="1"/>
    <x v="1"/>
    <s v="2024-06-28"/>
    <x v="0"/>
    <x v="11"/>
    <x v="0"/>
    <n v="67.040000000000006"/>
    <s v="0% off"/>
    <n v="0"/>
    <x v="1"/>
    <x v="0"/>
    <n v="67.040000000000006"/>
    <x v="2"/>
    <n v="4"/>
    <s v="Good"/>
  </r>
  <r>
    <s v="72099baa-f559-4576-b9bd-7c9dace35d4e"/>
    <x v="37"/>
    <x v="0"/>
    <x v="21"/>
    <x v="3"/>
    <x v="3"/>
    <s v="2024-09-20"/>
    <x v="0"/>
    <x v="10"/>
    <x v="0"/>
    <n v="211.46"/>
    <s v="5% off"/>
    <n v="10.573"/>
    <x v="0"/>
    <x v="0"/>
    <n v="200.887"/>
    <x v="3"/>
    <n v="3"/>
    <s v="Average"/>
  </r>
  <r>
    <s v="35979b2d-3de8-4fcf-9b0b-8c1fb3a5d0b9"/>
    <x v="26"/>
    <x v="0"/>
    <x v="22"/>
    <x v="2"/>
    <x v="24"/>
    <s v="2024-07-13"/>
    <x v="2"/>
    <x v="2"/>
    <x v="0"/>
    <n v="52.44"/>
    <s v="0% off"/>
    <n v="0"/>
    <x v="1"/>
    <x v="0"/>
    <n v="52.44"/>
    <x v="3"/>
    <n v="2"/>
    <s v="Poor"/>
  </r>
  <r>
    <s v="19218ef2-ce76-44d3-ba01-444b972208ff"/>
    <x v="44"/>
    <x v="0"/>
    <x v="23"/>
    <x v="3"/>
    <x v="15"/>
    <s v="2024-04-14"/>
    <x v="5"/>
    <x v="0"/>
    <x v="0"/>
    <n v="855.21"/>
    <s v="15% off"/>
    <n v="128.28149999999999"/>
    <x v="0"/>
    <x v="1"/>
    <n v="726.92849999999999"/>
    <x v="2"/>
    <n v="2"/>
    <s v="Poor"/>
  </r>
  <r>
    <s v="808d2f0d-47e0-472e-b2d1-1bc95e31fa9f"/>
    <x v="46"/>
    <x v="1"/>
    <x v="24"/>
    <x v="2"/>
    <x v="2"/>
    <s v="2025-03-19"/>
    <x v="4"/>
    <x v="6"/>
    <x v="1"/>
    <n v="493.96"/>
    <s v="5% off"/>
    <n v="24.698"/>
    <x v="0"/>
    <x v="0"/>
    <n v="469.262"/>
    <x v="1"/>
    <n v="1"/>
    <s v="Very Poor"/>
  </r>
  <r>
    <s v="3a0a7f13-0686-430a-881c-b514d8c3dfe5"/>
    <x v="12"/>
    <x v="0"/>
    <x v="25"/>
    <x v="3"/>
    <x v="3"/>
    <s v="2025-01-29"/>
    <x v="4"/>
    <x v="9"/>
    <x v="1"/>
    <n v="211.46"/>
    <s v="5% off"/>
    <n v="10.573"/>
    <x v="0"/>
    <x v="1"/>
    <n v="200.887"/>
    <x v="1"/>
    <n v="1"/>
    <s v="Very Poor"/>
  </r>
  <r>
    <s v="115236e2-9c93-4f2a-9517-6133cfdbc94f"/>
    <x v="19"/>
    <x v="1"/>
    <x v="26"/>
    <x v="6"/>
    <x v="13"/>
    <s v="2024-06-18"/>
    <x v="1"/>
    <x v="11"/>
    <x v="0"/>
    <n v="418.55"/>
    <s v="5% off"/>
    <n v="20.927500000000002"/>
    <x v="0"/>
    <x v="0"/>
    <n v="397.6225"/>
    <x v="0"/>
    <n v="5"/>
    <s v="Excellent"/>
  </r>
  <r>
    <s v="500e10bd-2d47-4b3e-868c-4f75df72bbad"/>
    <x v="22"/>
    <x v="1"/>
    <x v="27"/>
    <x v="5"/>
    <x v="9"/>
    <s v="2024-12-30"/>
    <x v="6"/>
    <x v="7"/>
    <x v="0"/>
    <n v="452.97"/>
    <s v="5% off"/>
    <n v="22.648500000000002"/>
    <x v="0"/>
    <x v="0"/>
    <n v="430.32150000000001"/>
    <x v="3"/>
    <n v="5"/>
    <s v="Excellent"/>
  </r>
  <r>
    <s v="9584ac1c-f6e2-4368-8ef9-fcbfe6cb0b6a"/>
    <x v="42"/>
    <x v="1"/>
    <x v="28"/>
    <x v="2"/>
    <x v="27"/>
    <s v="2024-05-30"/>
    <x v="3"/>
    <x v="4"/>
    <x v="0"/>
    <n v="340.04"/>
    <s v="5% off"/>
    <n v="17.002000000000002"/>
    <x v="0"/>
    <x v="1"/>
    <n v="323.03800000000001"/>
    <x v="2"/>
    <n v="3"/>
    <s v="Average"/>
  </r>
  <r>
    <s v="5f2c10c6-627e-4d9c-b5b2-871c3504861b"/>
    <x v="15"/>
    <x v="0"/>
    <x v="29"/>
    <x v="6"/>
    <x v="14"/>
    <s v="2024-06-17"/>
    <x v="6"/>
    <x v="11"/>
    <x v="0"/>
    <n v="965.09"/>
    <s v="20% off"/>
    <n v="193.01800000000003"/>
    <x v="0"/>
    <x v="0"/>
    <n v="772.072"/>
    <x v="1"/>
    <n v="1"/>
    <s v="Very Poor"/>
  </r>
  <r>
    <s v="1375a8af-3325-43ea-a0e7-89f96f78dd81"/>
    <x v="46"/>
    <x v="1"/>
    <x v="30"/>
    <x v="3"/>
    <x v="15"/>
    <s v="2024-04-24"/>
    <x v="4"/>
    <x v="0"/>
    <x v="0"/>
    <n v="855.21"/>
    <s v="15% off"/>
    <n v="128.28149999999999"/>
    <x v="0"/>
    <x v="1"/>
    <n v="726.92849999999999"/>
    <x v="2"/>
    <n v="4"/>
    <s v="Good"/>
  </r>
  <r>
    <s v="b91cb06d-3b82-42d7-bdbe-211e933789e8"/>
    <x v="46"/>
    <x v="1"/>
    <x v="31"/>
    <x v="1"/>
    <x v="25"/>
    <s v="2024-10-05"/>
    <x v="2"/>
    <x v="5"/>
    <x v="0"/>
    <n v="527.16999999999996"/>
    <s v="10% off"/>
    <n v="52.716999999999999"/>
    <x v="0"/>
    <x v="0"/>
    <n v="474.45299999999997"/>
    <x v="1"/>
    <n v="1"/>
    <s v="Very Poor"/>
  </r>
  <r>
    <s v="014bb07c-3e84-42ef-a90c-15153393d90f"/>
    <x v="42"/>
    <x v="0"/>
    <x v="32"/>
    <x v="5"/>
    <x v="6"/>
    <s v="2025-02-25"/>
    <x v="1"/>
    <x v="8"/>
    <x v="1"/>
    <n v="76.81"/>
    <s v="0% off"/>
    <n v="0"/>
    <x v="1"/>
    <x v="1"/>
    <n v="76.81"/>
    <x v="0"/>
    <n v="2"/>
    <s v="Poor"/>
  </r>
  <r>
    <s v="6f1887a9-b2d2-4fff-bbf2-e26169bb6d62"/>
    <x v="46"/>
    <x v="0"/>
    <x v="33"/>
    <x v="1"/>
    <x v="23"/>
    <s v="2024-11-30"/>
    <x v="2"/>
    <x v="1"/>
    <x v="0"/>
    <n v="362.55"/>
    <s v="5% off"/>
    <n v="18.127500000000001"/>
    <x v="0"/>
    <x v="1"/>
    <n v="344.42250000000001"/>
    <x v="2"/>
    <n v="2"/>
    <s v="Poor"/>
  </r>
  <r>
    <s v="9872443d-9188-4bf4-9e40-8cc3168bf075"/>
    <x v="22"/>
    <x v="1"/>
    <x v="34"/>
    <x v="4"/>
    <x v="17"/>
    <s v="2024-06-16"/>
    <x v="5"/>
    <x v="11"/>
    <x v="0"/>
    <n v="315.56"/>
    <s v="5% off"/>
    <n v="15.778"/>
    <x v="0"/>
    <x v="1"/>
    <n v="299.78199999999998"/>
    <x v="3"/>
    <n v="2"/>
    <s v="Poor"/>
  </r>
  <r>
    <s v="5be97403-4158-4a54-916a-bee6dac80dac"/>
    <x v="48"/>
    <x v="0"/>
    <x v="35"/>
    <x v="1"/>
    <x v="26"/>
    <s v="2024-10-13"/>
    <x v="5"/>
    <x v="5"/>
    <x v="0"/>
    <n v="775.75"/>
    <s v="15% off"/>
    <n v="116.3625"/>
    <x v="0"/>
    <x v="0"/>
    <n v="659.38750000000005"/>
    <x v="2"/>
    <n v="2"/>
    <s v="Poor"/>
  </r>
  <r>
    <s v="307cfe2c-9950-42e1-9cbe-d7861aed93a0"/>
    <x v="37"/>
    <x v="1"/>
    <x v="36"/>
    <x v="1"/>
    <x v="23"/>
    <s v="2024-10-23"/>
    <x v="4"/>
    <x v="5"/>
    <x v="0"/>
    <n v="362.55"/>
    <s v="5% off"/>
    <n v="18.127500000000001"/>
    <x v="0"/>
    <x v="1"/>
    <n v="344.42250000000001"/>
    <x v="3"/>
    <n v="2"/>
    <s v="Poor"/>
  </r>
  <r>
    <s v="f36da6d6-0f2f-4bbf-94a9-3075e01e59bc"/>
    <x v="21"/>
    <x v="1"/>
    <x v="37"/>
    <x v="5"/>
    <x v="6"/>
    <s v="2024-12-14"/>
    <x v="2"/>
    <x v="7"/>
    <x v="0"/>
    <n v="76.81"/>
    <s v="0% off"/>
    <n v="0"/>
    <x v="1"/>
    <x v="0"/>
    <n v="76.81"/>
    <x v="1"/>
    <n v="2"/>
    <s v="Poor"/>
  </r>
  <r>
    <s v="12274827-e01c-46b2-a8ca-33b5776ab678"/>
    <x v="27"/>
    <x v="1"/>
    <x v="38"/>
    <x v="2"/>
    <x v="2"/>
    <s v="2024-12-21"/>
    <x v="2"/>
    <x v="7"/>
    <x v="0"/>
    <n v="493.96"/>
    <s v="5% off"/>
    <n v="24.698"/>
    <x v="0"/>
    <x v="0"/>
    <n v="469.262"/>
    <x v="2"/>
    <n v="1"/>
    <s v="Very Poor"/>
  </r>
  <r>
    <s v="507c86af-802a-45a1-a27c-2fd78ee5b4a2"/>
    <x v="45"/>
    <x v="0"/>
    <x v="39"/>
    <x v="3"/>
    <x v="12"/>
    <s v="2024-07-22"/>
    <x v="6"/>
    <x v="2"/>
    <x v="0"/>
    <n v="270.41000000000003"/>
    <s v="5% off"/>
    <n v="13.520500000000002"/>
    <x v="0"/>
    <x v="0"/>
    <n v="256.8895"/>
    <x v="3"/>
    <n v="5"/>
    <s v="Excellent"/>
  </r>
  <r>
    <s v="316ba4e0-65a4-440e-99cb-44108276458a"/>
    <x v="11"/>
    <x v="0"/>
    <x v="40"/>
    <x v="4"/>
    <x v="5"/>
    <s v="2025-03-20"/>
    <x v="3"/>
    <x v="6"/>
    <x v="1"/>
    <n v="988.77"/>
    <s v="20% off"/>
    <n v="197.75400000000002"/>
    <x v="0"/>
    <x v="0"/>
    <n v="791.01599999999996"/>
    <x v="2"/>
    <n v="3"/>
    <s v="Average"/>
  </r>
  <r>
    <s v="6da2eb07-8cb6-4338-b73f-f94eb62f97d9"/>
    <x v="7"/>
    <x v="0"/>
    <x v="41"/>
    <x v="6"/>
    <x v="14"/>
    <s v="2024-06-29"/>
    <x v="2"/>
    <x v="11"/>
    <x v="0"/>
    <n v="965.09"/>
    <s v="20% off"/>
    <n v="193.01800000000003"/>
    <x v="0"/>
    <x v="0"/>
    <n v="772.072"/>
    <x v="3"/>
    <n v="2"/>
    <s v="Poor"/>
  </r>
  <r>
    <s v="370f5f6c-92ee-49be-b69d-250b78e02250"/>
    <x v="11"/>
    <x v="1"/>
    <x v="42"/>
    <x v="4"/>
    <x v="17"/>
    <s v="2025-01-15"/>
    <x v="4"/>
    <x v="9"/>
    <x v="1"/>
    <n v="315.56"/>
    <s v="5% off"/>
    <n v="15.778"/>
    <x v="0"/>
    <x v="1"/>
    <n v="299.78199999999998"/>
    <x v="1"/>
    <n v="4"/>
    <s v="Good"/>
  </r>
  <r>
    <s v="b8abd255-7e9f-485d-9abb-fc35aa800620"/>
    <x v="49"/>
    <x v="0"/>
    <x v="43"/>
    <x v="1"/>
    <x v="26"/>
    <s v="2024-07-31"/>
    <x v="4"/>
    <x v="2"/>
    <x v="0"/>
    <n v="775.75"/>
    <s v="15% off"/>
    <n v="116.3625"/>
    <x v="0"/>
    <x v="0"/>
    <n v="659.38750000000005"/>
    <x v="0"/>
    <n v="5"/>
    <s v="Excellent"/>
  </r>
  <r>
    <s v="5cf5b9ba-c02d-4dc4-825e-33f7d74e245c"/>
    <x v="35"/>
    <x v="0"/>
    <x v="44"/>
    <x v="3"/>
    <x v="3"/>
    <s v="2024-03-29"/>
    <x v="0"/>
    <x v="6"/>
    <x v="0"/>
    <n v="211.46"/>
    <s v="5% off"/>
    <n v="10.573"/>
    <x v="0"/>
    <x v="0"/>
    <n v="200.887"/>
    <x v="0"/>
    <n v="2"/>
    <s v="Poor"/>
  </r>
  <r>
    <s v="c4add9ba-8a2f-4d96-83da-ebc140b4839b"/>
    <x v="5"/>
    <x v="0"/>
    <x v="45"/>
    <x v="2"/>
    <x v="24"/>
    <s v="2025-03-19"/>
    <x v="4"/>
    <x v="6"/>
    <x v="1"/>
    <n v="52.44"/>
    <s v="0% off"/>
    <n v="0"/>
    <x v="1"/>
    <x v="1"/>
    <n v="52.44"/>
    <x v="1"/>
    <n v="1"/>
    <s v="Very Poor"/>
  </r>
  <r>
    <s v="8903617f-3494-41a0-b923-3389d41436be"/>
    <x v="39"/>
    <x v="0"/>
    <x v="46"/>
    <x v="6"/>
    <x v="21"/>
    <s v="2024-11-27"/>
    <x v="4"/>
    <x v="1"/>
    <x v="0"/>
    <n v="461.81"/>
    <s v="5% off"/>
    <n v="23.090500000000002"/>
    <x v="0"/>
    <x v="1"/>
    <n v="438.71949999999998"/>
    <x v="1"/>
    <n v="1"/>
    <s v="Very Poor"/>
  </r>
  <r>
    <s v="4a501d99-a216-4096-aa92-e9b7d84b1d34"/>
    <x v="51"/>
    <x v="0"/>
    <x v="47"/>
    <x v="0"/>
    <x v="7"/>
    <s v="2024-08-30"/>
    <x v="0"/>
    <x v="3"/>
    <x v="0"/>
    <n v="78.349999999999994"/>
    <s v="0% off"/>
    <n v="0"/>
    <x v="1"/>
    <x v="0"/>
    <n v="78.349999999999994"/>
    <x v="2"/>
    <n v="5"/>
    <s v="Excellent"/>
  </r>
  <r>
    <s v="a1683faa-49e5-4817-a396-be8646679105"/>
    <x v="20"/>
    <x v="0"/>
    <x v="48"/>
    <x v="1"/>
    <x v="1"/>
    <s v="2024-11-23"/>
    <x v="2"/>
    <x v="1"/>
    <x v="0"/>
    <n v="67.040000000000006"/>
    <s v="0% off"/>
    <n v="0"/>
    <x v="1"/>
    <x v="1"/>
    <n v="67.040000000000006"/>
    <x v="3"/>
    <n v="1"/>
    <s v="Very Poor"/>
  </r>
  <r>
    <s v="ae99973e-656b-4860-9a90-ee934d336536"/>
    <x v="22"/>
    <x v="1"/>
    <x v="49"/>
    <x v="3"/>
    <x v="19"/>
    <s v="2024-05-09"/>
    <x v="3"/>
    <x v="4"/>
    <x v="0"/>
    <n v="165.68"/>
    <s v="5% off"/>
    <n v="8.2840000000000007"/>
    <x v="0"/>
    <x v="0"/>
    <n v="157.39600000000002"/>
    <x v="3"/>
    <n v="2"/>
    <s v="Poor"/>
  </r>
  <r>
    <s v="0f64ee2e-4ab9-43fa-abb2-1e83ef300827"/>
    <x v="1"/>
    <x v="1"/>
    <x v="50"/>
    <x v="5"/>
    <x v="9"/>
    <s v="2024-09-17"/>
    <x v="1"/>
    <x v="10"/>
    <x v="0"/>
    <n v="452.97"/>
    <s v="5% off"/>
    <n v="22.648500000000002"/>
    <x v="0"/>
    <x v="0"/>
    <n v="430.32150000000001"/>
    <x v="3"/>
    <n v="3"/>
    <s v="Average"/>
  </r>
  <r>
    <s v="29913970-c3d5-402f-81bc-d9898f8749b8"/>
    <x v="29"/>
    <x v="0"/>
    <x v="51"/>
    <x v="4"/>
    <x v="20"/>
    <s v="2024-11-28"/>
    <x v="3"/>
    <x v="1"/>
    <x v="0"/>
    <n v="260.77999999999997"/>
    <s v="5% off"/>
    <n v="13.039"/>
    <x v="0"/>
    <x v="1"/>
    <n v="247.74099999999999"/>
    <x v="2"/>
    <n v="4"/>
    <s v="Good"/>
  </r>
  <r>
    <s v="1690a52f-c51a-4f5d-8924-e512a1a62c4e"/>
    <x v="44"/>
    <x v="1"/>
    <x v="52"/>
    <x v="4"/>
    <x v="17"/>
    <s v="2024-11-20"/>
    <x v="4"/>
    <x v="1"/>
    <x v="0"/>
    <n v="315.56"/>
    <s v="5% off"/>
    <n v="15.778"/>
    <x v="0"/>
    <x v="1"/>
    <n v="299.78199999999998"/>
    <x v="0"/>
    <n v="3"/>
    <s v="Average"/>
  </r>
  <r>
    <s v="53ef44be-f652-4d71-aa2b-6d6f1d8640d6"/>
    <x v="20"/>
    <x v="1"/>
    <x v="53"/>
    <x v="2"/>
    <x v="2"/>
    <s v="2024-09-05"/>
    <x v="3"/>
    <x v="10"/>
    <x v="0"/>
    <n v="493.96"/>
    <s v="5% off"/>
    <n v="24.698"/>
    <x v="0"/>
    <x v="1"/>
    <n v="469.262"/>
    <x v="0"/>
    <n v="4"/>
    <s v="Good"/>
  </r>
  <r>
    <s v="b7a3c173-b55b-4ff3-98b1-bf494a58edab"/>
    <x v="13"/>
    <x v="1"/>
    <x v="33"/>
    <x v="3"/>
    <x v="3"/>
    <s v="2024-12-15"/>
    <x v="5"/>
    <x v="7"/>
    <x v="0"/>
    <n v="211.46"/>
    <s v="5% off"/>
    <n v="10.573"/>
    <x v="0"/>
    <x v="0"/>
    <n v="200.887"/>
    <x v="1"/>
    <n v="3"/>
    <s v="Average"/>
  </r>
  <r>
    <s v="ce8dcb43-a40a-41a6-a853-6da029aae6bd"/>
    <x v="14"/>
    <x v="1"/>
    <x v="54"/>
    <x v="6"/>
    <x v="21"/>
    <s v="2024-06-15"/>
    <x v="2"/>
    <x v="11"/>
    <x v="0"/>
    <n v="461.81"/>
    <s v="5% off"/>
    <n v="23.090500000000002"/>
    <x v="0"/>
    <x v="0"/>
    <n v="438.71949999999998"/>
    <x v="0"/>
    <n v="2"/>
    <s v="Poor"/>
  </r>
  <r>
    <s v="46d0b332-8e93-4343-9774-0848e3ef9592"/>
    <x v="40"/>
    <x v="1"/>
    <x v="55"/>
    <x v="5"/>
    <x v="8"/>
    <s v="2024-06-09"/>
    <x v="5"/>
    <x v="11"/>
    <x v="0"/>
    <n v="374.92"/>
    <s v="5% off"/>
    <n v="18.746000000000002"/>
    <x v="0"/>
    <x v="0"/>
    <n v="356.17400000000004"/>
    <x v="3"/>
    <n v="1"/>
    <s v="Very Poor"/>
  </r>
  <r>
    <s v="b0739c3c-a77d-4e15-9ab2-181b29a51604"/>
    <x v="45"/>
    <x v="0"/>
    <x v="56"/>
    <x v="4"/>
    <x v="4"/>
    <s v="2024-04-13"/>
    <x v="2"/>
    <x v="0"/>
    <x v="0"/>
    <n v="512.94000000000005"/>
    <s v="10% off"/>
    <n v="51.294000000000011"/>
    <x v="0"/>
    <x v="1"/>
    <n v="461.64600000000007"/>
    <x v="0"/>
    <n v="3"/>
    <s v="Average"/>
  </r>
  <r>
    <s v="39e55363-1b55-466d-9188-c5a85eb657b0"/>
    <x v="3"/>
    <x v="0"/>
    <x v="57"/>
    <x v="5"/>
    <x v="8"/>
    <s v="2024-12-13"/>
    <x v="0"/>
    <x v="7"/>
    <x v="0"/>
    <n v="374.92"/>
    <s v="5% off"/>
    <n v="18.746000000000002"/>
    <x v="0"/>
    <x v="1"/>
    <n v="356.17400000000004"/>
    <x v="1"/>
    <n v="4"/>
    <s v="Good"/>
  </r>
  <r>
    <s v="65080a94-1f93-4573-9ce1-bb8d4291ae7a"/>
    <x v="43"/>
    <x v="0"/>
    <x v="58"/>
    <x v="6"/>
    <x v="10"/>
    <s v="2024-08-30"/>
    <x v="0"/>
    <x v="3"/>
    <x v="0"/>
    <n v="782.29"/>
    <s v="15% off"/>
    <n v="117.34349999999999"/>
    <x v="0"/>
    <x v="0"/>
    <n v="664.94650000000001"/>
    <x v="0"/>
    <n v="5"/>
    <s v="Excellent"/>
  </r>
  <r>
    <s v="36be5ecd-2d43-4d9b-a29c-1c8e1f87e130"/>
    <x v="17"/>
    <x v="0"/>
    <x v="59"/>
    <x v="6"/>
    <x v="14"/>
    <s v="2025-01-02"/>
    <x v="3"/>
    <x v="9"/>
    <x v="1"/>
    <n v="965.09"/>
    <s v="20% off"/>
    <n v="193.01800000000003"/>
    <x v="0"/>
    <x v="0"/>
    <n v="772.072"/>
    <x v="1"/>
    <n v="4"/>
    <s v="Good"/>
  </r>
  <r>
    <s v="1748149f-0a29-4b0c-b2d5-e5ab39f2393e"/>
    <x v="3"/>
    <x v="1"/>
    <x v="60"/>
    <x v="2"/>
    <x v="2"/>
    <s v="2024-11-18"/>
    <x v="6"/>
    <x v="1"/>
    <x v="0"/>
    <n v="493.96"/>
    <s v="5% off"/>
    <n v="24.698"/>
    <x v="0"/>
    <x v="0"/>
    <n v="469.262"/>
    <x v="0"/>
    <n v="5"/>
    <s v="Excellent"/>
  </r>
  <r>
    <s v="c4f1a4b2-bc2f-4951-9bc0-f214c9ff831f"/>
    <x v="22"/>
    <x v="1"/>
    <x v="61"/>
    <x v="0"/>
    <x v="11"/>
    <s v="2025-03-22"/>
    <x v="2"/>
    <x v="6"/>
    <x v="1"/>
    <n v="116.78"/>
    <s v="0% off"/>
    <n v="0"/>
    <x v="1"/>
    <x v="0"/>
    <n v="116.78"/>
    <x v="2"/>
    <n v="3"/>
    <s v="Average"/>
  </r>
  <r>
    <s v="41884cb5-1a1f-46cd-895c-9cc14168eb02"/>
    <x v="50"/>
    <x v="0"/>
    <x v="42"/>
    <x v="0"/>
    <x v="7"/>
    <s v="2024-04-01"/>
    <x v="6"/>
    <x v="0"/>
    <x v="0"/>
    <n v="78.349999999999994"/>
    <s v="0% off"/>
    <n v="0"/>
    <x v="1"/>
    <x v="0"/>
    <n v="78.349999999999994"/>
    <x v="1"/>
    <n v="1"/>
    <s v="Very Poor"/>
  </r>
  <r>
    <s v="e98fb93f-ed3f-41cd-86b0-8b868866fbda"/>
    <x v="22"/>
    <x v="0"/>
    <x v="62"/>
    <x v="1"/>
    <x v="25"/>
    <s v="2024-11-20"/>
    <x v="4"/>
    <x v="1"/>
    <x v="0"/>
    <n v="527.16999999999996"/>
    <s v="10% off"/>
    <n v="52.716999999999999"/>
    <x v="0"/>
    <x v="1"/>
    <n v="474.45299999999997"/>
    <x v="1"/>
    <n v="5"/>
    <s v="Excellent"/>
  </r>
  <r>
    <s v="659d7e38-59e8-43f0-b60e-4416472aa944"/>
    <x v="38"/>
    <x v="0"/>
    <x v="63"/>
    <x v="6"/>
    <x v="14"/>
    <s v="2024-06-29"/>
    <x v="2"/>
    <x v="11"/>
    <x v="0"/>
    <n v="965.09"/>
    <s v="20% off"/>
    <n v="193.01800000000003"/>
    <x v="0"/>
    <x v="0"/>
    <n v="772.072"/>
    <x v="1"/>
    <n v="1"/>
    <s v="Very Poor"/>
  </r>
  <r>
    <s v="14ea4762-10e9-44c3-8f43-32bef5b5fe50"/>
    <x v="29"/>
    <x v="0"/>
    <x v="64"/>
    <x v="2"/>
    <x v="24"/>
    <s v="2025-01-22"/>
    <x v="4"/>
    <x v="9"/>
    <x v="1"/>
    <n v="52.44"/>
    <s v="0% off"/>
    <n v="0"/>
    <x v="1"/>
    <x v="1"/>
    <n v="52.44"/>
    <x v="0"/>
    <n v="1"/>
    <s v="Very Poor"/>
  </r>
  <r>
    <s v="82b75ebf-b28d-4b24-8eb3-3d45505882ba"/>
    <x v="46"/>
    <x v="1"/>
    <x v="65"/>
    <x v="0"/>
    <x v="11"/>
    <s v="2025-02-02"/>
    <x v="5"/>
    <x v="8"/>
    <x v="1"/>
    <n v="116.78"/>
    <s v="0% off"/>
    <n v="0"/>
    <x v="1"/>
    <x v="1"/>
    <n v="116.78"/>
    <x v="3"/>
    <n v="1"/>
    <s v="Very Poor"/>
  </r>
  <r>
    <s v="3a378232-8405-4a3c-947f-bbd3064ed865"/>
    <x v="4"/>
    <x v="1"/>
    <x v="66"/>
    <x v="3"/>
    <x v="15"/>
    <s v="2024-08-04"/>
    <x v="5"/>
    <x v="3"/>
    <x v="0"/>
    <n v="855.21"/>
    <s v="15% off"/>
    <n v="128.28149999999999"/>
    <x v="0"/>
    <x v="1"/>
    <n v="726.92849999999999"/>
    <x v="1"/>
    <n v="1"/>
    <s v="Very Poor"/>
  </r>
  <r>
    <s v="eb5e90fb-cc6f-495e-aa8d-c42d8f4405d8"/>
    <x v="6"/>
    <x v="0"/>
    <x v="67"/>
    <x v="5"/>
    <x v="8"/>
    <s v="2025-02-24"/>
    <x v="6"/>
    <x v="8"/>
    <x v="1"/>
    <n v="374.92"/>
    <s v="5% off"/>
    <n v="18.746000000000002"/>
    <x v="0"/>
    <x v="0"/>
    <n v="356.17400000000004"/>
    <x v="1"/>
    <n v="1"/>
    <s v="Very Poor"/>
  </r>
  <r>
    <s v="5b26b4bf-0928-46ca-9328-199ab9528298"/>
    <x v="24"/>
    <x v="1"/>
    <x v="68"/>
    <x v="2"/>
    <x v="18"/>
    <s v="2024-07-30"/>
    <x v="1"/>
    <x v="2"/>
    <x v="0"/>
    <n v="492.1"/>
    <s v="5% off"/>
    <n v="24.605000000000004"/>
    <x v="0"/>
    <x v="1"/>
    <n v="467.495"/>
    <x v="1"/>
    <n v="1"/>
    <s v="Very Poor"/>
  </r>
  <r>
    <s v="b909b858-028f-4890-b564-aa3f83e521ca"/>
    <x v="25"/>
    <x v="0"/>
    <x v="69"/>
    <x v="4"/>
    <x v="20"/>
    <s v="2024-11-03"/>
    <x v="5"/>
    <x v="1"/>
    <x v="0"/>
    <n v="260.77999999999997"/>
    <s v="5% off"/>
    <n v="13.039"/>
    <x v="0"/>
    <x v="0"/>
    <n v="247.74099999999999"/>
    <x v="2"/>
    <n v="3"/>
    <s v="Average"/>
  </r>
  <r>
    <s v="df9be165-6808-4b64-a058-d4e8a73cea68"/>
    <x v="39"/>
    <x v="0"/>
    <x v="70"/>
    <x v="5"/>
    <x v="8"/>
    <s v="2024-05-15"/>
    <x v="4"/>
    <x v="4"/>
    <x v="0"/>
    <n v="374.92"/>
    <s v="5% off"/>
    <n v="18.746000000000002"/>
    <x v="0"/>
    <x v="1"/>
    <n v="356.17400000000004"/>
    <x v="2"/>
    <n v="2"/>
    <s v="Poor"/>
  </r>
  <r>
    <s v="8b195c1e-efad-42bf-a0d3-8df59c575475"/>
    <x v="1"/>
    <x v="1"/>
    <x v="71"/>
    <x v="4"/>
    <x v="17"/>
    <s v="2025-02-23"/>
    <x v="5"/>
    <x v="8"/>
    <x v="1"/>
    <n v="315.56"/>
    <s v="5% off"/>
    <n v="15.778"/>
    <x v="0"/>
    <x v="0"/>
    <n v="299.78199999999998"/>
    <x v="2"/>
    <n v="4"/>
    <s v="Good"/>
  </r>
  <r>
    <s v="8e3c7788-3045-4b71-9a5b-2db889a79401"/>
    <x v="35"/>
    <x v="1"/>
    <x v="72"/>
    <x v="3"/>
    <x v="12"/>
    <s v="2024-11-30"/>
    <x v="2"/>
    <x v="1"/>
    <x v="0"/>
    <n v="270.41000000000003"/>
    <s v="5% off"/>
    <n v="13.520500000000002"/>
    <x v="0"/>
    <x v="0"/>
    <n v="256.8895"/>
    <x v="3"/>
    <n v="3"/>
    <s v="Average"/>
  </r>
  <r>
    <s v="c8dfdc7a-8b36-4891-8646-91f2cb22af92"/>
    <x v="5"/>
    <x v="0"/>
    <x v="73"/>
    <x v="3"/>
    <x v="15"/>
    <s v="2024-11-25"/>
    <x v="6"/>
    <x v="1"/>
    <x v="0"/>
    <n v="855.21"/>
    <s v="15% off"/>
    <n v="128.28149999999999"/>
    <x v="0"/>
    <x v="0"/>
    <n v="726.92849999999999"/>
    <x v="0"/>
    <n v="2"/>
    <s v="Poor"/>
  </r>
  <r>
    <s v="e84fbeb6-9571-4141-b382-55eb4d465564"/>
    <x v="13"/>
    <x v="0"/>
    <x v="74"/>
    <x v="0"/>
    <x v="7"/>
    <s v="2024-06-15"/>
    <x v="2"/>
    <x v="11"/>
    <x v="0"/>
    <n v="78.349999999999994"/>
    <s v="0% off"/>
    <n v="0"/>
    <x v="1"/>
    <x v="1"/>
    <n v="78.349999999999994"/>
    <x v="2"/>
    <n v="1"/>
    <s v="Very Poor"/>
  </r>
  <r>
    <s v="8c9f1a2a-209a-4c3b-8b10-73f5d171884c"/>
    <x v="24"/>
    <x v="1"/>
    <x v="75"/>
    <x v="6"/>
    <x v="10"/>
    <s v="2024-06-15"/>
    <x v="2"/>
    <x v="11"/>
    <x v="0"/>
    <n v="782.29"/>
    <s v="15% off"/>
    <n v="117.34349999999999"/>
    <x v="0"/>
    <x v="0"/>
    <n v="664.94650000000001"/>
    <x v="1"/>
    <n v="3"/>
    <s v="Average"/>
  </r>
  <r>
    <s v="b7639bb1-2909-4f00-ab39-17df1edf7a06"/>
    <x v="38"/>
    <x v="1"/>
    <x v="76"/>
    <x v="4"/>
    <x v="5"/>
    <s v="2024-05-26"/>
    <x v="5"/>
    <x v="4"/>
    <x v="0"/>
    <n v="988.77"/>
    <s v="20% off"/>
    <n v="197.75400000000002"/>
    <x v="0"/>
    <x v="1"/>
    <n v="791.01599999999996"/>
    <x v="0"/>
    <n v="2"/>
    <s v="Poor"/>
  </r>
  <r>
    <s v="6574cc4c-2567-4bf4-bd7f-697031c4447a"/>
    <x v="51"/>
    <x v="0"/>
    <x v="77"/>
    <x v="0"/>
    <x v="0"/>
    <s v="2024-06-27"/>
    <x v="3"/>
    <x v="11"/>
    <x v="0"/>
    <n v="697.86"/>
    <s v="10% off"/>
    <n v="69.786000000000001"/>
    <x v="0"/>
    <x v="0"/>
    <n v="628.07400000000007"/>
    <x v="0"/>
    <n v="1"/>
    <s v="Very Poor"/>
  </r>
  <r>
    <s v="f253ef9a-5b7d-47ee-831a-9b0c654cfa91"/>
    <x v="39"/>
    <x v="1"/>
    <x v="78"/>
    <x v="6"/>
    <x v="13"/>
    <s v="2024-08-07"/>
    <x v="4"/>
    <x v="3"/>
    <x v="0"/>
    <n v="418.55"/>
    <s v="5% off"/>
    <n v="20.927500000000002"/>
    <x v="0"/>
    <x v="1"/>
    <n v="397.6225"/>
    <x v="1"/>
    <n v="4"/>
    <s v="Good"/>
  </r>
  <r>
    <s v="5451a846-a02f-496c-a031-5864326e6c18"/>
    <x v="44"/>
    <x v="1"/>
    <x v="79"/>
    <x v="4"/>
    <x v="4"/>
    <s v="2024-08-06"/>
    <x v="1"/>
    <x v="3"/>
    <x v="0"/>
    <n v="512.94000000000005"/>
    <s v="10% off"/>
    <n v="51.294000000000011"/>
    <x v="0"/>
    <x v="1"/>
    <n v="461.64600000000007"/>
    <x v="2"/>
    <n v="4"/>
    <s v="Good"/>
  </r>
  <r>
    <s v="79a5c095-8969-416a-901a-1ce7225eb704"/>
    <x v="18"/>
    <x v="1"/>
    <x v="80"/>
    <x v="0"/>
    <x v="22"/>
    <s v="2024-06-19"/>
    <x v="4"/>
    <x v="11"/>
    <x v="0"/>
    <n v="485.26"/>
    <s v="5% off"/>
    <n v="24.263000000000002"/>
    <x v="0"/>
    <x v="0"/>
    <n v="460.99700000000001"/>
    <x v="1"/>
    <n v="1"/>
    <s v="Very Poor"/>
  </r>
  <r>
    <s v="75d6f4c9-30ee-4cea-89e6-77c7a80684b2"/>
    <x v="31"/>
    <x v="1"/>
    <x v="81"/>
    <x v="1"/>
    <x v="1"/>
    <s v="2024-09-06"/>
    <x v="0"/>
    <x v="10"/>
    <x v="0"/>
    <n v="67.040000000000006"/>
    <s v="0% off"/>
    <n v="0"/>
    <x v="1"/>
    <x v="1"/>
    <n v="67.040000000000006"/>
    <x v="3"/>
    <n v="5"/>
    <s v="Excellent"/>
  </r>
  <r>
    <s v="dde58179-bc08-4c2d-bc86-44b71abe1524"/>
    <x v="52"/>
    <x v="0"/>
    <x v="82"/>
    <x v="6"/>
    <x v="10"/>
    <s v="2024-04-10"/>
    <x v="4"/>
    <x v="0"/>
    <x v="0"/>
    <n v="782.29"/>
    <s v="15% off"/>
    <n v="117.34349999999999"/>
    <x v="0"/>
    <x v="0"/>
    <n v="664.94650000000001"/>
    <x v="0"/>
    <n v="5"/>
    <s v="Excellent"/>
  </r>
  <r>
    <s v="7ec8887e-f09d-48a4-bb23-1e24e5ea66de"/>
    <x v="21"/>
    <x v="1"/>
    <x v="83"/>
    <x v="2"/>
    <x v="27"/>
    <s v="2025-01-23"/>
    <x v="3"/>
    <x v="9"/>
    <x v="1"/>
    <n v="340.04"/>
    <s v="5% off"/>
    <n v="17.002000000000002"/>
    <x v="0"/>
    <x v="1"/>
    <n v="323.03800000000001"/>
    <x v="0"/>
    <n v="3"/>
    <s v="Average"/>
  </r>
  <r>
    <s v="95c26619-d27a-458d-88db-4570853dac59"/>
    <x v="9"/>
    <x v="0"/>
    <x v="84"/>
    <x v="5"/>
    <x v="8"/>
    <s v="2024-03-30"/>
    <x v="2"/>
    <x v="6"/>
    <x v="0"/>
    <n v="374.92"/>
    <s v="5% off"/>
    <n v="18.746000000000002"/>
    <x v="0"/>
    <x v="1"/>
    <n v="356.17400000000004"/>
    <x v="1"/>
    <n v="2"/>
    <s v="Poor"/>
  </r>
  <r>
    <s v="0c70bdef-8a27-4a03-8c88-29404054ef1b"/>
    <x v="37"/>
    <x v="0"/>
    <x v="85"/>
    <x v="0"/>
    <x v="11"/>
    <s v="2024-09-01"/>
    <x v="5"/>
    <x v="10"/>
    <x v="0"/>
    <n v="116.78"/>
    <s v="0% off"/>
    <n v="0"/>
    <x v="1"/>
    <x v="0"/>
    <n v="116.78"/>
    <x v="1"/>
    <n v="4"/>
    <s v="Good"/>
  </r>
  <r>
    <s v="bb4ac82e-3b07-4fe2-82ae-bff3835cda31"/>
    <x v="15"/>
    <x v="0"/>
    <x v="86"/>
    <x v="5"/>
    <x v="16"/>
    <s v="2024-03-27"/>
    <x v="4"/>
    <x v="6"/>
    <x v="0"/>
    <n v="592.26"/>
    <s v="10% off"/>
    <n v="59.225999999999999"/>
    <x v="0"/>
    <x v="1"/>
    <n v="533.03399999999999"/>
    <x v="1"/>
    <n v="1"/>
    <s v="Very Poor"/>
  </r>
  <r>
    <s v="ded75b29-e878-419c-9197-34767930ff03"/>
    <x v="51"/>
    <x v="1"/>
    <x v="87"/>
    <x v="1"/>
    <x v="26"/>
    <s v="2025-03-06"/>
    <x v="3"/>
    <x v="6"/>
    <x v="1"/>
    <n v="775.75"/>
    <s v="15% off"/>
    <n v="116.3625"/>
    <x v="0"/>
    <x v="0"/>
    <n v="659.38750000000005"/>
    <x v="0"/>
    <n v="4"/>
    <s v="Good"/>
  </r>
  <r>
    <s v="14893be1-27e8-4f70-aa44-6badd470ccdc"/>
    <x v="29"/>
    <x v="0"/>
    <x v="88"/>
    <x v="5"/>
    <x v="9"/>
    <s v="2024-10-10"/>
    <x v="3"/>
    <x v="5"/>
    <x v="0"/>
    <n v="452.97"/>
    <s v="5% off"/>
    <n v="22.648500000000002"/>
    <x v="0"/>
    <x v="0"/>
    <n v="430.32150000000001"/>
    <x v="3"/>
    <n v="4"/>
    <s v="Good"/>
  </r>
  <r>
    <s v="ecb0d721-c127-4860-93ca-e7f0771442af"/>
    <x v="1"/>
    <x v="1"/>
    <x v="89"/>
    <x v="0"/>
    <x v="7"/>
    <s v="2025-03-12"/>
    <x v="4"/>
    <x v="6"/>
    <x v="1"/>
    <n v="78.349999999999994"/>
    <s v="0% off"/>
    <n v="0"/>
    <x v="1"/>
    <x v="0"/>
    <n v="78.349999999999994"/>
    <x v="0"/>
    <n v="3"/>
    <s v="Average"/>
  </r>
  <r>
    <s v="b8717f2f-ce25-4f9d-8bb0-7e324e17c3d1"/>
    <x v="19"/>
    <x v="1"/>
    <x v="90"/>
    <x v="5"/>
    <x v="16"/>
    <s v="2025-01-09"/>
    <x v="3"/>
    <x v="9"/>
    <x v="1"/>
    <n v="592.26"/>
    <s v="10% off"/>
    <n v="59.225999999999999"/>
    <x v="0"/>
    <x v="0"/>
    <n v="533.03399999999999"/>
    <x v="1"/>
    <n v="5"/>
    <s v="Excellent"/>
  </r>
  <r>
    <s v="e45718fd-8a80-415c-bebb-ffb03732fc07"/>
    <x v="38"/>
    <x v="0"/>
    <x v="91"/>
    <x v="5"/>
    <x v="9"/>
    <s v="2024-04-17"/>
    <x v="4"/>
    <x v="0"/>
    <x v="0"/>
    <n v="452.97"/>
    <s v="5% off"/>
    <n v="22.648500000000002"/>
    <x v="0"/>
    <x v="0"/>
    <n v="430.32150000000001"/>
    <x v="1"/>
    <n v="2"/>
    <s v="Poor"/>
  </r>
  <r>
    <s v="2da4c287-1ce8-4865-a792-ebe0894294aa"/>
    <x v="28"/>
    <x v="1"/>
    <x v="92"/>
    <x v="4"/>
    <x v="17"/>
    <s v="2024-09-22"/>
    <x v="5"/>
    <x v="10"/>
    <x v="0"/>
    <n v="315.56"/>
    <s v="5% off"/>
    <n v="15.778"/>
    <x v="0"/>
    <x v="0"/>
    <n v="299.78199999999998"/>
    <x v="1"/>
    <n v="4"/>
    <s v="Good"/>
  </r>
  <r>
    <s v="6495feb4-b0a2-4576-bf13-6131ac238d06"/>
    <x v="29"/>
    <x v="0"/>
    <x v="93"/>
    <x v="4"/>
    <x v="4"/>
    <s v="2024-04-19"/>
    <x v="0"/>
    <x v="0"/>
    <x v="0"/>
    <n v="512.94000000000005"/>
    <s v="10% off"/>
    <n v="51.294000000000011"/>
    <x v="0"/>
    <x v="0"/>
    <n v="461.64600000000007"/>
    <x v="0"/>
    <n v="5"/>
    <s v="Excellent"/>
  </r>
  <r>
    <s v="a9c70286-c5cb-49ae-8d18-b01bec192621"/>
    <x v="26"/>
    <x v="1"/>
    <x v="56"/>
    <x v="4"/>
    <x v="4"/>
    <s v="2024-12-13"/>
    <x v="0"/>
    <x v="7"/>
    <x v="0"/>
    <n v="512.94000000000005"/>
    <s v="10% off"/>
    <n v="51.294000000000011"/>
    <x v="0"/>
    <x v="0"/>
    <n v="461.64600000000007"/>
    <x v="2"/>
    <n v="1"/>
    <s v="Very Poor"/>
  </r>
  <r>
    <s v="4acf5e12-591f-4b13-be00-e81e49320805"/>
    <x v="43"/>
    <x v="0"/>
    <x v="94"/>
    <x v="4"/>
    <x v="20"/>
    <s v="2024-10-14"/>
    <x v="6"/>
    <x v="5"/>
    <x v="0"/>
    <n v="260.77999999999997"/>
    <s v="5% off"/>
    <n v="13.039"/>
    <x v="0"/>
    <x v="1"/>
    <n v="247.74099999999999"/>
    <x v="3"/>
    <n v="5"/>
    <s v="Excellent"/>
  </r>
  <r>
    <s v="949db6ac-70c9-4d47-bd56-13ed3bb6424a"/>
    <x v="15"/>
    <x v="1"/>
    <x v="89"/>
    <x v="3"/>
    <x v="15"/>
    <s v="2024-07-22"/>
    <x v="6"/>
    <x v="2"/>
    <x v="0"/>
    <n v="855.21"/>
    <s v="15% off"/>
    <n v="128.28149999999999"/>
    <x v="0"/>
    <x v="1"/>
    <n v="726.92849999999999"/>
    <x v="2"/>
    <n v="1"/>
    <s v="Very Poor"/>
  </r>
  <r>
    <s v="94376aec-9464-49e2-ba34-37b32b4db4ef"/>
    <x v="21"/>
    <x v="1"/>
    <x v="95"/>
    <x v="6"/>
    <x v="13"/>
    <s v="2024-05-09"/>
    <x v="3"/>
    <x v="4"/>
    <x v="0"/>
    <n v="418.55"/>
    <s v="5% off"/>
    <n v="20.927500000000002"/>
    <x v="0"/>
    <x v="1"/>
    <n v="397.6225"/>
    <x v="0"/>
    <n v="5"/>
    <s v="Excellent"/>
  </r>
  <r>
    <s v="56bcc972-8311-4258-840a-f741c97b5e5c"/>
    <x v="22"/>
    <x v="1"/>
    <x v="96"/>
    <x v="6"/>
    <x v="13"/>
    <s v="2024-09-19"/>
    <x v="3"/>
    <x v="10"/>
    <x v="0"/>
    <n v="418.55"/>
    <s v="5% off"/>
    <m/>
    <x v="0"/>
    <x v="0"/>
    <n v="418.55"/>
    <x v="2"/>
    <n v="4"/>
    <s v="Good"/>
  </r>
  <r>
    <s v="4c72c280-0233-4756-9caa-95b2f232abdb"/>
    <x v="23"/>
    <x v="0"/>
    <x v="58"/>
    <x v="3"/>
    <x v="19"/>
    <s v="2024-10-05"/>
    <x v="2"/>
    <x v="5"/>
    <x v="0"/>
    <n v="165.68"/>
    <s v="5% off"/>
    <m/>
    <x v="0"/>
    <x v="1"/>
    <n v="165.68"/>
    <x v="0"/>
    <n v="2"/>
    <s v="Poor"/>
  </r>
  <r>
    <s v="b74d561f-9eaf-42d8-a8ed-15c159f2e4db"/>
    <x v="25"/>
    <x v="1"/>
    <x v="90"/>
    <x v="3"/>
    <x v="12"/>
    <s v="2024-11-02"/>
    <x v="2"/>
    <x v="1"/>
    <x v="0"/>
    <n v="270.41000000000003"/>
    <s v="5% off"/>
    <m/>
    <x v="0"/>
    <x v="1"/>
    <n v="270.41000000000003"/>
    <x v="2"/>
    <n v="5"/>
    <s v="Excellent"/>
  </r>
  <r>
    <s v="089bf5f7-4c77-4266-85a9-74964adc6d34"/>
    <x v="9"/>
    <x v="1"/>
    <x v="91"/>
    <x v="0"/>
    <x v="22"/>
    <s v="2025-03-08"/>
    <x v="2"/>
    <x v="6"/>
    <x v="1"/>
    <n v="485.26"/>
    <s v="5% off"/>
    <m/>
    <x v="0"/>
    <x v="1"/>
    <n v="485.26"/>
    <x v="1"/>
    <n v="4"/>
    <s v="Good"/>
  </r>
  <r>
    <s v="2fe8d493-0811-498f-bf9d-3c29f30bb3e8"/>
    <x v="39"/>
    <x v="1"/>
    <x v="97"/>
    <x v="6"/>
    <x v="13"/>
    <s v="2025-02-07"/>
    <x v="0"/>
    <x v="8"/>
    <x v="1"/>
    <n v="418.55"/>
    <s v="5% off"/>
    <m/>
    <x v="0"/>
    <x v="1"/>
    <n v="418.55"/>
    <x v="0"/>
    <n v="2"/>
    <s v="Poor"/>
  </r>
  <r>
    <s v="995d7575-6867-4a8a-b5cd-0962766dc65b"/>
    <x v="40"/>
    <x v="1"/>
    <x v="98"/>
    <x v="5"/>
    <x v="16"/>
    <s v="2025-02-12"/>
    <x v="4"/>
    <x v="8"/>
    <x v="1"/>
    <n v="592.26"/>
    <s v="10% off"/>
    <m/>
    <x v="0"/>
    <x v="1"/>
    <n v="592.26"/>
    <x v="2"/>
    <n v="5"/>
    <s v="Excellent"/>
  </r>
  <r>
    <s v="34a744f2-af5d-4f09-9ca1-d642270807ab"/>
    <x v="6"/>
    <x v="0"/>
    <x v="99"/>
    <x v="5"/>
    <x v="6"/>
    <s v="2024-06-06"/>
    <x v="3"/>
    <x v="11"/>
    <x v="0"/>
    <n v="76.81"/>
    <s v="0% off"/>
    <m/>
    <x v="1"/>
    <x v="0"/>
    <n v="76.81"/>
    <x v="0"/>
    <n v="1"/>
    <s v="Very Poor"/>
  </r>
  <r>
    <s v="6125e032-8bf1-41fb-8a76-0dbcc2bfdc62"/>
    <x v="11"/>
    <x v="0"/>
    <x v="100"/>
    <x v="6"/>
    <x v="13"/>
    <s v="2024-12-23"/>
    <x v="6"/>
    <x v="7"/>
    <x v="0"/>
    <n v="418.55"/>
    <s v="5% off"/>
    <m/>
    <x v="0"/>
    <x v="1"/>
    <n v="418.55"/>
    <x v="1"/>
    <n v="2"/>
    <s v="Poor"/>
  </r>
  <r>
    <s v="964b012d-f127-46e4-b7e2-baba2bfd9f61"/>
    <x v="28"/>
    <x v="1"/>
    <x v="101"/>
    <x v="5"/>
    <x v="9"/>
    <s v="2024-11-19"/>
    <x v="1"/>
    <x v="1"/>
    <x v="0"/>
    <n v="452.97"/>
    <s v="5% off"/>
    <m/>
    <x v="0"/>
    <x v="1"/>
    <n v="452.97"/>
    <x v="2"/>
    <n v="1"/>
    <s v="Very Poor"/>
  </r>
  <r>
    <s v="3343a359-c836-4ac9-940c-ace8c488b6b4"/>
    <x v="20"/>
    <x v="0"/>
    <x v="102"/>
    <x v="5"/>
    <x v="16"/>
    <s v="2024-12-22"/>
    <x v="5"/>
    <x v="7"/>
    <x v="0"/>
    <n v="592.26"/>
    <s v="10% off"/>
    <m/>
    <x v="0"/>
    <x v="0"/>
    <n v="592.26"/>
    <x v="1"/>
    <n v="5"/>
    <s v="Excellent"/>
  </r>
  <r>
    <s v="56cee883-ad8b-4965-b1a7-7b742a4394c3"/>
    <x v="11"/>
    <x v="0"/>
    <x v="103"/>
    <x v="1"/>
    <x v="1"/>
    <s v="2024-07-04"/>
    <x v="3"/>
    <x v="2"/>
    <x v="0"/>
    <n v="67.040000000000006"/>
    <s v="0% off"/>
    <m/>
    <x v="1"/>
    <x v="0"/>
    <n v="67.040000000000006"/>
    <x v="0"/>
    <n v="5"/>
    <s v="Excellent"/>
  </r>
  <r>
    <s v="53f4fb65-032a-46be-be26-cbd066d41b22"/>
    <x v="40"/>
    <x v="0"/>
    <x v="104"/>
    <x v="4"/>
    <x v="17"/>
    <s v="2025-01-30"/>
    <x v="3"/>
    <x v="9"/>
    <x v="1"/>
    <n v="315.56"/>
    <s v="5% off"/>
    <m/>
    <x v="0"/>
    <x v="0"/>
    <n v="315.56"/>
    <x v="0"/>
    <n v="2"/>
    <s v="Poor"/>
  </r>
  <r>
    <s v="de513b4a-0e74-42be-9f23-4a2a89886193"/>
    <x v="39"/>
    <x v="1"/>
    <x v="105"/>
    <x v="3"/>
    <x v="19"/>
    <s v="2024-11-28"/>
    <x v="3"/>
    <x v="1"/>
    <x v="0"/>
    <n v="165.68"/>
    <s v="5% off"/>
    <m/>
    <x v="0"/>
    <x v="1"/>
    <n v="165.68"/>
    <x v="1"/>
    <n v="1"/>
    <s v="Very Poor"/>
  </r>
  <r>
    <s v="f9055611-925a-45ab-ba38-a5f8f22586b0"/>
    <x v="51"/>
    <x v="1"/>
    <x v="106"/>
    <x v="5"/>
    <x v="6"/>
    <s v="2024-05-19"/>
    <x v="5"/>
    <x v="4"/>
    <x v="0"/>
    <n v="76.81"/>
    <s v="0% off"/>
    <m/>
    <x v="1"/>
    <x v="1"/>
    <n v="76.81"/>
    <x v="1"/>
    <n v="1"/>
    <s v="Very Poor"/>
  </r>
  <r>
    <s v="5739f73b-92b1-46e4-9e90-a1bc01a825a2"/>
    <x v="20"/>
    <x v="1"/>
    <x v="89"/>
    <x v="4"/>
    <x v="4"/>
    <s v="2024-10-30"/>
    <x v="4"/>
    <x v="5"/>
    <x v="0"/>
    <n v="512.94000000000005"/>
    <s v="10% off"/>
    <m/>
    <x v="0"/>
    <x v="0"/>
    <n v="512.94000000000005"/>
    <x v="2"/>
    <n v="2"/>
    <s v="Poor"/>
  </r>
  <r>
    <s v="287d21e5-8742-48a7-8ee4-55b57f55629d"/>
    <x v="45"/>
    <x v="1"/>
    <x v="107"/>
    <x v="2"/>
    <x v="18"/>
    <s v="2025-03-02"/>
    <x v="5"/>
    <x v="6"/>
    <x v="1"/>
    <n v="492.1"/>
    <s v="5% off"/>
    <m/>
    <x v="0"/>
    <x v="1"/>
    <n v="492.1"/>
    <x v="0"/>
    <n v="5"/>
    <s v="Excellent"/>
  </r>
  <r>
    <s v="b2ddc1d2-d245-4772-9a06-27a72d70abaa"/>
    <x v="11"/>
    <x v="1"/>
    <x v="108"/>
    <x v="1"/>
    <x v="26"/>
    <s v="2025-02-12"/>
    <x v="4"/>
    <x v="8"/>
    <x v="1"/>
    <n v="775.75"/>
    <s v="15% off"/>
    <m/>
    <x v="0"/>
    <x v="0"/>
    <n v="775.75"/>
    <x v="1"/>
    <n v="1"/>
    <s v="Very Poor"/>
  </r>
  <r>
    <s v="f0104077-f9cd-4046-a036-53f5a014bac2"/>
    <x v="50"/>
    <x v="0"/>
    <x v="109"/>
    <x v="4"/>
    <x v="20"/>
    <s v="2024-11-30"/>
    <x v="2"/>
    <x v="1"/>
    <x v="0"/>
    <n v="260.77999999999997"/>
    <s v="5% off"/>
    <m/>
    <x v="0"/>
    <x v="1"/>
    <n v="260.77999999999997"/>
    <x v="2"/>
    <n v="5"/>
    <s v="Excellent"/>
  </r>
  <r>
    <s v="72ed5514-a1ec-481f-9701-2282c7865797"/>
    <x v="35"/>
    <x v="0"/>
    <x v="110"/>
    <x v="3"/>
    <x v="3"/>
    <s v="2024-06-10"/>
    <x v="6"/>
    <x v="11"/>
    <x v="0"/>
    <n v="211.46"/>
    <s v="5% off"/>
    <m/>
    <x v="0"/>
    <x v="0"/>
    <n v="211.46"/>
    <x v="1"/>
    <n v="4"/>
    <s v="Good"/>
  </r>
  <r>
    <s v="67c4e121-6ac8-4a24-97f0-8efbabcffa99"/>
    <x v="14"/>
    <x v="1"/>
    <x v="111"/>
    <x v="6"/>
    <x v="14"/>
    <s v="2024-11-17"/>
    <x v="5"/>
    <x v="1"/>
    <x v="0"/>
    <n v="965.09"/>
    <s v="20% off"/>
    <m/>
    <x v="0"/>
    <x v="0"/>
    <n v="965.09"/>
    <x v="3"/>
    <n v="2"/>
    <s v="Poor"/>
  </r>
  <r>
    <s v="4d8d9a10-9827-4961-bdc2-dfa9669de560"/>
    <x v="19"/>
    <x v="0"/>
    <x v="59"/>
    <x v="6"/>
    <x v="10"/>
    <s v="2024-04-16"/>
    <x v="1"/>
    <x v="0"/>
    <x v="0"/>
    <n v="782.29"/>
    <s v="15% off"/>
    <m/>
    <x v="0"/>
    <x v="0"/>
    <n v="782.29"/>
    <x v="1"/>
    <n v="3"/>
    <s v="Average"/>
  </r>
  <r>
    <s v="70b92e37-0e15-4965-aef8-94ec9ebe068f"/>
    <x v="38"/>
    <x v="0"/>
    <x v="112"/>
    <x v="2"/>
    <x v="27"/>
    <s v="2024-04-11"/>
    <x v="3"/>
    <x v="0"/>
    <x v="0"/>
    <n v="340.04"/>
    <s v="5% off"/>
    <m/>
    <x v="0"/>
    <x v="1"/>
    <n v="340.04"/>
    <x v="0"/>
    <n v="5"/>
    <s v="Excellent"/>
  </r>
  <r>
    <s v="ff3f04cb-9e88-4cf4-9c63-0ca469ea4d88"/>
    <x v="34"/>
    <x v="1"/>
    <x v="113"/>
    <x v="1"/>
    <x v="23"/>
    <s v="2025-01-01"/>
    <x v="4"/>
    <x v="9"/>
    <x v="1"/>
    <n v="362.55"/>
    <s v="5% off"/>
    <m/>
    <x v="0"/>
    <x v="1"/>
    <n v="362.55"/>
    <x v="3"/>
    <n v="4"/>
    <s v="Good"/>
  </r>
  <r>
    <s v="eb7bc59c-a618-471e-bd0c-9cc9d83dee77"/>
    <x v="11"/>
    <x v="0"/>
    <x v="114"/>
    <x v="0"/>
    <x v="11"/>
    <s v="2025-01-03"/>
    <x v="0"/>
    <x v="9"/>
    <x v="1"/>
    <n v="116.78"/>
    <s v="0% off"/>
    <m/>
    <x v="1"/>
    <x v="1"/>
    <n v="116.78"/>
    <x v="0"/>
    <n v="3"/>
    <s v="Average"/>
  </r>
  <r>
    <s v="b9523557-7a19-43b9-b942-6f62cd2e1177"/>
    <x v="7"/>
    <x v="1"/>
    <x v="115"/>
    <x v="1"/>
    <x v="26"/>
    <s v="2024-10-03"/>
    <x v="3"/>
    <x v="5"/>
    <x v="0"/>
    <n v="775.75"/>
    <s v="15% off"/>
    <m/>
    <x v="0"/>
    <x v="1"/>
    <n v="775.75"/>
    <x v="2"/>
    <n v="5"/>
    <s v="Excellent"/>
  </r>
  <r>
    <s v="ffba709f-96d0-432b-af0d-650a477946c1"/>
    <x v="8"/>
    <x v="1"/>
    <x v="116"/>
    <x v="6"/>
    <x v="10"/>
    <s v="2024-11-18"/>
    <x v="6"/>
    <x v="1"/>
    <x v="0"/>
    <n v="782.29"/>
    <s v="15% off"/>
    <m/>
    <x v="0"/>
    <x v="0"/>
    <n v="782.29"/>
    <x v="3"/>
    <n v="3"/>
    <s v="Average"/>
  </r>
  <r>
    <s v="6fe6c611-f0af-4c3a-b5d2-e0cc47c61880"/>
    <x v="30"/>
    <x v="1"/>
    <x v="117"/>
    <x v="6"/>
    <x v="10"/>
    <s v="2024-05-17"/>
    <x v="0"/>
    <x v="4"/>
    <x v="0"/>
    <n v="782.29"/>
    <s v="15% off"/>
    <m/>
    <x v="0"/>
    <x v="0"/>
    <n v="782.29"/>
    <x v="3"/>
    <n v="1"/>
    <s v="Very Poor"/>
  </r>
  <r>
    <s v="92cce7e0-3a2a-4c60-a6f0-fb26f8f03b6d"/>
    <x v="1"/>
    <x v="0"/>
    <x v="118"/>
    <x v="6"/>
    <x v="10"/>
    <s v="2024-09-15"/>
    <x v="5"/>
    <x v="10"/>
    <x v="0"/>
    <n v="782.29"/>
    <s v="15% off"/>
    <m/>
    <x v="0"/>
    <x v="0"/>
    <n v="782.29"/>
    <x v="2"/>
    <n v="5"/>
    <s v="Excellent"/>
  </r>
  <r>
    <s v="10f840f2-a154-4aca-97a1-7a745583e185"/>
    <x v="23"/>
    <x v="0"/>
    <x v="119"/>
    <x v="6"/>
    <x v="13"/>
    <s v="2024-05-13"/>
    <x v="6"/>
    <x v="4"/>
    <x v="0"/>
    <n v="418.55"/>
    <s v="5% off"/>
    <m/>
    <x v="0"/>
    <x v="0"/>
    <n v="418.55"/>
    <x v="0"/>
    <n v="3"/>
    <s v="Average"/>
  </r>
  <r>
    <s v="a1b78da6-3074-4976-a8c9-5f317c351c89"/>
    <x v="8"/>
    <x v="0"/>
    <x v="120"/>
    <x v="5"/>
    <x v="6"/>
    <s v="2024-04-01"/>
    <x v="6"/>
    <x v="0"/>
    <x v="0"/>
    <n v="76.81"/>
    <s v="0% off"/>
    <m/>
    <x v="1"/>
    <x v="0"/>
    <n v="76.81"/>
    <x v="0"/>
    <n v="3"/>
    <s v="Average"/>
  </r>
  <r>
    <s v="326007cb-e16e-4f4f-89da-0bd72bb2091b"/>
    <x v="6"/>
    <x v="1"/>
    <x v="121"/>
    <x v="2"/>
    <x v="24"/>
    <s v="2025-01-23"/>
    <x v="3"/>
    <x v="9"/>
    <x v="1"/>
    <n v="52.44"/>
    <s v="0% off"/>
    <m/>
    <x v="1"/>
    <x v="0"/>
    <n v="52.44"/>
    <x v="3"/>
    <n v="2"/>
    <s v="Poor"/>
  </r>
  <r>
    <s v="97a54255-ef1d-40ff-8084-73297e390dc1"/>
    <x v="14"/>
    <x v="0"/>
    <x v="122"/>
    <x v="1"/>
    <x v="23"/>
    <s v="2025-03-17"/>
    <x v="6"/>
    <x v="6"/>
    <x v="1"/>
    <n v="362.55"/>
    <s v="5% off"/>
    <m/>
    <x v="0"/>
    <x v="1"/>
    <n v="362.55"/>
    <x v="0"/>
    <n v="3"/>
    <s v="Average"/>
  </r>
  <r>
    <s v="158f8170-0d8e-47fb-b9cc-c74fd2d08179"/>
    <x v="35"/>
    <x v="0"/>
    <x v="123"/>
    <x v="3"/>
    <x v="15"/>
    <s v="2024-10-14"/>
    <x v="6"/>
    <x v="5"/>
    <x v="0"/>
    <n v="855.21"/>
    <s v="15% off"/>
    <m/>
    <x v="0"/>
    <x v="1"/>
    <n v="855.21"/>
    <x v="3"/>
    <n v="5"/>
    <s v="Excellent"/>
  </r>
  <r>
    <s v="381a7b42-8c79-4994-9587-470533d1c6a9"/>
    <x v="13"/>
    <x v="0"/>
    <x v="124"/>
    <x v="5"/>
    <x v="16"/>
    <s v="2024-07-26"/>
    <x v="0"/>
    <x v="2"/>
    <x v="0"/>
    <n v="592.26"/>
    <s v="10% off"/>
    <m/>
    <x v="0"/>
    <x v="0"/>
    <n v="592.26"/>
    <x v="0"/>
    <n v="3"/>
    <s v="Average"/>
  </r>
  <r>
    <s v="3823edfa-03bf-473f-b781-39785edde7b2"/>
    <x v="18"/>
    <x v="0"/>
    <x v="125"/>
    <x v="0"/>
    <x v="11"/>
    <s v="2024-12-02"/>
    <x v="6"/>
    <x v="7"/>
    <x v="0"/>
    <n v="116.78"/>
    <s v="0% off"/>
    <m/>
    <x v="1"/>
    <x v="1"/>
    <n v="116.78"/>
    <x v="2"/>
    <n v="2"/>
    <s v="Poor"/>
  </r>
  <r>
    <s v="7a968a9e-2ed0-4acd-b13a-47cf92a2a39b"/>
    <x v="34"/>
    <x v="0"/>
    <x v="126"/>
    <x v="3"/>
    <x v="19"/>
    <s v="2024-10-28"/>
    <x v="6"/>
    <x v="5"/>
    <x v="0"/>
    <n v="165.68"/>
    <s v="5% off"/>
    <m/>
    <x v="0"/>
    <x v="0"/>
    <n v="165.68"/>
    <x v="0"/>
    <n v="5"/>
    <s v="Excellent"/>
  </r>
  <r>
    <s v="eac011c7-ad0c-4927-b09d-4a718bcd74a6"/>
    <x v="27"/>
    <x v="1"/>
    <x v="127"/>
    <x v="6"/>
    <x v="10"/>
    <s v="2025-03-14"/>
    <x v="0"/>
    <x v="6"/>
    <x v="1"/>
    <n v="782.29"/>
    <s v="15% off"/>
    <m/>
    <x v="0"/>
    <x v="0"/>
    <n v="782.29"/>
    <x v="2"/>
    <n v="3"/>
    <s v="Average"/>
  </r>
  <r>
    <s v="5d8f426b-8d8b-4354-a9b4-c951b895ef07"/>
    <x v="40"/>
    <x v="0"/>
    <x v="128"/>
    <x v="2"/>
    <x v="2"/>
    <s v="2025-03-12"/>
    <x v="4"/>
    <x v="6"/>
    <x v="1"/>
    <n v="493.96"/>
    <s v="5% off"/>
    <m/>
    <x v="0"/>
    <x v="1"/>
    <n v="493.96"/>
    <x v="3"/>
    <n v="5"/>
    <s v="Excellent"/>
  </r>
  <r>
    <s v="e6fb15f6-32d0-4e97-92b2-fc8f8eedbd21"/>
    <x v="42"/>
    <x v="0"/>
    <x v="129"/>
    <x v="1"/>
    <x v="25"/>
    <s v="2025-03-21"/>
    <x v="0"/>
    <x v="6"/>
    <x v="1"/>
    <n v="527.16999999999996"/>
    <s v="10% off"/>
    <m/>
    <x v="0"/>
    <x v="0"/>
    <n v="527.16999999999996"/>
    <x v="1"/>
    <n v="2"/>
    <s v="Poor"/>
  </r>
  <r>
    <s v="12882df0-1b9e-482b-9393-c0417c7691be"/>
    <x v="48"/>
    <x v="0"/>
    <x v="130"/>
    <x v="3"/>
    <x v="12"/>
    <s v="2024-06-14"/>
    <x v="0"/>
    <x v="11"/>
    <x v="0"/>
    <n v="270.41000000000003"/>
    <s v="5% off"/>
    <m/>
    <x v="0"/>
    <x v="0"/>
    <n v="270.41000000000003"/>
    <x v="1"/>
    <n v="1"/>
    <s v="Very Poor"/>
  </r>
  <r>
    <s v="344bbb21-e90b-4272-82d9-a4b4526ce1e0"/>
    <x v="40"/>
    <x v="0"/>
    <x v="131"/>
    <x v="1"/>
    <x v="25"/>
    <s v="2025-01-11"/>
    <x v="2"/>
    <x v="9"/>
    <x v="1"/>
    <n v="527.16999999999996"/>
    <s v="10% off"/>
    <m/>
    <x v="0"/>
    <x v="1"/>
    <n v="527.16999999999996"/>
    <x v="0"/>
    <n v="3"/>
    <s v="Average"/>
  </r>
  <r>
    <s v="dbdfe354-a169-43cf-ae2c-d83efabc3398"/>
    <x v="32"/>
    <x v="1"/>
    <x v="132"/>
    <x v="4"/>
    <x v="17"/>
    <s v="2024-08-03"/>
    <x v="2"/>
    <x v="3"/>
    <x v="0"/>
    <n v="315.56"/>
    <s v="5% off"/>
    <m/>
    <x v="0"/>
    <x v="1"/>
    <n v="315.56"/>
    <x v="1"/>
    <n v="5"/>
    <s v="Excellent"/>
  </r>
  <r>
    <s v="b6260fef-d75d-4179-aea6-5789db2f1966"/>
    <x v="38"/>
    <x v="1"/>
    <x v="72"/>
    <x v="5"/>
    <x v="16"/>
    <s v="2024-10-03"/>
    <x v="3"/>
    <x v="5"/>
    <x v="0"/>
    <n v="592.26"/>
    <s v="10% off"/>
    <m/>
    <x v="0"/>
    <x v="0"/>
    <n v="592.26"/>
    <x v="3"/>
    <n v="2"/>
    <s v="Poor"/>
  </r>
  <r>
    <s v="7d6d1619-e622-4dd2-9ac6-588faa206b6f"/>
    <x v="40"/>
    <x v="1"/>
    <x v="75"/>
    <x v="6"/>
    <x v="10"/>
    <s v="2024-05-22"/>
    <x v="4"/>
    <x v="4"/>
    <x v="0"/>
    <n v="782.29"/>
    <s v="15% off"/>
    <m/>
    <x v="0"/>
    <x v="1"/>
    <n v="782.29"/>
    <x v="1"/>
    <n v="3"/>
    <s v="Average"/>
  </r>
  <r>
    <s v="46619bb4-5430-4134-ba95-619d2a38b93e"/>
    <x v="40"/>
    <x v="1"/>
    <x v="76"/>
    <x v="4"/>
    <x v="20"/>
    <s v="2024-08-19"/>
    <x v="6"/>
    <x v="3"/>
    <x v="0"/>
    <n v="260.77999999999997"/>
    <s v="5% off"/>
    <m/>
    <x v="0"/>
    <x v="1"/>
    <n v="260.77999999999997"/>
    <x v="3"/>
    <n v="4"/>
    <s v="Good"/>
  </r>
  <r>
    <s v="acbbb482-5cc0-47db-9284-409e60270f81"/>
    <x v="4"/>
    <x v="0"/>
    <x v="133"/>
    <x v="4"/>
    <x v="17"/>
    <s v="2024-06-24"/>
    <x v="6"/>
    <x v="11"/>
    <x v="0"/>
    <n v="315.56"/>
    <s v="5% off"/>
    <m/>
    <x v="0"/>
    <x v="1"/>
    <n v="315.56"/>
    <x v="3"/>
    <n v="3"/>
    <s v="Average"/>
  </r>
  <r>
    <s v="cb552a9e-89c8-498f-994f-9aaac34781bc"/>
    <x v="17"/>
    <x v="0"/>
    <x v="134"/>
    <x v="6"/>
    <x v="13"/>
    <s v="2025-02-27"/>
    <x v="3"/>
    <x v="8"/>
    <x v="1"/>
    <n v="418.55"/>
    <s v="5% off"/>
    <m/>
    <x v="0"/>
    <x v="0"/>
    <n v="418.55"/>
    <x v="0"/>
    <n v="5"/>
    <s v="Excellent"/>
  </r>
  <r>
    <s v="9620476b-b072-49bf-934a-7de4af73ac6f"/>
    <x v="45"/>
    <x v="1"/>
    <x v="135"/>
    <x v="5"/>
    <x v="9"/>
    <s v="2024-04-23"/>
    <x v="1"/>
    <x v="0"/>
    <x v="0"/>
    <n v="452.97"/>
    <s v="5% off"/>
    <m/>
    <x v="0"/>
    <x v="0"/>
    <n v="452.97"/>
    <x v="1"/>
    <n v="1"/>
    <s v="Very Poor"/>
  </r>
  <r>
    <s v="85472b44-0861-44cc-b94c-7f4313a254b7"/>
    <x v="31"/>
    <x v="1"/>
    <x v="136"/>
    <x v="1"/>
    <x v="25"/>
    <s v="2025-03-11"/>
    <x v="1"/>
    <x v="6"/>
    <x v="1"/>
    <n v="527.16999999999996"/>
    <s v="10% off"/>
    <m/>
    <x v="0"/>
    <x v="1"/>
    <n v="527.16999999999996"/>
    <x v="0"/>
    <n v="2"/>
    <s v="Poor"/>
  </r>
  <r>
    <s v="652bd603-1c90-4920-b7d3-790da7a30657"/>
    <x v="32"/>
    <x v="1"/>
    <x v="137"/>
    <x v="4"/>
    <x v="20"/>
    <s v="2024-10-12"/>
    <x v="2"/>
    <x v="5"/>
    <x v="0"/>
    <n v="260.77999999999997"/>
    <s v="5% off"/>
    <m/>
    <x v="0"/>
    <x v="1"/>
    <n v="260.77999999999997"/>
    <x v="1"/>
    <n v="2"/>
    <s v="Poor"/>
  </r>
  <r>
    <s v="73673efb-bb8e-45d3-8038-83bd7239670c"/>
    <x v="14"/>
    <x v="0"/>
    <x v="0"/>
    <x v="5"/>
    <x v="9"/>
    <s v="2024-10-05"/>
    <x v="2"/>
    <x v="5"/>
    <x v="0"/>
    <n v="452.97"/>
    <s v="5% off"/>
    <m/>
    <x v="0"/>
    <x v="0"/>
    <n v="452.97"/>
    <x v="0"/>
    <n v="2"/>
    <s v="Poor"/>
  </r>
  <r>
    <s v="dc712a84-3bbf-4d4b-839d-fd56d7e663ce"/>
    <x v="5"/>
    <x v="0"/>
    <x v="1"/>
    <x v="3"/>
    <x v="15"/>
    <s v="2024-04-19"/>
    <x v="0"/>
    <x v="0"/>
    <x v="0"/>
    <n v="855.21"/>
    <s v="15% off"/>
    <m/>
    <x v="0"/>
    <x v="0"/>
    <n v="855.21"/>
    <x v="2"/>
    <n v="3"/>
    <s v="Average"/>
  </r>
  <r>
    <s v="04d04323-48f5-48a3-a984-cad1c2ecd87b"/>
    <x v="40"/>
    <x v="0"/>
    <x v="2"/>
    <x v="0"/>
    <x v="22"/>
    <s v="2024-12-02"/>
    <x v="6"/>
    <x v="7"/>
    <x v="0"/>
    <n v="485.26"/>
    <s v="5% off"/>
    <m/>
    <x v="0"/>
    <x v="1"/>
    <n v="485.26"/>
    <x v="2"/>
    <n v="3"/>
    <s v="Average"/>
  </r>
  <r>
    <s v="dcb47833-691c-4d2d-8eff-97901a4f852a"/>
    <x v="6"/>
    <x v="0"/>
    <x v="3"/>
    <x v="3"/>
    <x v="3"/>
    <s v="2024-11-22"/>
    <x v="0"/>
    <x v="1"/>
    <x v="0"/>
    <n v="211.46"/>
    <s v="5% off"/>
    <m/>
    <x v="0"/>
    <x v="1"/>
    <n v="211.46"/>
    <x v="0"/>
    <n v="3"/>
    <s v="Average"/>
  </r>
  <r>
    <s v="d83353f7-de8b-4563-9e07-7eb5d8ee0248"/>
    <x v="35"/>
    <x v="0"/>
    <x v="4"/>
    <x v="3"/>
    <x v="15"/>
    <s v="2024-08-02"/>
    <x v="0"/>
    <x v="3"/>
    <x v="0"/>
    <n v="855.21"/>
    <s v="15% off"/>
    <m/>
    <x v="0"/>
    <x v="1"/>
    <n v="855.21"/>
    <x v="3"/>
    <n v="1"/>
    <s v="Very Poor"/>
  </r>
  <r>
    <s v="02d8bce2-fa44-410b-9def-238acb46d1b8"/>
    <x v="30"/>
    <x v="1"/>
    <x v="5"/>
    <x v="0"/>
    <x v="0"/>
    <s v="2024-06-25"/>
    <x v="1"/>
    <x v="11"/>
    <x v="0"/>
    <n v="697.86"/>
    <s v="10% off"/>
    <m/>
    <x v="0"/>
    <x v="1"/>
    <n v="697.86"/>
    <x v="1"/>
    <n v="5"/>
    <s v="Excellent"/>
  </r>
  <r>
    <s v="bcf53af4-3218-4659-b762-1d7c5a8d43c8"/>
    <x v="19"/>
    <x v="0"/>
    <x v="6"/>
    <x v="5"/>
    <x v="6"/>
    <s v="2024-08-04"/>
    <x v="5"/>
    <x v="3"/>
    <x v="0"/>
    <n v="76.81"/>
    <s v="0% off"/>
    <m/>
    <x v="1"/>
    <x v="1"/>
    <n v="76.81"/>
    <x v="1"/>
    <n v="5"/>
    <s v="Excellent"/>
  </r>
  <r>
    <s v="9abd4330-b7cf-4b0f-ac1d-95734d1595bc"/>
    <x v="50"/>
    <x v="1"/>
    <x v="7"/>
    <x v="2"/>
    <x v="18"/>
    <s v="2024-12-04"/>
    <x v="4"/>
    <x v="7"/>
    <x v="0"/>
    <n v="492.1"/>
    <s v="5% off"/>
    <m/>
    <x v="0"/>
    <x v="0"/>
    <n v="492.1"/>
    <x v="2"/>
    <n v="1"/>
    <s v="Very Poor"/>
  </r>
  <r>
    <s v="f80cbeaa-8972-44ea-b5e7-74cacd42967f"/>
    <x v="11"/>
    <x v="1"/>
    <x v="8"/>
    <x v="0"/>
    <x v="11"/>
    <s v="2024-07-24"/>
    <x v="4"/>
    <x v="2"/>
    <x v="0"/>
    <n v="116.78"/>
    <s v="0% off"/>
    <m/>
    <x v="1"/>
    <x v="1"/>
    <n v="116.78"/>
    <x v="1"/>
    <n v="3"/>
    <s v="Average"/>
  </r>
  <r>
    <s v="4c789e0a-8145-4683-8946-c5a4767fc8cd"/>
    <x v="52"/>
    <x v="1"/>
    <x v="9"/>
    <x v="0"/>
    <x v="22"/>
    <s v="2024-05-24"/>
    <x v="0"/>
    <x v="4"/>
    <x v="0"/>
    <n v="485.26"/>
    <s v="5% off"/>
    <m/>
    <x v="0"/>
    <x v="1"/>
    <n v="485.26"/>
    <x v="1"/>
    <n v="5"/>
    <s v="Excellent"/>
  </r>
  <r>
    <s v="58436148-7d09-4e49-865f-147e5313c4a7"/>
    <x v="4"/>
    <x v="1"/>
    <x v="10"/>
    <x v="6"/>
    <x v="13"/>
    <s v="2024-11-02"/>
    <x v="2"/>
    <x v="1"/>
    <x v="0"/>
    <n v="418.55"/>
    <s v="5% off"/>
    <m/>
    <x v="0"/>
    <x v="1"/>
    <n v="418.55"/>
    <x v="1"/>
    <n v="3"/>
    <s v="Average"/>
  </r>
  <r>
    <s v="aacb707f-b181-4924-99a0-fd1d0df32614"/>
    <x v="16"/>
    <x v="0"/>
    <x v="11"/>
    <x v="6"/>
    <x v="10"/>
    <s v="2024-07-20"/>
    <x v="2"/>
    <x v="2"/>
    <x v="0"/>
    <n v="782.29"/>
    <s v="15% off"/>
    <m/>
    <x v="0"/>
    <x v="1"/>
    <n v="782.29"/>
    <x v="3"/>
    <n v="4"/>
    <s v="Good"/>
  </r>
  <r>
    <s v="58215b1e-ebc5-4db3-912c-45c3400f8411"/>
    <x v="39"/>
    <x v="0"/>
    <x v="12"/>
    <x v="3"/>
    <x v="3"/>
    <s v="2024-04-17"/>
    <x v="4"/>
    <x v="0"/>
    <x v="0"/>
    <n v="211.46"/>
    <s v="5% off"/>
    <m/>
    <x v="0"/>
    <x v="1"/>
    <n v="211.46"/>
    <x v="1"/>
    <n v="1"/>
    <s v="Very Poor"/>
  </r>
  <r>
    <s v="9d708213-1d0f-4be9-8dab-eba29bd7ca8f"/>
    <x v="1"/>
    <x v="0"/>
    <x v="13"/>
    <x v="4"/>
    <x v="4"/>
    <s v="2024-04-20"/>
    <x v="2"/>
    <x v="0"/>
    <x v="0"/>
    <n v="512.94000000000005"/>
    <s v="10% off"/>
    <m/>
    <x v="0"/>
    <x v="0"/>
    <n v="512.94000000000005"/>
    <x v="2"/>
    <n v="4"/>
    <s v="Good"/>
  </r>
  <r>
    <s v="dcdef6ac-67dd-448e-8b21-9cb84fcd4daf"/>
    <x v="38"/>
    <x v="0"/>
    <x v="14"/>
    <x v="0"/>
    <x v="22"/>
    <s v="2024-10-10"/>
    <x v="3"/>
    <x v="5"/>
    <x v="0"/>
    <n v="485.26"/>
    <s v="5% off"/>
    <m/>
    <x v="0"/>
    <x v="0"/>
    <n v="485.26"/>
    <x v="0"/>
    <n v="2"/>
    <s v="Poor"/>
  </r>
  <r>
    <s v="f21d03fc-2f43-4b1d-a0df-455e016767cf"/>
    <x v="19"/>
    <x v="1"/>
    <x v="15"/>
    <x v="3"/>
    <x v="12"/>
    <s v="2024-07-11"/>
    <x v="3"/>
    <x v="2"/>
    <x v="0"/>
    <n v="270.41000000000003"/>
    <s v="5% off"/>
    <m/>
    <x v="0"/>
    <x v="0"/>
    <n v="270.41000000000003"/>
    <x v="0"/>
    <n v="4"/>
    <s v="Good"/>
  </r>
  <r>
    <s v="65715401-ebd6-4000-bf71-2d9958798e65"/>
    <x v="31"/>
    <x v="1"/>
    <x v="16"/>
    <x v="2"/>
    <x v="27"/>
    <s v="2024-09-02"/>
    <x v="6"/>
    <x v="10"/>
    <x v="0"/>
    <n v="340.04"/>
    <s v="5% off"/>
    <m/>
    <x v="0"/>
    <x v="1"/>
    <n v="340.04"/>
    <x v="0"/>
    <n v="4"/>
    <s v="Good"/>
  </r>
  <r>
    <s v="004f030d-70a0-44ed-8868-24a1534b24ec"/>
    <x v="26"/>
    <x v="0"/>
    <x v="17"/>
    <x v="3"/>
    <x v="15"/>
    <s v="2024-09-16"/>
    <x v="6"/>
    <x v="10"/>
    <x v="0"/>
    <n v="855.21"/>
    <s v="15% off"/>
    <m/>
    <x v="0"/>
    <x v="0"/>
    <n v="855.21"/>
    <x v="1"/>
    <n v="4"/>
    <s v="Good"/>
  </r>
  <r>
    <s v="43e4f031-5a61-4054-bd90-0f7d65ad84c9"/>
    <x v="28"/>
    <x v="1"/>
    <x v="18"/>
    <x v="1"/>
    <x v="25"/>
    <s v="2024-08-21"/>
    <x v="4"/>
    <x v="3"/>
    <x v="0"/>
    <n v="527.16999999999996"/>
    <s v="10% off"/>
    <m/>
    <x v="0"/>
    <x v="0"/>
    <n v="527.16999999999996"/>
    <x v="0"/>
    <n v="2"/>
    <s v="Poor"/>
  </r>
  <r>
    <s v="481e9435-be37-4116-8b24-198773fd9248"/>
    <x v="32"/>
    <x v="1"/>
    <x v="19"/>
    <x v="5"/>
    <x v="9"/>
    <s v="2025-03-17"/>
    <x v="6"/>
    <x v="6"/>
    <x v="1"/>
    <n v="452.97"/>
    <s v="5% off"/>
    <m/>
    <x v="0"/>
    <x v="1"/>
    <n v="452.97"/>
    <x v="1"/>
    <n v="5"/>
    <s v="Excellent"/>
  </r>
  <r>
    <s v="b80ae447-9001-4da6-bd2e-4ddfdb7a9475"/>
    <x v="7"/>
    <x v="0"/>
    <x v="20"/>
    <x v="2"/>
    <x v="2"/>
    <s v="2024-08-09"/>
    <x v="0"/>
    <x v="3"/>
    <x v="0"/>
    <n v="493.96"/>
    <s v="5% off"/>
    <m/>
    <x v="0"/>
    <x v="0"/>
    <n v="493.96"/>
    <x v="1"/>
    <n v="4"/>
    <s v="Good"/>
  </r>
  <r>
    <s v="8fd3bc59-e4c8-411f-bdbb-2c7bb84a6a2c"/>
    <x v="6"/>
    <x v="1"/>
    <x v="21"/>
    <x v="5"/>
    <x v="6"/>
    <s v="2024-04-07"/>
    <x v="5"/>
    <x v="0"/>
    <x v="0"/>
    <n v="76.81"/>
    <s v="0% off"/>
    <m/>
    <x v="1"/>
    <x v="0"/>
    <n v="76.81"/>
    <x v="1"/>
    <n v="3"/>
    <s v="Average"/>
  </r>
  <r>
    <s v="de3ff6cb-61aa-4f19-a931-915cca690cd1"/>
    <x v="45"/>
    <x v="1"/>
    <x v="22"/>
    <x v="0"/>
    <x v="0"/>
    <s v="2024-08-12"/>
    <x v="6"/>
    <x v="3"/>
    <x v="0"/>
    <n v="697.86"/>
    <s v="10% off"/>
    <m/>
    <x v="0"/>
    <x v="0"/>
    <n v="697.86"/>
    <x v="2"/>
    <n v="4"/>
    <s v="Good"/>
  </r>
  <r>
    <s v="469d6429-eeee-46c8-934b-2cecac1b9d3a"/>
    <x v="52"/>
    <x v="0"/>
    <x v="23"/>
    <x v="2"/>
    <x v="2"/>
    <s v="2024-07-03"/>
    <x v="4"/>
    <x v="2"/>
    <x v="0"/>
    <n v="493.96"/>
    <s v="5% off"/>
    <m/>
    <x v="0"/>
    <x v="1"/>
    <n v="493.96"/>
    <x v="2"/>
    <n v="4"/>
    <s v="Good"/>
  </r>
  <r>
    <s v="b11d35a1-fc6a-42e6-b46e-3dcd941ad592"/>
    <x v="37"/>
    <x v="0"/>
    <x v="24"/>
    <x v="4"/>
    <x v="20"/>
    <s v="2024-10-17"/>
    <x v="3"/>
    <x v="5"/>
    <x v="0"/>
    <n v="260.77999999999997"/>
    <s v="5% off"/>
    <m/>
    <x v="0"/>
    <x v="1"/>
    <n v="260.77999999999997"/>
    <x v="2"/>
    <n v="2"/>
    <s v="Poor"/>
  </r>
  <r>
    <s v="86a431fa-80d1-4937-a065-559ba3a043a7"/>
    <x v="11"/>
    <x v="1"/>
    <x v="25"/>
    <x v="4"/>
    <x v="20"/>
    <s v="2024-12-19"/>
    <x v="3"/>
    <x v="7"/>
    <x v="0"/>
    <n v="260.77999999999997"/>
    <s v="5% off"/>
    <m/>
    <x v="0"/>
    <x v="1"/>
    <n v="260.77999999999997"/>
    <x v="2"/>
    <n v="5"/>
    <s v="Excellent"/>
  </r>
  <r>
    <s v="66fdd08c-85ab-4710-a2e6-b0ad0a2ea6f3"/>
    <x v="37"/>
    <x v="0"/>
    <x v="26"/>
    <x v="0"/>
    <x v="22"/>
    <s v="2024-09-14"/>
    <x v="2"/>
    <x v="10"/>
    <x v="0"/>
    <n v="485.26"/>
    <s v="5% off"/>
    <m/>
    <x v="0"/>
    <x v="0"/>
    <n v="485.26"/>
    <x v="3"/>
    <n v="2"/>
    <s v="Poor"/>
  </r>
  <r>
    <s v="84322299-770e-47f3-8ed9-874b05137847"/>
    <x v="1"/>
    <x v="1"/>
    <x v="27"/>
    <x v="1"/>
    <x v="25"/>
    <s v="2024-05-14"/>
    <x v="1"/>
    <x v="4"/>
    <x v="0"/>
    <n v="527.16999999999996"/>
    <s v="10% off"/>
    <m/>
    <x v="0"/>
    <x v="0"/>
    <n v="527.16999999999996"/>
    <x v="2"/>
    <n v="4"/>
    <s v="Good"/>
  </r>
  <r>
    <s v="2f49099a-b776-48d5-8b1a-b8f34061c0f8"/>
    <x v="24"/>
    <x v="0"/>
    <x v="28"/>
    <x v="2"/>
    <x v="2"/>
    <s v="2024-11-28"/>
    <x v="3"/>
    <x v="1"/>
    <x v="0"/>
    <n v="493.96"/>
    <s v="5% off"/>
    <m/>
    <x v="0"/>
    <x v="1"/>
    <n v="493.96"/>
    <x v="3"/>
    <n v="4"/>
    <s v="Good"/>
  </r>
  <r>
    <s v="a5e2bc67-0fa4-4ba7-856f-b483531718d0"/>
    <x v="48"/>
    <x v="1"/>
    <x v="29"/>
    <x v="0"/>
    <x v="11"/>
    <s v="2024-09-08"/>
    <x v="5"/>
    <x v="10"/>
    <x v="0"/>
    <n v="116.78"/>
    <s v="0% off"/>
    <m/>
    <x v="1"/>
    <x v="0"/>
    <n v="116.78"/>
    <x v="2"/>
    <n v="4"/>
    <s v="Good"/>
  </r>
  <r>
    <s v="358f7c68-c817-4738-9a60-a24c138bc97e"/>
    <x v="4"/>
    <x v="1"/>
    <x v="30"/>
    <x v="1"/>
    <x v="1"/>
    <s v="2024-04-18"/>
    <x v="3"/>
    <x v="0"/>
    <x v="0"/>
    <n v="67.040000000000006"/>
    <s v="0% off"/>
    <m/>
    <x v="1"/>
    <x v="0"/>
    <n v="67.040000000000006"/>
    <x v="1"/>
    <n v="3"/>
    <s v="Average"/>
  </r>
  <r>
    <s v="d9a4f9ee-7905-4820-a6dc-97a4ba7add9f"/>
    <x v="25"/>
    <x v="0"/>
    <x v="31"/>
    <x v="2"/>
    <x v="24"/>
    <s v="2024-06-14"/>
    <x v="0"/>
    <x v="11"/>
    <x v="0"/>
    <n v="52.44"/>
    <s v="0% off"/>
    <m/>
    <x v="1"/>
    <x v="1"/>
    <n v="52.44"/>
    <x v="0"/>
    <n v="4"/>
    <s v="Good"/>
  </r>
  <r>
    <s v="1775a563-d242-4f9d-90f7-2f9c027c1f3c"/>
    <x v="38"/>
    <x v="0"/>
    <x v="32"/>
    <x v="1"/>
    <x v="25"/>
    <s v="2025-03-26"/>
    <x v="4"/>
    <x v="6"/>
    <x v="1"/>
    <n v="527.16999999999996"/>
    <s v="10% off"/>
    <m/>
    <x v="0"/>
    <x v="0"/>
    <n v="527.16999999999996"/>
    <x v="1"/>
    <n v="5"/>
    <s v="Excellent"/>
  </r>
  <r>
    <s v="c2f63801-6bc0-4a63-80a4-fa03f35c3e1e"/>
    <x v="44"/>
    <x v="0"/>
    <x v="33"/>
    <x v="1"/>
    <x v="26"/>
    <s v="2025-03-04"/>
    <x v="1"/>
    <x v="6"/>
    <x v="1"/>
    <n v="775.75"/>
    <s v="15% off"/>
    <m/>
    <x v="0"/>
    <x v="1"/>
    <n v="775.75"/>
    <x v="1"/>
    <n v="2"/>
    <s v="Poor"/>
  </r>
  <r>
    <s v="07fe673c-cfc3-4c68-ad81-f398a22bc896"/>
    <x v="36"/>
    <x v="1"/>
    <x v="34"/>
    <x v="5"/>
    <x v="6"/>
    <s v="2025-03-22"/>
    <x v="2"/>
    <x v="6"/>
    <x v="1"/>
    <n v="76.81"/>
    <s v="0% off"/>
    <m/>
    <x v="1"/>
    <x v="1"/>
    <n v="76.81"/>
    <x v="2"/>
    <n v="1"/>
    <s v="Very Poor"/>
  </r>
  <r>
    <s v="e48fe68d-0876-45a1-8cdd-eff2959ba8e1"/>
    <x v="51"/>
    <x v="0"/>
    <x v="35"/>
    <x v="4"/>
    <x v="20"/>
    <s v="2024-12-22"/>
    <x v="5"/>
    <x v="7"/>
    <x v="0"/>
    <n v="260.77999999999997"/>
    <s v="5% off"/>
    <m/>
    <x v="0"/>
    <x v="1"/>
    <n v="260.77999999999997"/>
    <x v="2"/>
    <n v="1"/>
    <s v="Very Poor"/>
  </r>
  <r>
    <s v="33a30792-cfe8-4025-9462-49ead20633cb"/>
    <x v="41"/>
    <x v="1"/>
    <x v="36"/>
    <x v="3"/>
    <x v="15"/>
    <s v="2024-09-17"/>
    <x v="1"/>
    <x v="10"/>
    <x v="0"/>
    <n v="855.21"/>
    <s v="15% off"/>
    <m/>
    <x v="0"/>
    <x v="1"/>
    <n v="855.21"/>
    <x v="2"/>
    <n v="4"/>
    <s v="Good"/>
  </r>
  <r>
    <s v="76de9dee-0052-4a77-95b6-b3162d6fd679"/>
    <x v="15"/>
    <x v="1"/>
    <x v="37"/>
    <x v="5"/>
    <x v="16"/>
    <s v="2024-06-01"/>
    <x v="2"/>
    <x v="11"/>
    <x v="0"/>
    <n v="592.26"/>
    <s v="10% off"/>
    <m/>
    <x v="0"/>
    <x v="1"/>
    <n v="592.26"/>
    <x v="2"/>
    <n v="2"/>
    <s v="Poor"/>
  </r>
  <r>
    <s v="bce5a218-a620-4c86-9b29-3d5b1cccd1e6"/>
    <x v="43"/>
    <x v="0"/>
    <x v="38"/>
    <x v="6"/>
    <x v="14"/>
    <s v="2024-07-10"/>
    <x v="4"/>
    <x v="2"/>
    <x v="0"/>
    <n v="965.09"/>
    <s v="20% off"/>
    <m/>
    <x v="0"/>
    <x v="1"/>
    <n v="965.09"/>
    <x v="1"/>
    <n v="2"/>
    <s v="Poor"/>
  </r>
  <r>
    <s v="07a6fe2b-b219-4d11-bdad-334ff951619d"/>
    <x v="8"/>
    <x v="1"/>
    <x v="39"/>
    <x v="2"/>
    <x v="24"/>
    <s v="2024-07-25"/>
    <x v="3"/>
    <x v="2"/>
    <x v="0"/>
    <n v="52.44"/>
    <s v="0% off"/>
    <m/>
    <x v="1"/>
    <x v="1"/>
    <n v="52.44"/>
    <x v="0"/>
    <n v="4"/>
    <s v="Good"/>
  </r>
  <r>
    <s v="5b91365c-e1fb-459f-8cd5-d50d6814d52c"/>
    <x v="39"/>
    <x v="0"/>
    <x v="40"/>
    <x v="6"/>
    <x v="14"/>
    <s v="2024-04-24"/>
    <x v="4"/>
    <x v="0"/>
    <x v="0"/>
    <n v="965.09"/>
    <s v="20% off"/>
    <m/>
    <x v="0"/>
    <x v="1"/>
    <n v="965.09"/>
    <x v="1"/>
    <n v="3"/>
    <s v="Average"/>
  </r>
  <r>
    <s v="7dab08d5-b967-4af6-8cec-d2bb14fb6d24"/>
    <x v="48"/>
    <x v="1"/>
    <x v="41"/>
    <x v="1"/>
    <x v="26"/>
    <s v="2024-06-09"/>
    <x v="5"/>
    <x v="11"/>
    <x v="0"/>
    <n v="775.75"/>
    <s v="15% off"/>
    <m/>
    <x v="0"/>
    <x v="0"/>
    <n v="775.75"/>
    <x v="1"/>
    <n v="3"/>
    <s v="Average"/>
  </r>
  <r>
    <s v="27512b3d-1f96-4b73-b57f-315b92eaca09"/>
    <x v="9"/>
    <x v="1"/>
    <x v="42"/>
    <x v="5"/>
    <x v="16"/>
    <s v="2025-01-17"/>
    <x v="0"/>
    <x v="9"/>
    <x v="1"/>
    <n v="592.26"/>
    <s v="10% off"/>
    <m/>
    <x v="0"/>
    <x v="1"/>
    <n v="592.26"/>
    <x v="0"/>
    <n v="5"/>
    <s v="Excellent"/>
  </r>
  <r>
    <s v="3747139e-8c98-4053-8ba0-def1b6665e6c"/>
    <x v="46"/>
    <x v="0"/>
    <x v="43"/>
    <x v="4"/>
    <x v="4"/>
    <s v="2024-11-13"/>
    <x v="4"/>
    <x v="1"/>
    <x v="0"/>
    <n v="512.94000000000005"/>
    <s v="10% off"/>
    <m/>
    <x v="0"/>
    <x v="1"/>
    <n v="512.94000000000005"/>
    <x v="3"/>
    <n v="1"/>
    <s v="Very Poor"/>
  </r>
  <r>
    <s v="28e0ea44-0ea9-4ccf-a353-441094a30cde"/>
    <x v="10"/>
    <x v="1"/>
    <x v="44"/>
    <x v="2"/>
    <x v="24"/>
    <s v="2024-12-22"/>
    <x v="5"/>
    <x v="7"/>
    <x v="0"/>
    <n v="52.44"/>
    <s v="0% off"/>
    <m/>
    <x v="1"/>
    <x v="1"/>
    <n v="52.44"/>
    <x v="1"/>
    <n v="5"/>
    <s v="Excellent"/>
  </r>
  <r>
    <s v="0d9cad77-81dc-4919-9fcc-0e6dbb4f6805"/>
    <x v="4"/>
    <x v="1"/>
    <x v="45"/>
    <x v="4"/>
    <x v="5"/>
    <s v="2024-11-13"/>
    <x v="4"/>
    <x v="1"/>
    <x v="0"/>
    <n v="988.77"/>
    <s v="20% off"/>
    <m/>
    <x v="0"/>
    <x v="0"/>
    <n v="988.77"/>
    <x v="0"/>
    <n v="3"/>
    <s v="Average"/>
  </r>
  <r>
    <s v="3be39a2e-6305-41b6-94ac-b85f58a7cda0"/>
    <x v="41"/>
    <x v="0"/>
    <x v="46"/>
    <x v="4"/>
    <x v="5"/>
    <s v="2024-04-05"/>
    <x v="0"/>
    <x v="0"/>
    <x v="0"/>
    <n v="988.77"/>
    <s v="20% off"/>
    <m/>
    <x v="0"/>
    <x v="0"/>
    <n v="988.77"/>
    <x v="0"/>
    <n v="1"/>
    <s v="Very Poor"/>
  </r>
  <r>
    <s v="0a77cc70-b689-4189-b09e-471ac9feb5be"/>
    <x v="44"/>
    <x v="1"/>
    <x v="47"/>
    <x v="6"/>
    <x v="14"/>
    <s v="2024-11-09"/>
    <x v="2"/>
    <x v="1"/>
    <x v="0"/>
    <n v="965.09"/>
    <s v="20% off"/>
    <m/>
    <x v="0"/>
    <x v="1"/>
    <n v="965.09"/>
    <x v="1"/>
    <n v="4"/>
    <s v="Good"/>
  </r>
  <r>
    <s v="d9c3c2f7-565b-4cc9-a843-ae3e80961176"/>
    <x v="43"/>
    <x v="0"/>
    <x v="48"/>
    <x v="2"/>
    <x v="18"/>
    <s v="2024-05-04"/>
    <x v="2"/>
    <x v="4"/>
    <x v="0"/>
    <n v="492.1"/>
    <s v="5% off"/>
    <m/>
    <x v="0"/>
    <x v="0"/>
    <n v="492.1"/>
    <x v="2"/>
    <n v="2"/>
    <s v="Poor"/>
  </r>
  <r>
    <s v="5f4f1229-43a8-49a7-87cd-318dbb1e3372"/>
    <x v="15"/>
    <x v="0"/>
    <x v="49"/>
    <x v="1"/>
    <x v="26"/>
    <s v="2024-04-14"/>
    <x v="5"/>
    <x v="0"/>
    <x v="0"/>
    <n v="775.75"/>
    <s v="15% off"/>
    <m/>
    <x v="0"/>
    <x v="1"/>
    <n v="775.75"/>
    <x v="3"/>
    <n v="4"/>
    <s v="Good"/>
  </r>
  <r>
    <s v="8d5091c1-d2e3-4668-b1c2-6cbe9d9770d2"/>
    <x v="6"/>
    <x v="1"/>
    <x v="50"/>
    <x v="0"/>
    <x v="11"/>
    <s v="2024-08-15"/>
    <x v="3"/>
    <x v="3"/>
    <x v="0"/>
    <n v="116.78"/>
    <s v="0% off"/>
    <m/>
    <x v="1"/>
    <x v="1"/>
    <n v="116.78"/>
    <x v="0"/>
    <n v="1"/>
    <s v="Very Poor"/>
  </r>
  <r>
    <s v="44a2fde5-1502-408d-975c-dc52c8901142"/>
    <x v="31"/>
    <x v="1"/>
    <x v="51"/>
    <x v="4"/>
    <x v="4"/>
    <s v="2024-08-18"/>
    <x v="5"/>
    <x v="3"/>
    <x v="0"/>
    <n v="512.94000000000005"/>
    <s v="10% off"/>
    <m/>
    <x v="0"/>
    <x v="1"/>
    <n v="512.94000000000005"/>
    <x v="0"/>
    <n v="1"/>
    <s v="Very Poor"/>
  </r>
  <r>
    <s v="9fb0ea38-801e-472b-910b-5d858c763e8f"/>
    <x v="12"/>
    <x v="0"/>
    <x v="52"/>
    <x v="0"/>
    <x v="7"/>
    <s v="2025-02-23"/>
    <x v="5"/>
    <x v="8"/>
    <x v="1"/>
    <n v="78.349999999999994"/>
    <s v="0% off"/>
    <m/>
    <x v="1"/>
    <x v="0"/>
    <n v="78.349999999999994"/>
    <x v="2"/>
    <n v="4"/>
    <s v="Good"/>
  </r>
  <r>
    <s v="a25e3951-095a-41b0-a8e8-7ef500872a6f"/>
    <x v="29"/>
    <x v="1"/>
    <x v="53"/>
    <x v="2"/>
    <x v="24"/>
    <s v="2024-10-10"/>
    <x v="3"/>
    <x v="5"/>
    <x v="0"/>
    <n v="52.44"/>
    <s v="0% off"/>
    <m/>
    <x v="1"/>
    <x v="1"/>
    <n v="52.44"/>
    <x v="0"/>
    <n v="3"/>
    <s v="Average"/>
  </r>
  <r>
    <s v="406820c4-db92-4a93-a61e-b90f56fdeff3"/>
    <x v="20"/>
    <x v="0"/>
    <x v="33"/>
    <x v="3"/>
    <x v="15"/>
    <s v="2024-10-02"/>
    <x v="4"/>
    <x v="5"/>
    <x v="0"/>
    <n v="855.21"/>
    <s v="15% off"/>
    <m/>
    <x v="0"/>
    <x v="1"/>
    <n v="855.21"/>
    <x v="2"/>
    <n v="1"/>
    <s v="Very Poor"/>
  </r>
  <r>
    <s v="b4387818-0277-45e4-8bb2-16bb6bd8a9d4"/>
    <x v="43"/>
    <x v="0"/>
    <x v="54"/>
    <x v="5"/>
    <x v="9"/>
    <s v="2025-01-22"/>
    <x v="4"/>
    <x v="9"/>
    <x v="1"/>
    <n v="452.97"/>
    <s v="5% off"/>
    <m/>
    <x v="0"/>
    <x v="1"/>
    <n v="452.97"/>
    <x v="0"/>
    <n v="1"/>
    <s v="Very Poor"/>
  </r>
  <r>
    <s v="f2966959-1ca0-4194-8f28-4b2742627fcb"/>
    <x v="6"/>
    <x v="0"/>
    <x v="55"/>
    <x v="2"/>
    <x v="18"/>
    <s v="2024-06-14"/>
    <x v="0"/>
    <x v="11"/>
    <x v="0"/>
    <n v="492.1"/>
    <s v="5% off"/>
    <m/>
    <x v="0"/>
    <x v="0"/>
    <n v="492.1"/>
    <x v="0"/>
    <n v="3"/>
    <s v="Average"/>
  </r>
  <r>
    <s v="a4ae369b-ef69-4033-bd16-c59aa7970976"/>
    <x v="31"/>
    <x v="0"/>
    <x v="56"/>
    <x v="3"/>
    <x v="15"/>
    <s v="2024-12-25"/>
    <x v="4"/>
    <x v="7"/>
    <x v="0"/>
    <n v="855.21"/>
    <s v="15% off"/>
    <m/>
    <x v="0"/>
    <x v="1"/>
    <n v="855.21"/>
    <x v="1"/>
    <n v="2"/>
    <s v="Poor"/>
  </r>
  <r>
    <s v="2fcc179a-f340-43e0-a750-cf5ff935e362"/>
    <x v="48"/>
    <x v="0"/>
    <x v="57"/>
    <x v="3"/>
    <x v="12"/>
    <s v="2024-08-21"/>
    <x v="4"/>
    <x v="3"/>
    <x v="0"/>
    <n v="270.41000000000003"/>
    <s v="5% off"/>
    <m/>
    <x v="0"/>
    <x v="1"/>
    <n v="270.41000000000003"/>
    <x v="0"/>
    <n v="1"/>
    <s v="Very Poor"/>
  </r>
  <r>
    <s v="944c6071-b2ae-4cb6-9137-1cf84e84c25e"/>
    <x v="27"/>
    <x v="1"/>
    <x v="58"/>
    <x v="6"/>
    <x v="10"/>
    <s v="2024-12-22"/>
    <x v="5"/>
    <x v="7"/>
    <x v="0"/>
    <n v="782.29"/>
    <s v="15% off"/>
    <m/>
    <x v="0"/>
    <x v="0"/>
    <n v="782.29"/>
    <x v="0"/>
    <n v="1"/>
    <s v="Very Poor"/>
  </r>
  <r>
    <s v="f08bf8db-990d-407f-9b00-4dff7f5f49b0"/>
    <x v="20"/>
    <x v="1"/>
    <x v="59"/>
    <x v="3"/>
    <x v="3"/>
    <s v="2024-08-14"/>
    <x v="4"/>
    <x v="3"/>
    <x v="0"/>
    <n v="211.46"/>
    <s v="5% off"/>
    <m/>
    <x v="0"/>
    <x v="0"/>
    <n v="211.46"/>
    <x v="2"/>
    <n v="3"/>
    <s v="Average"/>
  </r>
  <r>
    <s v="73994299-68a2-4881-a73a-e712fdf87b6d"/>
    <x v="8"/>
    <x v="0"/>
    <x v="60"/>
    <x v="3"/>
    <x v="15"/>
    <s v="2025-01-17"/>
    <x v="0"/>
    <x v="9"/>
    <x v="1"/>
    <n v="855.21"/>
    <s v="15% off"/>
    <m/>
    <x v="0"/>
    <x v="0"/>
    <n v="855.21"/>
    <x v="2"/>
    <n v="4"/>
    <s v="Good"/>
  </r>
  <r>
    <s v="8d374c3e-b9a2-47f6-b697-5573996e074a"/>
    <x v="23"/>
    <x v="1"/>
    <x v="61"/>
    <x v="6"/>
    <x v="14"/>
    <s v="2024-05-23"/>
    <x v="3"/>
    <x v="4"/>
    <x v="0"/>
    <n v="965.09"/>
    <s v="20% off"/>
    <m/>
    <x v="0"/>
    <x v="0"/>
    <n v="965.09"/>
    <x v="1"/>
    <n v="2"/>
    <s v="Poor"/>
  </r>
  <r>
    <s v="4e1cb484-b4c9-4f40-a7e4-a5f3aa8bb7d1"/>
    <x v="8"/>
    <x v="0"/>
    <x v="42"/>
    <x v="3"/>
    <x v="12"/>
    <s v="2024-08-08"/>
    <x v="3"/>
    <x v="3"/>
    <x v="0"/>
    <n v="270.41000000000003"/>
    <s v="5% off"/>
    <m/>
    <x v="0"/>
    <x v="1"/>
    <n v="270.41000000000003"/>
    <x v="1"/>
    <n v="4"/>
    <s v="Good"/>
  </r>
  <r>
    <s v="21c9e78c-7e45-472d-8a15-bb2bb72d8c6c"/>
    <x v="24"/>
    <x v="1"/>
    <x v="62"/>
    <x v="2"/>
    <x v="24"/>
    <s v="2024-04-10"/>
    <x v="4"/>
    <x v="0"/>
    <x v="0"/>
    <n v="52.44"/>
    <s v="0% off"/>
    <m/>
    <x v="1"/>
    <x v="1"/>
    <n v="52.44"/>
    <x v="2"/>
    <n v="3"/>
    <s v="Average"/>
  </r>
  <r>
    <s v="cbc308e8-5227-48a6-88fe-530b18c37ff0"/>
    <x v="32"/>
    <x v="0"/>
    <x v="63"/>
    <x v="5"/>
    <x v="9"/>
    <s v="2024-11-11"/>
    <x v="6"/>
    <x v="1"/>
    <x v="0"/>
    <n v="452.97"/>
    <s v="5% off"/>
    <m/>
    <x v="0"/>
    <x v="0"/>
    <n v="452.97"/>
    <x v="1"/>
    <n v="1"/>
    <s v="Very Poor"/>
  </r>
  <r>
    <s v="e3531b84-d6f1-42a3-9533-3d995180335d"/>
    <x v="39"/>
    <x v="0"/>
    <x v="64"/>
    <x v="3"/>
    <x v="3"/>
    <s v="2024-06-09"/>
    <x v="5"/>
    <x v="11"/>
    <x v="0"/>
    <n v="211.46"/>
    <s v="5% off"/>
    <m/>
    <x v="0"/>
    <x v="1"/>
    <n v="211.46"/>
    <x v="2"/>
    <n v="1"/>
    <s v="Very Poor"/>
  </r>
  <r>
    <s v="56b9f073-492d-4797-bbe1-d7b650cadfb4"/>
    <x v="5"/>
    <x v="0"/>
    <x v="65"/>
    <x v="5"/>
    <x v="6"/>
    <s v="2024-10-17"/>
    <x v="3"/>
    <x v="5"/>
    <x v="0"/>
    <n v="76.81"/>
    <s v="0% off"/>
    <m/>
    <x v="1"/>
    <x v="0"/>
    <n v="76.81"/>
    <x v="0"/>
    <n v="1"/>
    <s v="Very Poor"/>
  </r>
  <r>
    <s v="75ffdb9d-febf-4052-b9f8-d6f3ffd51403"/>
    <x v="25"/>
    <x v="0"/>
    <x v="66"/>
    <x v="6"/>
    <x v="13"/>
    <s v="2024-06-22"/>
    <x v="2"/>
    <x v="11"/>
    <x v="0"/>
    <n v="418.55"/>
    <s v="5% off"/>
    <m/>
    <x v="0"/>
    <x v="0"/>
    <n v="418.55"/>
    <x v="3"/>
    <n v="3"/>
    <s v="Average"/>
  </r>
  <r>
    <s v="1650b320-d4ff-4969-803a-e1f21e843b41"/>
    <x v="0"/>
    <x v="1"/>
    <x v="67"/>
    <x v="3"/>
    <x v="15"/>
    <s v="2024-12-09"/>
    <x v="6"/>
    <x v="7"/>
    <x v="0"/>
    <n v="855.21"/>
    <s v="15% off"/>
    <m/>
    <x v="0"/>
    <x v="0"/>
    <n v="855.21"/>
    <x v="2"/>
    <n v="2"/>
    <s v="Poor"/>
  </r>
  <r>
    <s v="2bb22fa5-8713-4ba8-b705-d4ea2bf81f6e"/>
    <x v="30"/>
    <x v="1"/>
    <x v="68"/>
    <x v="5"/>
    <x v="8"/>
    <s v="2025-01-05"/>
    <x v="5"/>
    <x v="9"/>
    <x v="1"/>
    <n v="374.92"/>
    <s v="5% off"/>
    <m/>
    <x v="0"/>
    <x v="0"/>
    <n v="374.92"/>
    <x v="0"/>
    <n v="3"/>
    <s v="Average"/>
  </r>
  <r>
    <s v="8e386d3b-e05a-485d-88ae-eeaf83716fe3"/>
    <x v="44"/>
    <x v="1"/>
    <x v="69"/>
    <x v="0"/>
    <x v="7"/>
    <s v="2024-10-13"/>
    <x v="5"/>
    <x v="5"/>
    <x v="0"/>
    <n v="78.349999999999994"/>
    <s v="0% off"/>
    <m/>
    <x v="1"/>
    <x v="0"/>
    <n v="78.349999999999994"/>
    <x v="2"/>
    <n v="3"/>
    <s v="Average"/>
  </r>
  <r>
    <s v="59e8d91d-b7ab-4f10-930c-e205ca42acb4"/>
    <x v="22"/>
    <x v="0"/>
    <x v="70"/>
    <x v="3"/>
    <x v="3"/>
    <s v="2024-11-30"/>
    <x v="2"/>
    <x v="1"/>
    <x v="0"/>
    <n v="211.46"/>
    <s v="5% off"/>
    <m/>
    <x v="0"/>
    <x v="0"/>
    <n v="211.46"/>
    <x v="3"/>
    <n v="5"/>
    <s v="Excellent"/>
  </r>
  <r>
    <s v="8826fb36-c088-487b-9de4-f7d7854d9856"/>
    <x v="46"/>
    <x v="0"/>
    <x v="71"/>
    <x v="1"/>
    <x v="23"/>
    <s v="2025-01-22"/>
    <x v="4"/>
    <x v="9"/>
    <x v="1"/>
    <n v="362.55"/>
    <s v="5% off"/>
    <m/>
    <x v="0"/>
    <x v="1"/>
    <n v="362.55"/>
    <x v="3"/>
    <n v="2"/>
    <s v="Poor"/>
  </r>
  <r>
    <s v="83d7d31c-7c89-43e8-b79c-8b029f053a03"/>
    <x v="50"/>
    <x v="0"/>
    <x v="72"/>
    <x v="3"/>
    <x v="15"/>
    <s v="2024-07-12"/>
    <x v="0"/>
    <x v="2"/>
    <x v="0"/>
    <n v="855.21"/>
    <s v="15% off"/>
    <m/>
    <x v="0"/>
    <x v="0"/>
    <n v="855.21"/>
    <x v="2"/>
    <n v="3"/>
    <s v="Average"/>
  </r>
  <r>
    <s v="8b04d346-6978-41bf-bf1a-d3b4eb8c5cb8"/>
    <x v="52"/>
    <x v="0"/>
    <x v="73"/>
    <x v="6"/>
    <x v="13"/>
    <s v="2024-12-24"/>
    <x v="1"/>
    <x v="7"/>
    <x v="0"/>
    <n v="418.55"/>
    <s v="5% off"/>
    <m/>
    <x v="0"/>
    <x v="1"/>
    <n v="418.55"/>
    <x v="1"/>
    <n v="3"/>
    <s v="Average"/>
  </r>
  <r>
    <s v="fd7db7b5-f54f-48dd-a4f8-9fa16124f385"/>
    <x v="1"/>
    <x v="0"/>
    <x v="74"/>
    <x v="3"/>
    <x v="3"/>
    <s v="2025-03-18"/>
    <x v="1"/>
    <x v="6"/>
    <x v="1"/>
    <n v="211.46"/>
    <s v="5% off"/>
    <m/>
    <x v="0"/>
    <x v="0"/>
    <n v="211.46"/>
    <x v="2"/>
    <n v="4"/>
    <s v="Good"/>
  </r>
  <r>
    <s v="15e75ff0-c5ce-4b12-85d3-c064680b54cf"/>
    <x v="17"/>
    <x v="0"/>
    <x v="75"/>
    <x v="6"/>
    <x v="14"/>
    <s v="2024-04-13"/>
    <x v="2"/>
    <x v="0"/>
    <x v="0"/>
    <n v="965.09"/>
    <s v="20% off"/>
    <m/>
    <x v="0"/>
    <x v="0"/>
    <n v="965.09"/>
    <x v="0"/>
    <n v="2"/>
    <s v="Poor"/>
  </r>
  <r>
    <s v="da950fbd-19b9-44cb-aa36-99f6d362fa78"/>
    <x v="51"/>
    <x v="0"/>
    <x v="76"/>
    <x v="3"/>
    <x v="12"/>
    <s v="2024-09-27"/>
    <x v="0"/>
    <x v="10"/>
    <x v="0"/>
    <n v="270.41000000000003"/>
    <s v="5% off"/>
    <m/>
    <x v="0"/>
    <x v="0"/>
    <n v="270.41000000000003"/>
    <x v="2"/>
    <n v="4"/>
    <s v="Good"/>
  </r>
  <r>
    <s v="435b9fe7-0d7a-4a11-97a5-639270ef5acc"/>
    <x v="31"/>
    <x v="0"/>
    <x v="77"/>
    <x v="2"/>
    <x v="2"/>
    <s v="2024-05-31"/>
    <x v="0"/>
    <x v="4"/>
    <x v="0"/>
    <n v="493.96"/>
    <s v="5% off"/>
    <m/>
    <x v="0"/>
    <x v="1"/>
    <n v="493.96"/>
    <x v="3"/>
    <n v="1"/>
    <s v="Very Poor"/>
  </r>
  <r>
    <s v="714929a3-1ffb-4a96-8d73-0381231bad20"/>
    <x v="6"/>
    <x v="0"/>
    <x v="78"/>
    <x v="1"/>
    <x v="23"/>
    <s v="2025-02-22"/>
    <x v="2"/>
    <x v="8"/>
    <x v="1"/>
    <n v="362.55"/>
    <s v="5% off"/>
    <m/>
    <x v="0"/>
    <x v="1"/>
    <n v="362.55"/>
    <x v="2"/>
    <n v="3"/>
    <s v="Average"/>
  </r>
  <r>
    <s v="06d9d75b-032b-4286-96c3-feda2ce7a518"/>
    <x v="16"/>
    <x v="0"/>
    <x v="79"/>
    <x v="0"/>
    <x v="22"/>
    <s v="2024-11-24"/>
    <x v="5"/>
    <x v="1"/>
    <x v="0"/>
    <n v="485.26"/>
    <s v="5% off"/>
    <m/>
    <x v="0"/>
    <x v="0"/>
    <n v="485.26"/>
    <x v="0"/>
    <n v="1"/>
    <s v="Very Poor"/>
  </r>
  <r>
    <s v="9e954aba-7c26-40d7-b8b9-a9addea3a20f"/>
    <x v="46"/>
    <x v="1"/>
    <x v="80"/>
    <x v="2"/>
    <x v="27"/>
    <s v="2024-07-14"/>
    <x v="5"/>
    <x v="2"/>
    <x v="0"/>
    <n v="340.04"/>
    <s v="5% off"/>
    <m/>
    <x v="0"/>
    <x v="1"/>
    <n v="340.04"/>
    <x v="2"/>
    <n v="2"/>
    <s v="Poor"/>
  </r>
  <r>
    <s v="85a7a141-19c7-4a66-ad0e-4cbb7acd11ba"/>
    <x v="26"/>
    <x v="1"/>
    <x v="81"/>
    <x v="1"/>
    <x v="1"/>
    <s v="2024-09-01"/>
    <x v="5"/>
    <x v="10"/>
    <x v="0"/>
    <n v="67.040000000000006"/>
    <s v="0% off"/>
    <m/>
    <x v="1"/>
    <x v="1"/>
    <n v="67.040000000000006"/>
    <x v="2"/>
    <n v="5"/>
    <s v="Excellent"/>
  </r>
  <r>
    <s v="72b5df2b-b203-4f85-bd72-d7078cc27f27"/>
    <x v="43"/>
    <x v="0"/>
    <x v="82"/>
    <x v="6"/>
    <x v="10"/>
    <s v="2025-03-04"/>
    <x v="1"/>
    <x v="6"/>
    <x v="1"/>
    <n v="782.29"/>
    <s v="15% off"/>
    <m/>
    <x v="0"/>
    <x v="1"/>
    <n v="782.29"/>
    <x v="0"/>
    <n v="2"/>
    <s v="Poor"/>
  </r>
  <r>
    <s v="0b41287d-6303-4e12-a912-ec790687fa54"/>
    <x v="16"/>
    <x v="0"/>
    <x v="83"/>
    <x v="3"/>
    <x v="12"/>
    <s v="2024-12-18"/>
    <x v="4"/>
    <x v="7"/>
    <x v="0"/>
    <n v="270.41000000000003"/>
    <s v="5% off"/>
    <m/>
    <x v="0"/>
    <x v="1"/>
    <n v="270.41000000000003"/>
    <x v="2"/>
    <n v="5"/>
    <s v="Excellent"/>
  </r>
  <r>
    <s v="cf41c8fb-6711-439c-bcb6-9cbd3d7ccbde"/>
    <x v="21"/>
    <x v="0"/>
    <x v="84"/>
    <x v="0"/>
    <x v="22"/>
    <s v="2025-02-13"/>
    <x v="3"/>
    <x v="8"/>
    <x v="1"/>
    <n v="485.26"/>
    <s v="5% off"/>
    <m/>
    <x v="0"/>
    <x v="0"/>
    <n v="485.26"/>
    <x v="0"/>
    <n v="5"/>
    <s v="Excellent"/>
  </r>
  <r>
    <s v="411ec14e-ba8e-43b9-9f2b-4051ccbbbc3a"/>
    <x v="15"/>
    <x v="0"/>
    <x v="85"/>
    <x v="6"/>
    <x v="21"/>
    <s v="2024-05-08"/>
    <x v="4"/>
    <x v="4"/>
    <x v="0"/>
    <n v="461.81"/>
    <s v="5% off"/>
    <m/>
    <x v="0"/>
    <x v="1"/>
    <n v="461.81"/>
    <x v="0"/>
    <n v="1"/>
    <s v="Very Poor"/>
  </r>
  <r>
    <s v="63acf603-a5ad-460d-a6cd-53b64f93e1c9"/>
    <x v="7"/>
    <x v="1"/>
    <x v="86"/>
    <x v="6"/>
    <x v="21"/>
    <s v="2024-04-07"/>
    <x v="5"/>
    <x v="0"/>
    <x v="0"/>
    <n v="461.81"/>
    <s v="5% off"/>
    <m/>
    <x v="0"/>
    <x v="0"/>
    <n v="461.81"/>
    <x v="2"/>
    <n v="3"/>
    <s v="Average"/>
  </r>
  <r>
    <s v="e0bb4cac-0aff-4790-984b-340256faf4cb"/>
    <x v="20"/>
    <x v="0"/>
    <x v="87"/>
    <x v="0"/>
    <x v="7"/>
    <s v="2024-03-28"/>
    <x v="3"/>
    <x v="6"/>
    <x v="0"/>
    <n v="78.349999999999994"/>
    <s v="0% off"/>
    <m/>
    <x v="1"/>
    <x v="1"/>
    <n v="78.349999999999994"/>
    <x v="1"/>
    <n v="2"/>
    <s v="Poor"/>
  </r>
  <r>
    <s v="3e97afd4-e214-4a73-9069-7232d067b9ea"/>
    <x v="42"/>
    <x v="0"/>
    <x v="88"/>
    <x v="3"/>
    <x v="19"/>
    <s v="2024-12-14"/>
    <x v="2"/>
    <x v="7"/>
    <x v="0"/>
    <n v="165.68"/>
    <s v="5% off"/>
    <m/>
    <x v="0"/>
    <x v="1"/>
    <n v="165.68"/>
    <x v="2"/>
    <n v="4"/>
    <s v="Good"/>
  </r>
  <r>
    <s v="3de294a7-451c-4112-a40c-3f0f4ce6866f"/>
    <x v="48"/>
    <x v="1"/>
    <x v="89"/>
    <x v="4"/>
    <x v="4"/>
    <s v="2024-05-27"/>
    <x v="6"/>
    <x v="4"/>
    <x v="0"/>
    <n v="512.94000000000005"/>
    <s v="10% off"/>
    <m/>
    <x v="0"/>
    <x v="1"/>
    <n v="512.94000000000005"/>
    <x v="3"/>
    <n v="5"/>
    <s v="Excellent"/>
  </r>
  <r>
    <s v="36795c1e-249c-4fc6-b5ab-0f1e08ef8591"/>
    <x v="45"/>
    <x v="0"/>
    <x v="90"/>
    <x v="5"/>
    <x v="16"/>
    <s v="2024-04-10"/>
    <x v="4"/>
    <x v="0"/>
    <x v="0"/>
    <n v="592.26"/>
    <s v="10% off"/>
    <m/>
    <x v="0"/>
    <x v="0"/>
    <n v="592.26"/>
    <x v="2"/>
    <n v="4"/>
    <s v="Good"/>
  </r>
  <r>
    <s v="ff1eeec1-8cba-4113-929b-aa6092bd612f"/>
    <x v="47"/>
    <x v="0"/>
    <x v="91"/>
    <x v="4"/>
    <x v="20"/>
    <s v="2024-04-08"/>
    <x v="6"/>
    <x v="0"/>
    <x v="0"/>
    <n v="260.77999999999997"/>
    <s v="5% off"/>
    <m/>
    <x v="0"/>
    <x v="1"/>
    <n v="260.77999999999997"/>
    <x v="0"/>
    <n v="2"/>
    <s v="Poor"/>
  </r>
  <r>
    <s v="67246b7f-5630-45a5-aa0f-e503af25bc5a"/>
    <x v="35"/>
    <x v="1"/>
    <x v="92"/>
    <x v="3"/>
    <x v="3"/>
    <s v="2025-03-20"/>
    <x v="3"/>
    <x v="6"/>
    <x v="1"/>
    <n v="211.46"/>
    <s v="5% off"/>
    <m/>
    <x v="0"/>
    <x v="0"/>
    <n v="211.46"/>
    <x v="0"/>
    <n v="5"/>
    <s v="Excellent"/>
  </r>
  <r>
    <s v="cda48ba0-b087-4883-ae07-856ed553a41b"/>
    <x v="36"/>
    <x v="0"/>
    <x v="93"/>
    <x v="1"/>
    <x v="1"/>
    <s v="2024-11-18"/>
    <x v="6"/>
    <x v="1"/>
    <x v="0"/>
    <n v="67.040000000000006"/>
    <s v="0% off"/>
    <m/>
    <x v="1"/>
    <x v="0"/>
    <n v="67.040000000000006"/>
    <x v="1"/>
    <n v="5"/>
    <s v="Excellent"/>
  </r>
  <r>
    <s v="53e320c5-033b-416c-a339-cb69b9b1c48e"/>
    <x v="9"/>
    <x v="0"/>
    <x v="56"/>
    <x v="4"/>
    <x v="17"/>
    <s v="2024-08-18"/>
    <x v="5"/>
    <x v="3"/>
    <x v="0"/>
    <n v="315.56"/>
    <s v="5% off"/>
    <m/>
    <x v="0"/>
    <x v="1"/>
    <n v="315.56"/>
    <x v="3"/>
    <n v="4"/>
    <s v="Good"/>
  </r>
  <r>
    <s v="20658ac0-c296-449c-9dd8-3a96689a3921"/>
    <x v="2"/>
    <x v="0"/>
    <x v="94"/>
    <x v="2"/>
    <x v="27"/>
    <s v="2024-09-11"/>
    <x v="4"/>
    <x v="10"/>
    <x v="0"/>
    <n v="340.04"/>
    <s v="5% off"/>
    <m/>
    <x v="0"/>
    <x v="0"/>
    <n v="340.04"/>
    <x v="0"/>
    <n v="3"/>
    <s v="Average"/>
  </r>
  <r>
    <s v="a6d79fb6-0fb1-4123-91bd-b5cf7b5d960a"/>
    <x v="39"/>
    <x v="0"/>
    <x v="89"/>
    <x v="2"/>
    <x v="18"/>
    <s v="2024-07-10"/>
    <x v="4"/>
    <x v="2"/>
    <x v="0"/>
    <n v="492.1"/>
    <s v="5% off"/>
    <m/>
    <x v="0"/>
    <x v="1"/>
    <n v="492.1"/>
    <x v="1"/>
    <n v="1"/>
    <s v="Very Poor"/>
  </r>
  <r>
    <s v="ed273f87-6904-4d1d-9f8e-bf25ba524e8a"/>
    <x v="42"/>
    <x v="1"/>
    <x v="95"/>
    <x v="2"/>
    <x v="18"/>
    <s v="2024-05-22"/>
    <x v="4"/>
    <x v="4"/>
    <x v="0"/>
    <n v="492.1"/>
    <s v="5% off"/>
    <m/>
    <x v="0"/>
    <x v="0"/>
    <n v="492.1"/>
    <x v="0"/>
    <n v="4"/>
    <s v="Good"/>
  </r>
  <r>
    <s v="5c6d0312-bd52-4e98-afea-22ed0a910a58"/>
    <x v="27"/>
    <x v="0"/>
    <x v="96"/>
    <x v="2"/>
    <x v="2"/>
    <s v="2024-11-10"/>
    <x v="5"/>
    <x v="1"/>
    <x v="0"/>
    <n v="493.96"/>
    <s v="5% off"/>
    <m/>
    <x v="0"/>
    <x v="1"/>
    <n v="493.96"/>
    <x v="0"/>
    <n v="1"/>
    <s v="Very Poor"/>
  </r>
  <r>
    <s v="5d6e3280-260a-4e4a-aeb8-183f1750999e"/>
    <x v="27"/>
    <x v="1"/>
    <x v="58"/>
    <x v="4"/>
    <x v="20"/>
    <s v="2025-03-16"/>
    <x v="5"/>
    <x v="6"/>
    <x v="1"/>
    <n v="260.77999999999997"/>
    <s v="5% off"/>
    <m/>
    <x v="0"/>
    <x v="0"/>
    <n v="260.77999999999997"/>
    <x v="2"/>
    <n v="2"/>
    <s v="Poor"/>
  </r>
  <r>
    <s v="e657f8a3-2635-4df0-b484-4b4c0e1494bc"/>
    <x v="18"/>
    <x v="1"/>
    <x v="90"/>
    <x v="5"/>
    <x v="16"/>
    <s v="2025-01-25"/>
    <x v="2"/>
    <x v="9"/>
    <x v="1"/>
    <n v="592.26"/>
    <s v="10% off"/>
    <m/>
    <x v="0"/>
    <x v="1"/>
    <n v="592.26"/>
    <x v="0"/>
    <n v="2"/>
    <s v="Poor"/>
  </r>
  <r>
    <s v="ac9667ec-c8a2-4c23-a28a-61dec9c168e8"/>
    <x v="7"/>
    <x v="1"/>
    <x v="91"/>
    <x v="6"/>
    <x v="13"/>
    <s v="2024-07-14"/>
    <x v="5"/>
    <x v="2"/>
    <x v="0"/>
    <n v="418.55"/>
    <s v="5% off"/>
    <m/>
    <x v="0"/>
    <x v="0"/>
    <n v="418.55"/>
    <x v="3"/>
    <n v="1"/>
    <s v="Very Poor"/>
  </r>
  <r>
    <s v="452b109e-3676-4947-84d1-e18a637df398"/>
    <x v="11"/>
    <x v="0"/>
    <x v="97"/>
    <x v="5"/>
    <x v="16"/>
    <s v="2024-03-27"/>
    <x v="4"/>
    <x v="6"/>
    <x v="0"/>
    <n v="592.26"/>
    <s v="10% off"/>
    <m/>
    <x v="0"/>
    <x v="1"/>
    <n v="592.26"/>
    <x v="3"/>
    <n v="2"/>
    <s v="Poor"/>
  </r>
  <r>
    <s v="0aa14bb6-653b-4e57-a8ba-137dead78532"/>
    <x v="9"/>
    <x v="1"/>
    <x v="98"/>
    <x v="4"/>
    <x v="20"/>
    <s v="2025-02-13"/>
    <x v="3"/>
    <x v="8"/>
    <x v="1"/>
    <n v="260.77999999999997"/>
    <s v="5% off"/>
    <m/>
    <x v="0"/>
    <x v="0"/>
    <n v="260.77999999999997"/>
    <x v="1"/>
    <n v="4"/>
    <s v="Good"/>
  </r>
  <r>
    <s v="af64344f-2b9b-4c3d-9f7e-ed2905637e0b"/>
    <x v="27"/>
    <x v="1"/>
    <x v="99"/>
    <x v="3"/>
    <x v="12"/>
    <s v="2024-05-04"/>
    <x v="2"/>
    <x v="4"/>
    <x v="0"/>
    <n v="270.41000000000003"/>
    <s v="5% off"/>
    <m/>
    <x v="0"/>
    <x v="1"/>
    <n v="270.41000000000003"/>
    <x v="3"/>
    <n v="5"/>
    <s v="Excellent"/>
  </r>
  <r>
    <s v="27f2c18a-7480-4390-b162-adbca851fc07"/>
    <x v="43"/>
    <x v="1"/>
    <x v="100"/>
    <x v="5"/>
    <x v="6"/>
    <s v="2024-04-06"/>
    <x v="2"/>
    <x v="0"/>
    <x v="0"/>
    <n v="76.81"/>
    <s v="0% off"/>
    <m/>
    <x v="1"/>
    <x v="1"/>
    <n v="76.81"/>
    <x v="0"/>
    <n v="3"/>
    <s v="Average"/>
  </r>
  <r>
    <s v="435a069e-272f-4626-bf1f-2e372fb09644"/>
    <x v="17"/>
    <x v="0"/>
    <x v="101"/>
    <x v="4"/>
    <x v="20"/>
    <s v="2024-04-18"/>
    <x v="3"/>
    <x v="0"/>
    <x v="0"/>
    <n v="260.77999999999997"/>
    <s v="5% off"/>
    <m/>
    <x v="0"/>
    <x v="1"/>
    <n v="260.77999999999997"/>
    <x v="3"/>
    <n v="1"/>
    <s v="Very Poor"/>
  </r>
  <r>
    <s v="bf1179e0-e499-4c26-83c6-b11a4026bd67"/>
    <x v="52"/>
    <x v="1"/>
    <x v="102"/>
    <x v="2"/>
    <x v="24"/>
    <s v="2025-01-23"/>
    <x v="3"/>
    <x v="9"/>
    <x v="1"/>
    <n v="52.44"/>
    <s v="0% off"/>
    <m/>
    <x v="1"/>
    <x v="0"/>
    <n v="52.44"/>
    <x v="0"/>
    <n v="3"/>
    <s v="Average"/>
  </r>
  <r>
    <s v="270a7d0e-42f7-4501-9803-bd7e5cef05eb"/>
    <x v="51"/>
    <x v="0"/>
    <x v="103"/>
    <x v="1"/>
    <x v="1"/>
    <s v="2025-02-11"/>
    <x v="1"/>
    <x v="8"/>
    <x v="1"/>
    <n v="67.040000000000006"/>
    <s v="0% off"/>
    <m/>
    <x v="1"/>
    <x v="1"/>
    <n v="67.040000000000006"/>
    <x v="1"/>
    <n v="2"/>
    <s v="Poor"/>
  </r>
  <r>
    <s v="1e679f6d-3c74-43bf-92ca-2ef049b86b41"/>
    <x v="34"/>
    <x v="0"/>
    <x v="104"/>
    <x v="4"/>
    <x v="4"/>
    <s v="2024-11-03"/>
    <x v="5"/>
    <x v="1"/>
    <x v="0"/>
    <n v="512.94000000000005"/>
    <s v="10% off"/>
    <m/>
    <x v="0"/>
    <x v="0"/>
    <n v="512.94000000000005"/>
    <x v="3"/>
    <n v="2"/>
    <s v="Poor"/>
  </r>
  <r>
    <s v="a89d0bbe-ef84-4b8b-8cad-f91b25689e25"/>
    <x v="17"/>
    <x v="0"/>
    <x v="105"/>
    <x v="2"/>
    <x v="2"/>
    <s v="2024-06-29"/>
    <x v="2"/>
    <x v="11"/>
    <x v="0"/>
    <n v="493.96"/>
    <s v="5% off"/>
    <m/>
    <x v="0"/>
    <x v="1"/>
    <n v="493.96"/>
    <x v="0"/>
    <n v="4"/>
    <s v="Good"/>
  </r>
  <r>
    <s v="84e683e8-3112-4922-94ad-4f163319e60f"/>
    <x v="41"/>
    <x v="1"/>
    <x v="106"/>
    <x v="2"/>
    <x v="18"/>
    <s v="2024-10-15"/>
    <x v="1"/>
    <x v="5"/>
    <x v="0"/>
    <n v="492.1"/>
    <s v="5% off"/>
    <m/>
    <x v="0"/>
    <x v="1"/>
    <n v="492.1"/>
    <x v="0"/>
    <n v="2"/>
    <s v="Poor"/>
  </r>
  <r>
    <s v="02821522-147f-4ed5-98de-39ee7c429e8d"/>
    <x v="36"/>
    <x v="1"/>
    <x v="89"/>
    <x v="5"/>
    <x v="6"/>
    <s v="2025-03-04"/>
    <x v="1"/>
    <x v="6"/>
    <x v="1"/>
    <n v="76.81"/>
    <s v="0% off"/>
    <m/>
    <x v="1"/>
    <x v="0"/>
    <n v="76.81"/>
    <x v="3"/>
    <n v="5"/>
    <s v="Excellent"/>
  </r>
  <r>
    <s v="b4f5e769-e733-46cf-ab12-0f237732f3a0"/>
    <x v="3"/>
    <x v="0"/>
    <x v="107"/>
    <x v="1"/>
    <x v="23"/>
    <s v="2025-02-24"/>
    <x v="6"/>
    <x v="8"/>
    <x v="1"/>
    <n v="362.55"/>
    <s v="5% off"/>
    <m/>
    <x v="0"/>
    <x v="1"/>
    <n v="362.55"/>
    <x v="3"/>
    <n v="5"/>
    <s v="Excellent"/>
  </r>
  <r>
    <s v="be9e2820-149e-425f-b714-334ec5eda945"/>
    <x v="6"/>
    <x v="0"/>
    <x v="108"/>
    <x v="3"/>
    <x v="19"/>
    <s v="2024-09-12"/>
    <x v="3"/>
    <x v="10"/>
    <x v="0"/>
    <n v="165.68"/>
    <s v="5% off"/>
    <m/>
    <x v="0"/>
    <x v="1"/>
    <n v="165.68"/>
    <x v="2"/>
    <n v="4"/>
    <s v="Good"/>
  </r>
  <r>
    <s v="66c55850-0cd6-414d-9fd7-aed5606af192"/>
    <x v="26"/>
    <x v="1"/>
    <x v="109"/>
    <x v="6"/>
    <x v="21"/>
    <s v="2024-05-04"/>
    <x v="2"/>
    <x v="4"/>
    <x v="0"/>
    <n v="461.81"/>
    <s v="5% off"/>
    <m/>
    <x v="0"/>
    <x v="0"/>
    <n v="461.81"/>
    <x v="3"/>
    <n v="3"/>
    <s v="Average"/>
  </r>
  <r>
    <s v="80e361dc-fe0c-4ecc-ab9d-0019aeb253a1"/>
    <x v="44"/>
    <x v="1"/>
    <x v="110"/>
    <x v="1"/>
    <x v="1"/>
    <s v="2024-07-01"/>
    <x v="6"/>
    <x v="2"/>
    <x v="0"/>
    <n v="67.040000000000006"/>
    <s v="0% off"/>
    <m/>
    <x v="1"/>
    <x v="1"/>
    <n v="67.040000000000006"/>
    <x v="2"/>
    <n v="5"/>
    <s v="Excellent"/>
  </r>
  <r>
    <s v="8e8087c6-0468-4f0f-a26b-eee1ae5ffeaa"/>
    <x v="20"/>
    <x v="0"/>
    <x v="111"/>
    <x v="5"/>
    <x v="6"/>
    <s v="2025-02-03"/>
    <x v="6"/>
    <x v="8"/>
    <x v="1"/>
    <n v="76.81"/>
    <s v="0% off"/>
    <m/>
    <x v="1"/>
    <x v="1"/>
    <n v="76.81"/>
    <x v="0"/>
    <n v="3"/>
    <s v="Average"/>
  </r>
  <r>
    <s v="ba0285a5-430a-4bc8-a93c-370c8c88a1f9"/>
    <x v="31"/>
    <x v="1"/>
    <x v="59"/>
    <x v="4"/>
    <x v="5"/>
    <s v="2024-05-29"/>
    <x v="4"/>
    <x v="4"/>
    <x v="0"/>
    <n v="988.77"/>
    <s v="20% off"/>
    <m/>
    <x v="0"/>
    <x v="0"/>
    <n v="988.77"/>
    <x v="3"/>
    <n v="1"/>
    <s v="Very Poor"/>
  </r>
  <r>
    <s v="9b8c61ee-2bba-4a3e-bf71-b3a4b1b2b374"/>
    <x v="26"/>
    <x v="1"/>
    <x v="112"/>
    <x v="0"/>
    <x v="22"/>
    <s v="2024-11-28"/>
    <x v="3"/>
    <x v="1"/>
    <x v="0"/>
    <n v="485.26"/>
    <s v="5% off"/>
    <m/>
    <x v="0"/>
    <x v="0"/>
    <n v="485.26"/>
    <x v="1"/>
    <n v="3"/>
    <s v="Average"/>
  </r>
  <r>
    <s v="6ff219f1-5883-4791-adae-57e51383832d"/>
    <x v="23"/>
    <x v="0"/>
    <x v="113"/>
    <x v="3"/>
    <x v="3"/>
    <s v="2024-04-25"/>
    <x v="3"/>
    <x v="0"/>
    <x v="0"/>
    <n v="211.46"/>
    <s v="5% off"/>
    <m/>
    <x v="0"/>
    <x v="0"/>
    <n v="211.46"/>
    <x v="2"/>
    <n v="2"/>
    <s v="Poor"/>
  </r>
  <r>
    <s v="422ee95f-ce83-4457-8ce6-11da8f5ef791"/>
    <x v="45"/>
    <x v="0"/>
    <x v="114"/>
    <x v="6"/>
    <x v="21"/>
    <s v="2024-11-09"/>
    <x v="2"/>
    <x v="1"/>
    <x v="0"/>
    <n v="461.81"/>
    <s v="5% off"/>
    <m/>
    <x v="0"/>
    <x v="0"/>
    <n v="461.81"/>
    <x v="2"/>
    <n v="1"/>
    <s v="Very Poor"/>
  </r>
  <r>
    <s v="331efb14-e741-4b01-943b-499de9cca2ca"/>
    <x v="16"/>
    <x v="1"/>
    <x v="115"/>
    <x v="6"/>
    <x v="21"/>
    <s v="2024-07-20"/>
    <x v="2"/>
    <x v="2"/>
    <x v="0"/>
    <n v="461.81"/>
    <s v="5% off"/>
    <m/>
    <x v="0"/>
    <x v="1"/>
    <n v="461.81"/>
    <x v="3"/>
    <n v="5"/>
    <s v="Excellent"/>
  </r>
  <r>
    <s v="72f66325-487e-4874-b3e8-96061509ca6e"/>
    <x v="48"/>
    <x v="1"/>
    <x v="116"/>
    <x v="2"/>
    <x v="27"/>
    <s v="2025-03-02"/>
    <x v="5"/>
    <x v="6"/>
    <x v="1"/>
    <n v="340.04"/>
    <s v="5% off"/>
    <m/>
    <x v="0"/>
    <x v="0"/>
    <n v="340.04"/>
    <x v="0"/>
    <n v="2"/>
    <s v="Poor"/>
  </r>
  <r>
    <s v="b9bf114d-3705-44be-ba76-99120b80360e"/>
    <x v="31"/>
    <x v="0"/>
    <x v="117"/>
    <x v="5"/>
    <x v="16"/>
    <s v="2024-11-01"/>
    <x v="0"/>
    <x v="1"/>
    <x v="0"/>
    <n v="592.26"/>
    <s v="10% off"/>
    <m/>
    <x v="0"/>
    <x v="0"/>
    <n v="592.26"/>
    <x v="3"/>
    <n v="2"/>
    <s v="Poor"/>
  </r>
  <r>
    <s v="5b03bb0f-f0cc-4a2d-868b-a945dbdc7691"/>
    <x v="26"/>
    <x v="1"/>
    <x v="118"/>
    <x v="4"/>
    <x v="5"/>
    <s v="2024-12-15"/>
    <x v="5"/>
    <x v="7"/>
    <x v="0"/>
    <n v="988.77"/>
    <s v="20% off"/>
    <m/>
    <x v="0"/>
    <x v="1"/>
    <n v="988.77"/>
    <x v="2"/>
    <n v="4"/>
    <s v="Good"/>
  </r>
  <r>
    <s v="bed41e47-e782-4a61-a104-3e714772155b"/>
    <x v="41"/>
    <x v="0"/>
    <x v="119"/>
    <x v="0"/>
    <x v="11"/>
    <s v="2024-05-20"/>
    <x v="6"/>
    <x v="4"/>
    <x v="0"/>
    <n v="116.78"/>
    <s v="0% off"/>
    <m/>
    <x v="1"/>
    <x v="1"/>
    <n v="116.78"/>
    <x v="1"/>
    <n v="1"/>
    <s v="Very Poor"/>
  </r>
  <r>
    <s v="5a98f7c1-219a-45d3-aba2-5341c0b7da6c"/>
    <x v="16"/>
    <x v="0"/>
    <x v="120"/>
    <x v="5"/>
    <x v="16"/>
    <s v="2024-05-26"/>
    <x v="5"/>
    <x v="4"/>
    <x v="0"/>
    <n v="592.26"/>
    <s v="10% off"/>
    <m/>
    <x v="0"/>
    <x v="0"/>
    <n v="592.26"/>
    <x v="1"/>
    <n v="5"/>
    <s v="Excellent"/>
  </r>
  <r>
    <s v="34b3e294-23b4-4eca-b8c4-8a1db845d174"/>
    <x v="51"/>
    <x v="1"/>
    <x v="121"/>
    <x v="4"/>
    <x v="20"/>
    <s v="2024-11-30"/>
    <x v="2"/>
    <x v="1"/>
    <x v="0"/>
    <n v="260.77999999999997"/>
    <s v="5% off"/>
    <m/>
    <x v="0"/>
    <x v="1"/>
    <n v="260.77999999999997"/>
    <x v="2"/>
    <n v="1"/>
    <s v="Very Poor"/>
  </r>
  <r>
    <s v="7beeaa27-824b-4ff6-a237-679908f4c543"/>
    <x v="41"/>
    <x v="1"/>
    <x v="122"/>
    <x v="2"/>
    <x v="2"/>
    <s v="2024-05-30"/>
    <x v="3"/>
    <x v="4"/>
    <x v="0"/>
    <n v="493.96"/>
    <s v="5% off"/>
    <m/>
    <x v="0"/>
    <x v="1"/>
    <n v="493.96"/>
    <x v="0"/>
    <n v="3"/>
    <s v="Average"/>
  </r>
  <r>
    <s v="d27db15a-61c5-49a2-bc92-bb43c3a2e43d"/>
    <x v="50"/>
    <x v="1"/>
    <x v="123"/>
    <x v="6"/>
    <x v="21"/>
    <s v="2024-07-02"/>
    <x v="1"/>
    <x v="2"/>
    <x v="0"/>
    <n v="461.81"/>
    <s v="5% off"/>
    <m/>
    <x v="0"/>
    <x v="0"/>
    <n v="461.81"/>
    <x v="1"/>
    <n v="1"/>
    <s v="Very Poor"/>
  </r>
  <r>
    <s v="405df87c-f5ac-424f-821a-3e3a796fc520"/>
    <x v="15"/>
    <x v="1"/>
    <x v="124"/>
    <x v="5"/>
    <x v="8"/>
    <s v="2024-08-21"/>
    <x v="4"/>
    <x v="3"/>
    <x v="0"/>
    <n v="374.92"/>
    <s v="5% off"/>
    <m/>
    <x v="0"/>
    <x v="1"/>
    <n v="374.92"/>
    <x v="3"/>
    <n v="3"/>
    <s v="Average"/>
  </r>
  <r>
    <s v="72a33728-e78a-47cf-998b-3d88517eb53d"/>
    <x v="8"/>
    <x v="1"/>
    <x v="125"/>
    <x v="3"/>
    <x v="15"/>
    <s v="2024-07-23"/>
    <x v="1"/>
    <x v="2"/>
    <x v="0"/>
    <n v="855.21"/>
    <s v="15% off"/>
    <m/>
    <x v="0"/>
    <x v="0"/>
    <n v="855.21"/>
    <x v="3"/>
    <n v="4"/>
    <s v="Good"/>
  </r>
  <r>
    <s v="88215d86-ebdc-4c1e-bd09-f83152fbcc15"/>
    <x v="32"/>
    <x v="0"/>
    <x v="126"/>
    <x v="5"/>
    <x v="9"/>
    <s v="2024-07-16"/>
    <x v="1"/>
    <x v="2"/>
    <x v="0"/>
    <n v="452.97"/>
    <s v="5% off"/>
    <m/>
    <x v="0"/>
    <x v="1"/>
    <n v="452.97"/>
    <x v="3"/>
    <n v="4"/>
    <s v="Good"/>
  </r>
  <r>
    <s v="47146a7b-879d-4afc-a64c-18d36bf857e6"/>
    <x v="36"/>
    <x v="0"/>
    <x v="127"/>
    <x v="4"/>
    <x v="5"/>
    <s v="2025-01-31"/>
    <x v="0"/>
    <x v="9"/>
    <x v="1"/>
    <n v="988.77"/>
    <s v="20% off"/>
    <m/>
    <x v="0"/>
    <x v="1"/>
    <n v="988.77"/>
    <x v="2"/>
    <n v="2"/>
    <s v="Poor"/>
  </r>
  <r>
    <s v="da30dbf3-fd23-47a6-a1be-634f42b9742d"/>
    <x v="48"/>
    <x v="1"/>
    <x v="128"/>
    <x v="3"/>
    <x v="12"/>
    <s v="2024-03-27"/>
    <x v="4"/>
    <x v="6"/>
    <x v="0"/>
    <n v="270.41000000000003"/>
    <s v="5% off"/>
    <m/>
    <x v="0"/>
    <x v="0"/>
    <n v="270.41000000000003"/>
    <x v="1"/>
    <n v="5"/>
    <s v="Excellent"/>
  </r>
  <r>
    <s v="0ddb469e-bc2a-4a41-b333-fb2fc4ca56c5"/>
    <x v="25"/>
    <x v="0"/>
    <x v="129"/>
    <x v="2"/>
    <x v="18"/>
    <s v="2024-11-23"/>
    <x v="2"/>
    <x v="1"/>
    <x v="0"/>
    <n v="492.1"/>
    <s v="5% off"/>
    <m/>
    <x v="0"/>
    <x v="1"/>
    <n v="492.1"/>
    <x v="2"/>
    <n v="2"/>
    <s v="Poor"/>
  </r>
  <r>
    <s v="6384f1a7-610a-437b-98de-fd586ad6ba1f"/>
    <x v="18"/>
    <x v="0"/>
    <x v="130"/>
    <x v="3"/>
    <x v="19"/>
    <s v="2024-05-24"/>
    <x v="0"/>
    <x v="4"/>
    <x v="0"/>
    <n v="165.68"/>
    <s v="5% off"/>
    <m/>
    <x v="0"/>
    <x v="1"/>
    <n v="165.68"/>
    <x v="1"/>
    <n v="4"/>
    <s v="Good"/>
  </r>
  <r>
    <s v="203f8fac-d364-4189-8327-54e019e16a74"/>
    <x v="22"/>
    <x v="0"/>
    <x v="131"/>
    <x v="0"/>
    <x v="11"/>
    <s v="2024-12-08"/>
    <x v="5"/>
    <x v="7"/>
    <x v="0"/>
    <n v="116.78"/>
    <s v="0% off"/>
    <m/>
    <x v="1"/>
    <x v="0"/>
    <n v="116.78"/>
    <x v="2"/>
    <n v="3"/>
    <s v="Average"/>
  </r>
  <r>
    <s v="afed16a1-f9d5-41fe-9209-c476d9225df0"/>
    <x v="9"/>
    <x v="0"/>
    <x v="132"/>
    <x v="6"/>
    <x v="10"/>
    <s v="2025-02-13"/>
    <x v="3"/>
    <x v="8"/>
    <x v="1"/>
    <n v="782.29"/>
    <s v="15% off"/>
    <m/>
    <x v="0"/>
    <x v="0"/>
    <n v="782.29"/>
    <x v="2"/>
    <n v="1"/>
    <s v="Very Poor"/>
  </r>
  <r>
    <s v="1e3c604f-a322-436e-9299-7a027c393271"/>
    <x v="37"/>
    <x v="0"/>
    <x v="72"/>
    <x v="0"/>
    <x v="22"/>
    <s v="2024-09-27"/>
    <x v="0"/>
    <x v="10"/>
    <x v="0"/>
    <n v="485.26"/>
    <s v="5% off"/>
    <m/>
    <x v="0"/>
    <x v="1"/>
    <n v="485.26"/>
    <x v="1"/>
    <n v="2"/>
    <s v="Poor"/>
  </r>
  <r>
    <s v="fb0f3866-1669-449c-91c6-68c42abbe292"/>
    <x v="18"/>
    <x v="1"/>
    <x v="75"/>
    <x v="5"/>
    <x v="6"/>
    <s v="2024-07-17"/>
    <x v="4"/>
    <x v="2"/>
    <x v="0"/>
    <n v="76.81"/>
    <s v="0% off"/>
    <m/>
    <x v="1"/>
    <x v="1"/>
    <n v="76.81"/>
    <x v="2"/>
    <n v="4"/>
    <s v="Good"/>
  </r>
  <r>
    <s v="931b3df1-1a20-4872-b332-8a9784598048"/>
    <x v="2"/>
    <x v="0"/>
    <x v="76"/>
    <x v="6"/>
    <x v="14"/>
    <s v="2025-03-27"/>
    <x v="3"/>
    <x v="6"/>
    <x v="1"/>
    <n v="965.09"/>
    <s v="20% off"/>
    <m/>
    <x v="0"/>
    <x v="1"/>
    <n v="965.09"/>
    <x v="1"/>
    <n v="1"/>
    <s v="Very Poor"/>
  </r>
  <r>
    <s v="d5263454-5f99-4667-a04c-1953ed154139"/>
    <x v="12"/>
    <x v="1"/>
    <x v="133"/>
    <x v="6"/>
    <x v="14"/>
    <s v="2025-01-16"/>
    <x v="3"/>
    <x v="9"/>
    <x v="1"/>
    <n v="965.09"/>
    <s v="20% off"/>
    <m/>
    <x v="0"/>
    <x v="0"/>
    <n v="965.09"/>
    <x v="0"/>
    <n v="1"/>
    <s v="Very Poor"/>
  </r>
  <r>
    <s v="f853c906-f813-4db0-9501-328df8e7b03a"/>
    <x v="7"/>
    <x v="1"/>
    <x v="134"/>
    <x v="5"/>
    <x v="6"/>
    <s v="2024-12-21"/>
    <x v="2"/>
    <x v="7"/>
    <x v="0"/>
    <n v="76.81"/>
    <s v="0% off"/>
    <m/>
    <x v="1"/>
    <x v="0"/>
    <n v="76.81"/>
    <x v="1"/>
    <n v="1"/>
    <s v="Very Poor"/>
  </r>
  <r>
    <s v="0aa9afa8-b6aa-4dc5-803b-25f146634ee4"/>
    <x v="18"/>
    <x v="1"/>
    <x v="135"/>
    <x v="1"/>
    <x v="25"/>
    <s v="2025-01-21"/>
    <x v="1"/>
    <x v="9"/>
    <x v="1"/>
    <n v="527.16999999999996"/>
    <s v="10% off"/>
    <m/>
    <x v="0"/>
    <x v="0"/>
    <n v="527.16999999999996"/>
    <x v="0"/>
    <n v="4"/>
    <s v="Good"/>
  </r>
  <r>
    <s v="0dd02a89-ac3b-4a39-aae0-131f30a3b4a6"/>
    <x v="38"/>
    <x v="0"/>
    <x v="136"/>
    <x v="6"/>
    <x v="10"/>
    <s v="2024-05-31"/>
    <x v="0"/>
    <x v="4"/>
    <x v="0"/>
    <n v="782.29"/>
    <s v="15% off"/>
    <m/>
    <x v="0"/>
    <x v="0"/>
    <n v="782.29"/>
    <x v="2"/>
    <n v="5"/>
    <s v="Excellent"/>
  </r>
  <r>
    <s v="01824472-f2f8-42a5-9f23-51f9eb0f76a1"/>
    <x v="44"/>
    <x v="0"/>
    <x v="137"/>
    <x v="6"/>
    <x v="14"/>
    <s v="2024-10-07"/>
    <x v="6"/>
    <x v="5"/>
    <x v="0"/>
    <n v="965.09"/>
    <s v="20% off"/>
    <m/>
    <x v="0"/>
    <x v="1"/>
    <n v="965.09"/>
    <x v="1"/>
    <n v="4"/>
    <s v="Good"/>
  </r>
  <r>
    <s v="a6b04950-934f-4db6-98b9-45baa1ca11cf"/>
    <x v="47"/>
    <x v="1"/>
    <x v="0"/>
    <x v="4"/>
    <x v="20"/>
    <s v="2024-11-09"/>
    <x v="2"/>
    <x v="1"/>
    <x v="0"/>
    <n v="260.77999999999997"/>
    <s v="5% off"/>
    <m/>
    <x v="0"/>
    <x v="0"/>
    <n v="260.77999999999997"/>
    <x v="2"/>
    <n v="3"/>
    <s v="Average"/>
  </r>
  <r>
    <s v="2cb8f625-bb3f-42b5-bfbc-b9dcb5841fd9"/>
    <x v="43"/>
    <x v="0"/>
    <x v="1"/>
    <x v="2"/>
    <x v="27"/>
    <s v="2025-01-18"/>
    <x v="2"/>
    <x v="9"/>
    <x v="1"/>
    <n v="340.04"/>
    <s v="5% off"/>
    <m/>
    <x v="0"/>
    <x v="1"/>
    <n v="340.04"/>
    <x v="3"/>
    <n v="2"/>
    <s v="Poor"/>
  </r>
  <r>
    <s v="dd122ec0-6057-4d87-830c-d71b6716f8f3"/>
    <x v="26"/>
    <x v="1"/>
    <x v="2"/>
    <x v="4"/>
    <x v="17"/>
    <s v="2025-01-23"/>
    <x v="3"/>
    <x v="9"/>
    <x v="1"/>
    <n v="315.56"/>
    <s v="5% off"/>
    <m/>
    <x v="0"/>
    <x v="0"/>
    <n v="315.56"/>
    <x v="2"/>
    <n v="3"/>
    <s v="Average"/>
  </r>
  <r>
    <s v="071bef15-3718-4a48-900e-4e6490c1b32c"/>
    <x v="33"/>
    <x v="0"/>
    <x v="3"/>
    <x v="5"/>
    <x v="6"/>
    <s v="2024-05-31"/>
    <x v="0"/>
    <x v="4"/>
    <x v="0"/>
    <n v="76.81"/>
    <s v="0% off"/>
    <m/>
    <x v="1"/>
    <x v="1"/>
    <n v="76.81"/>
    <x v="0"/>
    <n v="4"/>
    <s v="Good"/>
  </r>
  <r>
    <s v="1fee17d0-de17-48cd-9c80-5916e4f4ca1b"/>
    <x v="36"/>
    <x v="1"/>
    <x v="4"/>
    <x v="2"/>
    <x v="2"/>
    <s v="2024-12-12"/>
    <x v="3"/>
    <x v="7"/>
    <x v="0"/>
    <n v="493.96"/>
    <s v="5% off"/>
    <m/>
    <x v="0"/>
    <x v="0"/>
    <n v="493.96"/>
    <x v="0"/>
    <n v="2"/>
    <s v="Poor"/>
  </r>
  <r>
    <s v="009f27e9-925c-4756-94d8-940559a764de"/>
    <x v="8"/>
    <x v="0"/>
    <x v="5"/>
    <x v="2"/>
    <x v="27"/>
    <s v="2024-06-09"/>
    <x v="5"/>
    <x v="11"/>
    <x v="0"/>
    <n v="340.04"/>
    <s v="5% off"/>
    <m/>
    <x v="0"/>
    <x v="1"/>
    <n v="340.04"/>
    <x v="2"/>
    <n v="1"/>
    <s v="Very Poor"/>
  </r>
  <r>
    <s v="3dbbb498-517b-48f9-a643-14a626d589b9"/>
    <x v="38"/>
    <x v="0"/>
    <x v="6"/>
    <x v="5"/>
    <x v="16"/>
    <s v="2024-11-06"/>
    <x v="4"/>
    <x v="1"/>
    <x v="0"/>
    <n v="592.26"/>
    <s v="10% off"/>
    <m/>
    <x v="0"/>
    <x v="1"/>
    <n v="592.26"/>
    <x v="1"/>
    <n v="1"/>
    <s v="Very Poor"/>
  </r>
  <r>
    <s v="889166ac-0864-405c-9c84-715a95057955"/>
    <x v="33"/>
    <x v="0"/>
    <x v="7"/>
    <x v="5"/>
    <x v="9"/>
    <s v="2024-06-25"/>
    <x v="1"/>
    <x v="11"/>
    <x v="0"/>
    <n v="452.97"/>
    <s v="5% off"/>
    <m/>
    <x v="0"/>
    <x v="1"/>
    <n v="452.97"/>
    <x v="0"/>
    <n v="2"/>
    <s v="Poor"/>
  </r>
  <r>
    <s v="9b151b86-424f-4317-ba76-c7274bae0df4"/>
    <x v="24"/>
    <x v="0"/>
    <x v="8"/>
    <x v="6"/>
    <x v="10"/>
    <s v="2025-03-16"/>
    <x v="5"/>
    <x v="6"/>
    <x v="1"/>
    <n v="782.29"/>
    <s v="15% off"/>
    <m/>
    <x v="0"/>
    <x v="1"/>
    <n v="782.29"/>
    <x v="1"/>
    <n v="3"/>
    <s v="Average"/>
  </r>
  <r>
    <s v="447eb555-d0f3-4a13-81b8-ceb7de4a4eb4"/>
    <x v="37"/>
    <x v="0"/>
    <x v="9"/>
    <x v="3"/>
    <x v="19"/>
    <s v="2025-01-15"/>
    <x v="4"/>
    <x v="9"/>
    <x v="1"/>
    <n v="165.68"/>
    <s v="5% off"/>
    <m/>
    <x v="0"/>
    <x v="1"/>
    <n v="165.68"/>
    <x v="2"/>
    <n v="5"/>
    <s v="Excellent"/>
  </r>
  <r>
    <s v="e3324644-0428-4474-965e-6ce1877db2cf"/>
    <x v="47"/>
    <x v="0"/>
    <x v="10"/>
    <x v="6"/>
    <x v="21"/>
    <s v="2024-12-16"/>
    <x v="6"/>
    <x v="7"/>
    <x v="0"/>
    <n v="461.81"/>
    <s v="5% off"/>
    <m/>
    <x v="0"/>
    <x v="1"/>
    <n v="461.81"/>
    <x v="2"/>
    <n v="1"/>
    <s v="Very Poor"/>
  </r>
  <r>
    <s v="faceee16-d1c0-4123-a17c-5ac9620c7b24"/>
    <x v="15"/>
    <x v="1"/>
    <x v="11"/>
    <x v="2"/>
    <x v="27"/>
    <s v="2024-10-18"/>
    <x v="0"/>
    <x v="5"/>
    <x v="0"/>
    <n v="340.04"/>
    <s v="5% off"/>
    <m/>
    <x v="0"/>
    <x v="1"/>
    <n v="340.04"/>
    <x v="1"/>
    <n v="3"/>
    <s v="Average"/>
  </r>
  <r>
    <s v="0b215365-251d-4f3b-831e-b641f0fd8cc9"/>
    <x v="13"/>
    <x v="1"/>
    <x v="12"/>
    <x v="0"/>
    <x v="0"/>
    <s v="2024-06-23"/>
    <x v="5"/>
    <x v="11"/>
    <x v="0"/>
    <n v="697.86"/>
    <s v="10% off"/>
    <m/>
    <x v="0"/>
    <x v="0"/>
    <n v="697.86"/>
    <x v="1"/>
    <n v="5"/>
    <s v="Excellent"/>
  </r>
  <r>
    <s v="bb95d965-f90d-49ab-b760-c6f24ae4d279"/>
    <x v="35"/>
    <x v="0"/>
    <x v="13"/>
    <x v="3"/>
    <x v="15"/>
    <s v="2024-09-23"/>
    <x v="6"/>
    <x v="10"/>
    <x v="0"/>
    <n v="855.21"/>
    <s v="15% off"/>
    <m/>
    <x v="0"/>
    <x v="0"/>
    <n v="855.21"/>
    <x v="3"/>
    <n v="3"/>
    <s v="Average"/>
  </r>
  <r>
    <s v="4a939bfb-c37a-44c1-967b-54422fc6d4a6"/>
    <x v="24"/>
    <x v="1"/>
    <x v="14"/>
    <x v="3"/>
    <x v="15"/>
    <s v="2024-05-09"/>
    <x v="3"/>
    <x v="4"/>
    <x v="0"/>
    <n v="855.21"/>
    <s v="15% off"/>
    <m/>
    <x v="0"/>
    <x v="1"/>
    <n v="855.21"/>
    <x v="2"/>
    <n v="5"/>
    <s v="Excellent"/>
  </r>
  <r>
    <s v="2b324202-178c-45af-8573-ed752f905dfe"/>
    <x v="15"/>
    <x v="1"/>
    <x v="15"/>
    <x v="0"/>
    <x v="22"/>
    <s v="2024-06-09"/>
    <x v="5"/>
    <x v="11"/>
    <x v="0"/>
    <n v="485.26"/>
    <s v="5% off"/>
    <m/>
    <x v="0"/>
    <x v="0"/>
    <n v="485.26"/>
    <x v="1"/>
    <n v="4"/>
    <s v="Good"/>
  </r>
  <r>
    <s v="8fb99e7a-6aac-4b6a-a6cd-fffc3c8164d1"/>
    <x v="34"/>
    <x v="0"/>
    <x v="16"/>
    <x v="6"/>
    <x v="14"/>
    <s v="2024-07-08"/>
    <x v="6"/>
    <x v="2"/>
    <x v="0"/>
    <n v="965.09"/>
    <s v="20% off"/>
    <m/>
    <x v="0"/>
    <x v="1"/>
    <n v="965.09"/>
    <x v="0"/>
    <n v="2"/>
    <s v="Poor"/>
  </r>
  <r>
    <s v="f10479d0-eb9b-4694-b552-2f52004c1b80"/>
    <x v="43"/>
    <x v="1"/>
    <x v="17"/>
    <x v="0"/>
    <x v="0"/>
    <s v="2024-07-19"/>
    <x v="0"/>
    <x v="2"/>
    <x v="0"/>
    <n v="697.86"/>
    <s v="10% off"/>
    <m/>
    <x v="0"/>
    <x v="1"/>
    <n v="697.86"/>
    <x v="2"/>
    <n v="4"/>
    <s v="Good"/>
  </r>
  <r>
    <s v="55e23a88-28ca-4212-9975-b0b28a3d6694"/>
    <x v="41"/>
    <x v="0"/>
    <x v="18"/>
    <x v="3"/>
    <x v="15"/>
    <s v="2024-07-03"/>
    <x v="4"/>
    <x v="2"/>
    <x v="0"/>
    <n v="855.21"/>
    <s v="15% off"/>
    <m/>
    <x v="0"/>
    <x v="0"/>
    <n v="855.21"/>
    <x v="3"/>
    <n v="4"/>
    <s v="Good"/>
  </r>
  <r>
    <s v="588526cf-9bc9-4795-8915-c369c4824792"/>
    <x v="43"/>
    <x v="0"/>
    <x v="19"/>
    <x v="5"/>
    <x v="6"/>
    <s v="2024-09-19"/>
    <x v="3"/>
    <x v="10"/>
    <x v="0"/>
    <n v="76.81"/>
    <s v="0% off"/>
    <m/>
    <x v="1"/>
    <x v="0"/>
    <n v="76.81"/>
    <x v="0"/>
    <n v="5"/>
    <s v="Excellent"/>
  </r>
  <r>
    <s v="c48a563f-6ce5-4d3b-9983-d410c6710da5"/>
    <x v="52"/>
    <x v="1"/>
    <x v="20"/>
    <x v="2"/>
    <x v="2"/>
    <s v="2025-02-19"/>
    <x v="4"/>
    <x v="8"/>
    <x v="1"/>
    <n v="493.96"/>
    <s v="5% off"/>
    <m/>
    <x v="0"/>
    <x v="0"/>
    <n v="493.96"/>
    <x v="0"/>
    <n v="1"/>
    <s v="Very Poor"/>
  </r>
  <r>
    <s v="ab60a878-2d6a-4d83-820e-7b6b06d03ce7"/>
    <x v="32"/>
    <x v="1"/>
    <x v="21"/>
    <x v="4"/>
    <x v="4"/>
    <s v="2025-03-05"/>
    <x v="4"/>
    <x v="6"/>
    <x v="1"/>
    <n v="512.94000000000005"/>
    <s v="10% off"/>
    <m/>
    <x v="0"/>
    <x v="0"/>
    <n v="512.94000000000005"/>
    <x v="3"/>
    <n v="5"/>
    <s v="Excellent"/>
  </r>
  <r>
    <s v="0c5f5302-70fb-4bfb-a6eb-0c4ea9a274fc"/>
    <x v="30"/>
    <x v="1"/>
    <x v="22"/>
    <x v="0"/>
    <x v="22"/>
    <s v="2024-08-22"/>
    <x v="3"/>
    <x v="3"/>
    <x v="0"/>
    <n v="485.26"/>
    <s v="5% off"/>
    <m/>
    <x v="0"/>
    <x v="1"/>
    <n v="485.26"/>
    <x v="3"/>
    <n v="5"/>
    <s v="Excellent"/>
  </r>
  <r>
    <s v="fe39c56c-74e5-408e-a87d-19e4707c5922"/>
    <x v="19"/>
    <x v="0"/>
    <x v="23"/>
    <x v="2"/>
    <x v="18"/>
    <s v="2025-01-30"/>
    <x v="3"/>
    <x v="9"/>
    <x v="1"/>
    <n v="492.1"/>
    <s v="5% off"/>
    <m/>
    <x v="0"/>
    <x v="0"/>
    <n v="492.1"/>
    <x v="1"/>
    <n v="2"/>
    <s v="Poor"/>
  </r>
  <r>
    <s v="a91840a2-7a41-4905-89a0-d54c479864a9"/>
    <x v="31"/>
    <x v="0"/>
    <x v="24"/>
    <x v="1"/>
    <x v="1"/>
    <s v="2024-11-10"/>
    <x v="5"/>
    <x v="1"/>
    <x v="0"/>
    <n v="67.040000000000006"/>
    <s v="0% off"/>
    <m/>
    <x v="1"/>
    <x v="1"/>
    <n v="67.040000000000006"/>
    <x v="2"/>
    <n v="2"/>
    <s v="Poor"/>
  </r>
  <r>
    <s v="b1e054ff-5fbc-4526-8884-71d70eaadc04"/>
    <x v="5"/>
    <x v="1"/>
    <x v="25"/>
    <x v="4"/>
    <x v="17"/>
    <s v="2024-07-25"/>
    <x v="3"/>
    <x v="2"/>
    <x v="0"/>
    <n v="315.56"/>
    <s v="5% off"/>
    <m/>
    <x v="0"/>
    <x v="1"/>
    <n v="315.56"/>
    <x v="2"/>
    <n v="3"/>
    <s v="Average"/>
  </r>
  <r>
    <s v="05e69be2-0fd6-4b8b-881f-44d180daaeb0"/>
    <x v="7"/>
    <x v="1"/>
    <x v="26"/>
    <x v="0"/>
    <x v="11"/>
    <s v="2024-03-29"/>
    <x v="0"/>
    <x v="6"/>
    <x v="0"/>
    <n v="116.78"/>
    <s v="0% off"/>
    <m/>
    <x v="1"/>
    <x v="0"/>
    <n v="116.78"/>
    <x v="3"/>
    <n v="5"/>
    <s v="Excellent"/>
  </r>
  <r>
    <s v="abef5993-71e6-4ad5-9c41-acd80845a974"/>
    <x v="12"/>
    <x v="1"/>
    <x v="27"/>
    <x v="1"/>
    <x v="1"/>
    <s v="2024-07-18"/>
    <x v="3"/>
    <x v="2"/>
    <x v="0"/>
    <n v="67.040000000000006"/>
    <s v="0% off"/>
    <m/>
    <x v="1"/>
    <x v="1"/>
    <n v="67.040000000000006"/>
    <x v="2"/>
    <n v="4"/>
    <s v="Good"/>
  </r>
  <r>
    <s v="7c317199-8e83-438d-b7d4-3b96b850d0bf"/>
    <x v="2"/>
    <x v="0"/>
    <x v="28"/>
    <x v="2"/>
    <x v="2"/>
    <s v="2024-10-31"/>
    <x v="3"/>
    <x v="5"/>
    <x v="0"/>
    <n v="493.96"/>
    <s v="5% off"/>
    <m/>
    <x v="0"/>
    <x v="1"/>
    <n v="493.96"/>
    <x v="2"/>
    <n v="3"/>
    <s v="Average"/>
  </r>
  <r>
    <s v="f3b59170-87fc-40ad-a991-ed5879bf0482"/>
    <x v="35"/>
    <x v="1"/>
    <x v="29"/>
    <x v="4"/>
    <x v="4"/>
    <s v="2024-03-27"/>
    <x v="4"/>
    <x v="6"/>
    <x v="0"/>
    <n v="512.94000000000005"/>
    <s v="10% off"/>
    <m/>
    <x v="0"/>
    <x v="0"/>
    <n v="512.94000000000005"/>
    <x v="1"/>
    <n v="5"/>
    <s v="Excellent"/>
  </r>
  <r>
    <s v="44740234-2bd7-450c-9fb6-527601c31f6f"/>
    <x v="6"/>
    <x v="1"/>
    <x v="30"/>
    <x v="5"/>
    <x v="16"/>
    <s v="2025-03-12"/>
    <x v="4"/>
    <x v="6"/>
    <x v="1"/>
    <n v="592.26"/>
    <s v="10% off"/>
    <m/>
    <x v="0"/>
    <x v="1"/>
    <n v="592.26"/>
    <x v="1"/>
    <n v="1"/>
    <s v="Very Poor"/>
  </r>
  <r>
    <s v="945f2312-7a17-4b80-ae99-fe57d9f97b3f"/>
    <x v="32"/>
    <x v="1"/>
    <x v="31"/>
    <x v="6"/>
    <x v="10"/>
    <s v="2024-12-31"/>
    <x v="1"/>
    <x v="7"/>
    <x v="0"/>
    <n v="782.29"/>
    <s v="15% off"/>
    <m/>
    <x v="0"/>
    <x v="1"/>
    <n v="782.29"/>
    <x v="3"/>
    <n v="5"/>
    <s v="Excellent"/>
  </r>
  <r>
    <s v="f5c38a6c-2783-4f14-885b-5a947c22fb16"/>
    <x v="39"/>
    <x v="1"/>
    <x v="32"/>
    <x v="4"/>
    <x v="4"/>
    <s v="2024-08-25"/>
    <x v="5"/>
    <x v="3"/>
    <x v="0"/>
    <n v="512.94000000000005"/>
    <s v="10% off"/>
    <m/>
    <x v="0"/>
    <x v="1"/>
    <n v="512.94000000000005"/>
    <x v="0"/>
    <n v="4"/>
    <s v="Good"/>
  </r>
  <r>
    <s v="ad5b7bac-3cba-4c46-abd5-ee5cbca40a1c"/>
    <x v="27"/>
    <x v="1"/>
    <x v="33"/>
    <x v="0"/>
    <x v="7"/>
    <s v="2024-08-29"/>
    <x v="3"/>
    <x v="3"/>
    <x v="0"/>
    <n v="78.349999999999994"/>
    <s v="0% off"/>
    <m/>
    <x v="1"/>
    <x v="1"/>
    <n v="78.349999999999994"/>
    <x v="2"/>
    <n v="3"/>
    <s v="Average"/>
  </r>
  <r>
    <s v="7d283985-d788-400e-86c2-025ae6e08663"/>
    <x v="20"/>
    <x v="0"/>
    <x v="34"/>
    <x v="3"/>
    <x v="12"/>
    <s v="2024-08-16"/>
    <x v="0"/>
    <x v="3"/>
    <x v="0"/>
    <n v="270.41000000000003"/>
    <s v="5% off"/>
    <m/>
    <x v="0"/>
    <x v="0"/>
    <n v="270.41000000000003"/>
    <x v="1"/>
    <n v="2"/>
    <s v="Poor"/>
  </r>
  <r>
    <s v="09e8b1f3-c061-4d12-bac3-af8372bee67d"/>
    <x v="48"/>
    <x v="0"/>
    <x v="35"/>
    <x v="1"/>
    <x v="1"/>
    <s v="2024-05-29"/>
    <x v="4"/>
    <x v="4"/>
    <x v="0"/>
    <n v="67.040000000000006"/>
    <s v="0% off"/>
    <m/>
    <x v="1"/>
    <x v="0"/>
    <n v="67.040000000000006"/>
    <x v="2"/>
    <n v="1"/>
    <s v="Very Poor"/>
  </r>
  <r>
    <s v="65e32f1e-29d9-485c-970d-a0a93f8c37b8"/>
    <x v="40"/>
    <x v="0"/>
    <x v="36"/>
    <x v="4"/>
    <x v="5"/>
    <s v="2024-07-03"/>
    <x v="4"/>
    <x v="2"/>
    <x v="0"/>
    <n v="988.77"/>
    <s v="20% off"/>
    <m/>
    <x v="0"/>
    <x v="1"/>
    <n v="988.77"/>
    <x v="2"/>
    <n v="3"/>
    <s v="Average"/>
  </r>
  <r>
    <s v="557288ca-8a96-43ec-b32a-b6cd29d92919"/>
    <x v="12"/>
    <x v="1"/>
    <x v="37"/>
    <x v="0"/>
    <x v="7"/>
    <s v="2024-04-13"/>
    <x v="2"/>
    <x v="0"/>
    <x v="0"/>
    <n v="78.349999999999994"/>
    <s v="0% off"/>
    <m/>
    <x v="1"/>
    <x v="1"/>
    <n v="78.349999999999994"/>
    <x v="2"/>
    <n v="1"/>
    <s v="Very Poor"/>
  </r>
  <r>
    <s v="cb03d3b7-ad5e-4f02-8f12-61998df3b95e"/>
    <x v="40"/>
    <x v="1"/>
    <x v="38"/>
    <x v="0"/>
    <x v="0"/>
    <s v="2024-04-20"/>
    <x v="2"/>
    <x v="0"/>
    <x v="0"/>
    <n v="697.86"/>
    <s v="10% off"/>
    <m/>
    <x v="0"/>
    <x v="0"/>
    <n v="697.86"/>
    <x v="3"/>
    <n v="4"/>
    <s v="Good"/>
  </r>
  <r>
    <s v="2bdf464b-caab-4958-8465-ede9f43a3412"/>
    <x v="14"/>
    <x v="1"/>
    <x v="39"/>
    <x v="3"/>
    <x v="12"/>
    <s v="2024-08-18"/>
    <x v="5"/>
    <x v="3"/>
    <x v="0"/>
    <n v="270.41000000000003"/>
    <s v="5% off"/>
    <m/>
    <x v="0"/>
    <x v="0"/>
    <n v="270.41000000000003"/>
    <x v="2"/>
    <n v="1"/>
    <s v="Very Poor"/>
  </r>
  <r>
    <s v="4dddd153-914e-4df2-9477-e0a1220a1bb1"/>
    <x v="46"/>
    <x v="0"/>
    <x v="40"/>
    <x v="2"/>
    <x v="27"/>
    <s v="2024-10-30"/>
    <x v="4"/>
    <x v="5"/>
    <x v="0"/>
    <n v="340.04"/>
    <s v="5% off"/>
    <m/>
    <x v="0"/>
    <x v="0"/>
    <n v="340.04"/>
    <x v="3"/>
    <n v="1"/>
    <s v="Very Poor"/>
  </r>
  <r>
    <s v="fd237b6d-96ea-4ca4-b50f-16e5e14b2064"/>
    <x v="35"/>
    <x v="0"/>
    <x v="41"/>
    <x v="4"/>
    <x v="5"/>
    <s v="2024-05-29"/>
    <x v="4"/>
    <x v="4"/>
    <x v="0"/>
    <n v="988.77"/>
    <s v="20% off"/>
    <m/>
    <x v="0"/>
    <x v="0"/>
    <n v="988.77"/>
    <x v="1"/>
    <n v="3"/>
    <s v="Average"/>
  </r>
  <r>
    <s v="3754d16f-e08b-402b-a3d2-c07320426996"/>
    <x v="46"/>
    <x v="1"/>
    <x v="42"/>
    <x v="4"/>
    <x v="4"/>
    <s v="2024-10-16"/>
    <x v="4"/>
    <x v="5"/>
    <x v="0"/>
    <n v="512.94000000000005"/>
    <s v="10% off"/>
    <m/>
    <x v="0"/>
    <x v="1"/>
    <n v="512.94000000000005"/>
    <x v="3"/>
    <n v="5"/>
    <s v="Excellent"/>
  </r>
  <r>
    <s v="614e4c7c-ace3-459a-b5aa-63c839d68d4f"/>
    <x v="30"/>
    <x v="1"/>
    <x v="43"/>
    <x v="1"/>
    <x v="25"/>
    <s v="2024-10-29"/>
    <x v="1"/>
    <x v="5"/>
    <x v="0"/>
    <n v="527.16999999999996"/>
    <s v="10% off"/>
    <m/>
    <x v="0"/>
    <x v="0"/>
    <n v="527.16999999999996"/>
    <x v="3"/>
    <n v="3"/>
    <s v="Average"/>
  </r>
  <r>
    <s v="489da7ea-fdf8-4a46-9465-bead50750284"/>
    <x v="32"/>
    <x v="1"/>
    <x v="44"/>
    <x v="0"/>
    <x v="22"/>
    <s v="2025-03-05"/>
    <x v="4"/>
    <x v="6"/>
    <x v="1"/>
    <n v="485.26"/>
    <s v="5% off"/>
    <m/>
    <x v="0"/>
    <x v="0"/>
    <n v="485.26"/>
    <x v="2"/>
    <n v="1"/>
    <s v="Very Poor"/>
  </r>
  <r>
    <s v="8995dff1-580d-48d9-af86-6beb465c2b36"/>
    <x v="20"/>
    <x v="1"/>
    <x v="45"/>
    <x v="6"/>
    <x v="14"/>
    <s v="2025-01-25"/>
    <x v="2"/>
    <x v="9"/>
    <x v="1"/>
    <n v="965.09"/>
    <s v="20% off"/>
    <m/>
    <x v="0"/>
    <x v="0"/>
    <n v="965.09"/>
    <x v="2"/>
    <n v="4"/>
    <s v="Good"/>
  </r>
  <r>
    <s v="2e4c57be-8d04-4a32-aa75-44f3025ae040"/>
    <x v="31"/>
    <x v="1"/>
    <x v="46"/>
    <x v="5"/>
    <x v="6"/>
    <s v="2024-07-18"/>
    <x v="3"/>
    <x v="2"/>
    <x v="0"/>
    <n v="76.81"/>
    <s v="0% off"/>
    <m/>
    <x v="1"/>
    <x v="0"/>
    <n v="76.81"/>
    <x v="2"/>
    <n v="2"/>
    <s v="Poor"/>
  </r>
  <r>
    <s v="63d5c57f-6f3f-478e-8a45-2f6f77478dd4"/>
    <x v="18"/>
    <x v="0"/>
    <x v="47"/>
    <x v="3"/>
    <x v="15"/>
    <s v="2025-02-07"/>
    <x v="0"/>
    <x v="8"/>
    <x v="1"/>
    <n v="855.21"/>
    <s v="15% off"/>
    <m/>
    <x v="0"/>
    <x v="0"/>
    <n v="855.21"/>
    <x v="2"/>
    <n v="2"/>
    <s v="Poor"/>
  </r>
  <r>
    <s v="509b98e0-dbe8-4c79-9817-06ba45293d5c"/>
    <x v="29"/>
    <x v="1"/>
    <x v="48"/>
    <x v="4"/>
    <x v="17"/>
    <s v="2024-08-31"/>
    <x v="2"/>
    <x v="3"/>
    <x v="0"/>
    <n v="315.56"/>
    <s v="5% off"/>
    <m/>
    <x v="0"/>
    <x v="0"/>
    <n v="315.56"/>
    <x v="3"/>
    <n v="5"/>
    <s v="Excellent"/>
  </r>
  <r>
    <s v="85f5d554-4e61-4cb8-9f40-6f42e050ac8a"/>
    <x v="7"/>
    <x v="1"/>
    <x v="49"/>
    <x v="5"/>
    <x v="8"/>
    <s v="2024-11-03"/>
    <x v="5"/>
    <x v="1"/>
    <x v="0"/>
    <n v="374.92"/>
    <s v="5% off"/>
    <m/>
    <x v="0"/>
    <x v="1"/>
    <n v="374.92"/>
    <x v="1"/>
    <n v="3"/>
    <s v="Average"/>
  </r>
  <r>
    <s v="858130d7-a2df-451a-9e19-4659f45ae341"/>
    <x v="34"/>
    <x v="1"/>
    <x v="50"/>
    <x v="2"/>
    <x v="18"/>
    <s v="2024-12-28"/>
    <x v="2"/>
    <x v="7"/>
    <x v="0"/>
    <n v="492.1"/>
    <s v="5% off"/>
    <m/>
    <x v="0"/>
    <x v="1"/>
    <n v="492.1"/>
    <x v="1"/>
    <n v="5"/>
    <s v="Excellent"/>
  </r>
  <r>
    <s v="73280a6c-bf69-4662-9147-6720ac617da6"/>
    <x v="15"/>
    <x v="1"/>
    <x v="51"/>
    <x v="5"/>
    <x v="16"/>
    <s v="2025-01-19"/>
    <x v="5"/>
    <x v="9"/>
    <x v="1"/>
    <n v="592.26"/>
    <s v="10% off"/>
    <m/>
    <x v="0"/>
    <x v="1"/>
    <n v="592.26"/>
    <x v="0"/>
    <n v="4"/>
    <s v="Good"/>
  </r>
  <r>
    <s v="6662c452-3d9e-44ff-bd94-f2627edd14c2"/>
    <x v="49"/>
    <x v="1"/>
    <x v="52"/>
    <x v="5"/>
    <x v="16"/>
    <s v="2024-08-21"/>
    <x v="4"/>
    <x v="3"/>
    <x v="0"/>
    <n v="592.26"/>
    <s v="10% off"/>
    <m/>
    <x v="0"/>
    <x v="0"/>
    <n v="592.26"/>
    <x v="3"/>
    <n v="1"/>
    <s v="Very Poor"/>
  </r>
  <r>
    <s v="e5eaf981-77a2-4c81-aee8-ba4e742fdf42"/>
    <x v="40"/>
    <x v="0"/>
    <x v="53"/>
    <x v="5"/>
    <x v="8"/>
    <s v="2025-03-10"/>
    <x v="6"/>
    <x v="6"/>
    <x v="1"/>
    <n v="374.92"/>
    <s v="5% off"/>
    <m/>
    <x v="0"/>
    <x v="1"/>
    <n v="374.92"/>
    <x v="3"/>
    <n v="3"/>
    <s v="Average"/>
  </r>
  <r>
    <s v="906fece1-cfba-4f58-bed6-8f4d1f4051cd"/>
    <x v="22"/>
    <x v="0"/>
    <x v="33"/>
    <x v="6"/>
    <x v="21"/>
    <s v="2025-03-09"/>
    <x v="5"/>
    <x v="6"/>
    <x v="1"/>
    <n v="461.81"/>
    <s v="5% off"/>
    <m/>
    <x v="0"/>
    <x v="0"/>
    <n v="461.81"/>
    <x v="1"/>
    <n v="5"/>
    <s v="Excellent"/>
  </r>
  <r>
    <s v="5e20456e-7989-479a-90b6-cdda290bc0b3"/>
    <x v="40"/>
    <x v="0"/>
    <x v="54"/>
    <x v="0"/>
    <x v="7"/>
    <s v="2024-11-20"/>
    <x v="4"/>
    <x v="1"/>
    <x v="0"/>
    <n v="78.349999999999994"/>
    <s v="0% off"/>
    <m/>
    <x v="1"/>
    <x v="0"/>
    <n v="78.349999999999994"/>
    <x v="0"/>
    <n v="3"/>
    <s v="Average"/>
  </r>
  <r>
    <s v="24a32f18-6eb9-4ecc-90b8-83d5091dae60"/>
    <x v="31"/>
    <x v="0"/>
    <x v="55"/>
    <x v="6"/>
    <x v="14"/>
    <s v="2024-08-17"/>
    <x v="2"/>
    <x v="3"/>
    <x v="0"/>
    <n v="965.09"/>
    <s v="20% off"/>
    <m/>
    <x v="0"/>
    <x v="1"/>
    <n v="965.09"/>
    <x v="3"/>
    <n v="2"/>
    <s v="Poor"/>
  </r>
  <r>
    <s v="9d46e8ed-095d-4f07-9c4a-a2bd53d0a1ec"/>
    <x v="1"/>
    <x v="0"/>
    <x v="56"/>
    <x v="5"/>
    <x v="6"/>
    <s v="2024-08-21"/>
    <x v="4"/>
    <x v="3"/>
    <x v="0"/>
    <n v="76.81"/>
    <s v="0% off"/>
    <m/>
    <x v="1"/>
    <x v="1"/>
    <n v="76.81"/>
    <x v="3"/>
    <n v="5"/>
    <s v="Excellent"/>
  </r>
  <r>
    <s v="58c54b5f-3db8-4187-8c91-edf3c5ba6d9c"/>
    <x v="25"/>
    <x v="0"/>
    <x v="57"/>
    <x v="0"/>
    <x v="0"/>
    <s v="2024-06-15"/>
    <x v="2"/>
    <x v="11"/>
    <x v="0"/>
    <n v="697.86"/>
    <s v="10% off"/>
    <m/>
    <x v="0"/>
    <x v="1"/>
    <n v="697.86"/>
    <x v="2"/>
    <n v="5"/>
    <s v="Excellent"/>
  </r>
  <r>
    <s v="181be146-35d8-4837-a0a0-4c88daec481e"/>
    <x v="49"/>
    <x v="0"/>
    <x v="58"/>
    <x v="6"/>
    <x v="13"/>
    <s v="2025-03-21"/>
    <x v="0"/>
    <x v="6"/>
    <x v="1"/>
    <n v="418.55"/>
    <s v="5% off"/>
    <m/>
    <x v="0"/>
    <x v="0"/>
    <n v="418.55"/>
    <x v="1"/>
    <n v="4"/>
    <s v="Good"/>
  </r>
  <r>
    <s v="bf83dff8-6ef2-493c-b37b-484413802d62"/>
    <x v="30"/>
    <x v="1"/>
    <x v="59"/>
    <x v="3"/>
    <x v="15"/>
    <s v="2025-03-15"/>
    <x v="2"/>
    <x v="6"/>
    <x v="1"/>
    <n v="855.21"/>
    <s v="15% off"/>
    <m/>
    <x v="0"/>
    <x v="0"/>
    <n v="855.21"/>
    <x v="1"/>
    <n v="4"/>
    <s v="Good"/>
  </r>
  <r>
    <s v="1358fe4f-bdd5-465d-bff5-4761ef2677c4"/>
    <x v="5"/>
    <x v="0"/>
    <x v="60"/>
    <x v="2"/>
    <x v="24"/>
    <s v="2025-03-10"/>
    <x v="6"/>
    <x v="6"/>
    <x v="1"/>
    <n v="52.44"/>
    <s v="0% off"/>
    <m/>
    <x v="1"/>
    <x v="0"/>
    <n v="52.44"/>
    <x v="1"/>
    <n v="3"/>
    <s v="Average"/>
  </r>
  <r>
    <s v="f363e442-dbb7-4ac2-9521-75c20eee4ae0"/>
    <x v="28"/>
    <x v="1"/>
    <x v="61"/>
    <x v="3"/>
    <x v="3"/>
    <s v="2025-01-12"/>
    <x v="5"/>
    <x v="9"/>
    <x v="1"/>
    <n v="211.46"/>
    <s v="5% off"/>
    <m/>
    <x v="0"/>
    <x v="0"/>
    <n v="211.46"/>
    <x v="2"/>
    <n v="1"/>
    <s v="Very Poor"/>
  </r>
  <r>
    <s v="6e1b8438-4862-4e85-88a1-ca133562d0b3"/>
    <x v="6"/>
    <x v="0"/>
    <x v="42"/>
    <x v="2"/>
    <x v="18"/>
    <s v="2024-08-02"/>
    <x v="0"/>
    <x v="3"/>
    <x v="0"/>
    <n v="492.1"/>
    <s v="5% off"/>
    <m/>
    <x v="0"/>
    <x v="0"/>
    <n v="492.1"/>
    <x v="0"/>
    <n v="3"/>
    <s v="Average"/>
  </r>
  <r>
    <s v="b40e9247-b212-4437-9faa-fd2426454498"/>
    <x v="40"/>
    <x v="1"/>
    <x v="62"/>
    <x v="1"/>
    <x v="26"/>
    <s v="2024-07-01"/>
    <x v="6"/>
    <x v="2"/>
    <x v="0"/>
    <n v="775.75"/>
    <s v="15% off"/>
    <m/>
    <x v="0"/>
    <x v="1"/>
    <n v="775.75"/>
    <x v="3"/>
    <n v="1"/>
    <s v="Very Poor"/>
  </r>
  <r>
    <s v="3e1f005e-1255-4ea1-b002-049ed8b410d5"/>
    <x v="18"/>
    <x v="0"/>
    <x v="63"/>
    <x v="1"/>
    <x v="23"/>
    <s v="2024-05-06"/>
    <x v="6"/>
    <x v="4"/>
    <x v="0"/>
    <n v="362.55"/>
    <s v="5% off"/>
    <m/>
    <x v="0"/>
    <x v="1"/>
    <n v="362.55"/>
    <x v="0"/>
    <n v="1"/>
    <s v="Very Poor"/>
  </r>
  <r>
    <s v="97639328-9372-4027-9105-ac331a29c318"/>
    <x v="27"/>
    <x v="1"/>
    <x v="64"/>
    <x v="3"/>
    <x v="15"/>
    <s v="2024-11-02"/>
    <x v="2"/>
    <x v="1"/>
    <x v="0"/>
    <n v="855.21"/>
    <s v="15% off"/>
    <m/>
    <x v="0"/>
    <x v="0"/>
    <n v="855.21"/>
    <x v="3"/>
    <n v="5"/>
    <s v="Excellent"/>
  </r>
  <r>
    <s v="f274adb5-7b90-47cf-8bc2-2da4de375517"/>
    <x v="39"/>
    <x v="1"/>
    <x v="65"/>
    <x v="3"/>
    <x v="15"/>
    <s v="2025-03-15"/>
    <x v="2"/>
    <x v="6"/>
    <x v="1"/>
    <n v="855.21"/>
    <s v="15% off"/>
    <m/>
    <x v="0"/>
    <x v="1"/>
    <n v="855.21"/>
    <x v="2"/>
    <n v="3"/>
    <s v="Average"/>
  </r>
  <r>
    <s v="5280ee69-a460-4401-982a-2c5e57f7fb85"/>
    <x v="35"/>
    <x v="1"/>
    <x v="66"/>
    <x v="2"/>
    <x v="2"/>
    <s v="2025-02-26"/>
    <x v="4"/>
    <x v="8"/>
    <x v="1"/>
    <n v="493.96"/>
    <s v="5% off"/>
    <m/>
    <x v="0"/>
    <x v="0"/>
    <n v="493.96"/>
    <x v="1"/>
    <n v="4"/>
    <s v="Good"/>
  </r>
  <r>
    <s v="b87cc78e-c5a2-4a11-81e7-116a25274444"/>
    <x v="24"/>
    <x v="1"/>
    <x v="67"/>
    <x v="2"/>
    <x v="27"/>
    <s v="2024-12-21"/>
    <x v="2"/>
    <x v="7"/>
    <x v="0"/>
    <n v="340.04"/>
    <s v="5% off"/>
    <m/>
    <x v="0"/>
    <x v="1"/>
    <n v="340.04"/>
    <x v="0"/>
    <n v="5"/>
    <s v="Excellent"/>
  </r>
  <r>
    <s v="a4ab45ec-195e-498a-a7dd-8c4db66adf4d"/>
    <x v="50"/>
    <x v="1"/>
    <x v="68"/>
    <x v="2"/>
    <x v="18"/>
    <s v="2024-10-16"/>
    <x v="4"/>
    <x v="5"/>
    <x v="0"/>
    <n v="492.1"/>
    <s v="5% off"/>
    <m/>
    <x v="0"/>
    <x v="1"/>
    <n v="492.1"/>
    <x v="3"/>
    <n v="3"/>
    <s v="Average"/>
  </r>
  <r>
    <s v="de6ca46e-eead-43f0-8287-3d24b69dc3d2"/>
    <x v="22"/>
    <x v="0"/>
    <x v="69"/>
    <x v="6"/>
    <x v="13"/>
    <s v="2025-02-07"/>
    <x v="0"/>
    <x v="8"/>
    <x v="1"/>
    <n v="418.55"/>
    <s v="5% off"/>
    <m/>
    <x v="0"/>
    <x v="0"/>
    <n v="418.55"/>
    <x v="3"/>
    <n v="5"/>
    <s v="Excellent"/>
  </r>
  <r>
    <s v="2eace873-1a1c-4a55-9a74-e4be90b498ee"/>
    <x v="21"/>
    <x v="1"/>
    <x v="70"/>
    <x v="3"/>
    <x v="12"/>
    <s v="2024-08-24"/>
    <x v="2"/>
    <x v="3"/>
    <x v="0"/>
    <n v="270.41000000000003"/>
    <s v="5% off"/>
    <m/>
    <x v="0"/>
    <x v="1"/>
    <n v="270.41000000000003"/>
    <x v="0"/>
    <n v="4"/>
    <s v="Good"/>
  </r>
  <r>
    <s v="70cbe744-0080-4805-89b0-3315ac2e7494"/>
    <x v="21"/>
    <x v="1"/>
    <x v="71"/>
    <x v="2"/>
    <x v="2"/>
    <s v="2024-08-23"/>
    <x v="0"/>
    <x v="3"/>
    <x v="0"/>
    <n v="493.96"/>
    <s v="5% off"/>
    <m/>
    <x v="0"/>
    <x v="1"/>
    <n v="493.96"/>
    <x v="0"/>
    <n v="2"/>
    <s v="Poor"/>
  </r>
  <r>
    <s v="5a988ad9-88e7-4d54-badf-7b76a4bf0e48"/>
    <x v="8"/>
    <x v="1"/>
    <x v="72"/>
    <x v="2"/>
    <x v="18"/>
    <s v="2025-01-11"/>
    <x v="2"/>
    <x v="9"/>
    <x v="1"/>
    <n v="492.1"/>
    <s v="5% off"/>
    <m/>
    <x v="0"/>
    <x v="0"/>
    <n v="492.1"/>
    <x v="0"/>
    <n v="2"/>
    <s v="Poor"/>
  </r>
  <r>
    <s v="7eb4d312-96bd-49d9-8a6b-722371d62547"/>
    <x v="29"/>
    <x v="0"/>
    <x v="73"/>
    <x v="2"/>
    <x v="24"/>
    <s v="2025-03-14"/>
    <x v="0"/>
    <x v="6"/>
    <x v="1"/>
    <n v="52.44"/>
    <s v="0% off"/>
    <m/>
    <x v="1"/>
    <x v="0"/>
    <n v="52.44"/>
    <x v="3"/>
    <n v="1"/>
    <s v="Very Poor"/>
  </r>
  <r>
    <s v="0838f58f-7c6f-4f4c-b422-23ec48e49bf3"/>
    <x v="8"/>
    <x v="0"/>
    <x v="74"/>
    <x v="1"/>
    <x v="25"/>
    <s v="2024-08-22"/>
    <x v="3"/>
    <x v="3"/>
    <x v="0"/>
    <n v="527.16999999999996"/>
    <s v="10% off"/>
    <m/>
    <x v="0"/>
    <x v="1"/>
    <n v="527.16999999999996"/>
    <x v="0"/>
    <n v="1"/>
    <s v="Very Poor"/>
  </r>
  <r>
    <s v="88b8c82d-3126-42b2-9f91-cefa59e51242"/>
    <x v="5"/>
    <x v="1"/>
    <x v="75"/>
    <x v="2"/>
    <x v="24"/>
    <s v="2025-02-21"/>
    <x v="0"/>
    <x v="8"/>
    <x v="1"/>
    <n v="52.44"/>
    <s v="0% off"/>
    <m/>
    <x v="1"/>
    <x v="0"/>
    <n v="52.44"/>
    <x v="2"/>
    <n v="4"/>
    <s v="Good"/>
  </r>
  <r>
    <s v="1813da22-f3c2-492c-ac9b-cb5c3508856d"/>
    <x v="42"/>
    <x v="1"/>
    <x v="76"/>
    <x v="2"/>
    <x v="24"/>
    <s v="2024-11-18"/>
    <x v="6"/>
    <x v="1"/>
    <x v="0"/>
    <n v="52.44"/>
    <s v="0% off"/>
    <m/>
    <x v="1"/>
    <x v="0"/>
    <n v="52.44"/>
    <x v="1"/>
    <n v="2"/>
    <s v="Poor"/>
  </r>
  <r>
    <s v="2e9c0c28-8ded-4f88-8e64-6b582137df40"/>
    <x v="29"/>
    <x v="0"/>
    <x v="77"/>
    <x v="4"/>
    <x v="20"/>
    <s v="2024-05-02"/>
    <x v="3"/>
    <x v="4"/>
    <x v="0"/>
    <n v="260.77999999999997"/>
    <s v="5% off"/>
    <m/>
    <x v="0"/>
    <x v="1"/>
    <n v="260.77999999999997"/>
    <x v="3"/>
    <n v="4"/>
    <s v="Good"/>
  </r>
  <r>
    <s v="856ec268-150b-42d1-ac9f-401cfe802a9b"/>
    <x v="49"/>
    <x v="0"/>
    <x v="78"/>
    <x v="3"/>
    <x v="15"/>
    <s v="2024-12-17"/>
    <x v="1"/>
    <x v="7"/>
    <x v="0"/>
    <n v="855.21"/>
    <s v="15% off"/>
    <m/>
    <x v="0"/>
    <x v="1"/>
    <n v="855.21"/>
    <x v="0"/>
    <n v="4"/>
    <s v="Good"/>
  </r>
  <r>
    <s v="440e3fab-3cf4-46ea-8466-cb06644b37f7"/>
    <x v="36"/>
    <x v="0"/>
    <x v="79"/>
    <x v="5"/>
    <x v="16"/>
    <s v="2025-01-25"/>
    <x v="2"/>
    <x v="9"/>
    <x v="1"/>
    <n v="592.26"/>
    <s v="10% off"/>
    <m/>
    <x v="0"/>
    <x v="0"/>
    <n v="592.26"/>
    <x v="0"/>
    <n v="3"/>
    <s v="Average"/>
  </r>
  <r>
    <s v="d90dfd53-71a3-46e0-b68a-932f01b69039"/>
    <x v="45"/>
    <x v="0"/>
    <x v="80"/>
    <x v="3"/>
    <x v="19"/>
    <s v="2024-08-27"/>
    <x v="1"/>
    <x v="3"/>
    <x v="0"/>
    <n v="165.68"/>
    <s v="5% off"/>
    <m/>
    <x v="0"/>
    <x v="0"/>
    <n v="165.68"/>
    <x v="3"/>
    <n v="1"/>
    <s v="Very Poor"/>
  </r>
  <r>
    <s v="be304501-d44d-40a2-afe6-4c34c4fa7b67"/>
    <x v="5"/>
    <x v="1"/>
    <x v="81"/>
    <x v="6"/>
    <x v="10"/>
    <s v="2024-05-26"/>
    <x v="5"/>
    <x v="4"/>
    <x v="0"/>
    <n v="782.29"/>
    <s v="15% off"/>
    <m/>
    <x v="0"/>
    <x v="1"/>
    <n v="782.29"/>
    <x v="0"/>
    <n v="4"/>
    <s v="Good"/>
  </r>
  <r>
    <s v="a0f4d6d2-11d6-44a2-aaf2-c4dd5e69ec4c"/>
    <x v="48"/>
    <x v="0"/>
    <x v="82"/>
    <x v="4"/>
    <x v="5"/>
    <s v="2025-03-08"/>
    <x v="2"/>
    <x v="6"/>
    <x v="1"/>
    <n v="988.77"/>
    <s v="20% off"/>
    <m/>
    <x v="0"/>
    <x v="0"/>
    <n v="988.77"/>
    <x v="1"/>
    <n v="4"/>
    <s v="Good"/>
  </r>
  <r>
    <s v="ad5bc212-52c3-45e2-a30b-f893cb2afe07"/>
    <x v="31"/>
    <x v="0"/>
    <x v="83"/>
    <x v="3"/>
    <x v="12"/>
    <s v="2024-10-12"/>
    <x v="2"/>
    <x v="5"/>
    <x v="0"/>
    <n v="270.41000000000003"/>
    <s v="5% off"/>
    <m/>
    <x v="0"/>
    <x v="1"/>
    <n v="270.41000000000003"/>
    <x v="1"/>
    <n v="2"/>
    <s v="Poor"/>
  </r>
  <r>
    <s v="8861c140-8b59-41f5-acf8-541699cf2790"/>
    <x v="33"/>
    <x v="0"/>
    <x v="84"/>
    <x v="5"/>
    <x v="16"/>
    <s v="2025-01-31"/>
    <x v="0"/>
    <x v="9"/>
    <x v="1"/>
    <n v="592.26"/>
    <s v="10% off"/>
    <m/>
    <x v="0"/>
    <x v="1"/>
    <n v="592.26"/>
    <x v="2"/>
    <n v="1"/>
    <s v="Very Poor"/>
  </r>
  <r>
    <s v="d4c2ad67-3356-4d98-b8d6-c37ab0b0afb9"/>
    <x v="6"/>
    <x v="0"/>
    <x v="85"/>
    <x v="4"/>
    <x v="17"/>
    <s v="2025-02-04"/>
    <x v="1"/>
    <x v="8"/>
    <x v="1"/>
    <n v="315.56"/>
    <s v="5% off"/>
    <m/>
    <x v="0"/>
    <x v="0"/>
    <n v="315.56"/>
    <x v="2"/>
    <n v="1"/>
    <s v="Very Poor"/>
  </r>
  <r>
    <s v="7316c9fd-e0fb-4902-a4f4-9852fdbd0dcf"/>
    <x v="10"/>
    <x v="1"/>
    <x v="86"/>
    <x v="5"/>
    <x v="16"/>
    <s v="2024-05-08"/>
    <x v="4"/>
    <x v="4"/>
    <x v="0"/>
    <n v="592.26"/>
    <s v="10% off"/>
    <m/>
    <x v="0"/>
    <x v="1"/>
    <n v="592.26"/>
    <x v="0"/>
    <n v="4"/>
    <s v="Good"/>
  </r>
  <r>
    <s v="f2279346-2c85-4db8-b544-9d7253b588bc"/>
    <x v="32"/>
    <x v="0"/>
    <x v="87"/>
    <x v="6"/>
    <x v="14"/>
    <s v="2024-10-23"/>
    <x v="4"/>
    <x v="5"/>
    <x v="0"/>
    <n v="965.09"/>
    <s v="20% off"/>
    <m/>
    <x v="0"/>
    <x v="1"/>
    <n v="965.09"/>
    <x v="2"/>
    <n v="5"/>
    <s v="Excellent"/>
  </r>
  <r>
    <s v="fe13e838-2aa5-4813-9ec7-bff685bc0cfa"/>
    <x v="12"/>
    <x v="0"/>
    <x v="88"/>
    <x v="2"/>
    <x v="2"/>
    <s v="2024-05-10"/>
    <x v="0"/>
    <x v="4"/>
    <x v="0"/>
    <n v="493.96"/>
    <s v="5% off"/>
    <m/>
    <x v="0"/>
    <x v="0"/>
    <n v="493.96"/>
    <x v="1"/>
    <n v="1"/>
    <s v="Very Poor"/>
  </r>
  <r>
    <s v="2d33cd00-7c8c-4f32-adf1-836f35084841"/>
    <x v="3"/>
    <x v="0"/>
    <x v="89"/>
    <x v="4"/>
    <x v="5"/>
    <s v="2024-04-22"/>
    <x v="6"/>
    <x v="0"/>
    <x v="0"/>
    <n v="988.77"/>
    <s v="20% off"/>
    <m/>
    <x v="0"/>
    <x v="1"/>
    <n v="988.77"/>
    <x v="2"/>
    <n v="2"/>
    <s v="Poor"/>
  </r>
  <r>
    <s v="040c5048-8c72-4efc-a0c6-e122a21d939d"/>
    <x v="24"/>
    <x v="1"/>
    <x v="90"/>
    <x v="6"/>
    <x v="13"/>
    <s v="2024-08-24"/>
    <x v="2"/>
    <x v="3"/>
    <x v="0"/>
    <n v="418.55"/>
    <s v="5% off"/>
    <m/>
    <x v="0"/>
    <x v="1"/>
    <n v="418.55"/>
    <x v="3"/>
    <n v="1"/>
    <s v="Very Poor"/>
  </r>
  <r>
    <s v="42c5d5eb-1adb-434d-8a73-8c58a9f43e0d"/>
    <x v="43"/>
    <x v="0"/>
    <x v="91"/>
    <x v="2"/>
    <x v="24"/>
    <s v="2024-11-07"/>
    <x v="3"/>
    <x v="1"/>
    <x v="0"/>
    <n v="52.44"/>
    <s v="0% off"/>
    <m/>
    <x v="1"/>
    <x v="1"/>
    <n v="52.44"/>
    <x v="1"/>
    <n v="4"/>
    <s v="Good"/>
  </r>
  <r>
    <s v="13af8cd6-2ad7-4f71-857e-8a65c826af1c"/>
    <x v="3"/>
    <x v="0"/>
    <x v="92"/>
    <x v="3"/>
    <x v="12"/>
    <s v="2024-10-10"/>
    <x v="3"/>
    <x v="5"/>
    <x v="0"/>
    <n v="270.41000000000003"/>
    <s v="5% off"/>
    <m/>
    <x v="0"/>
    <x v="0"/>
    <n v="270.41000000000003"/>
    <x v="1"/>
    <n v="4"/>
    <s v="Good"/>
  </r>
  <r>
    <s v="eb143495-9f84-4f4f-8e91-feb574dac222"/>
    <x v="35"/>
    <x v="1"/>
    <x v="93"/>
    <x v="1"/>
    <x v="1"/>
    <s v="2024-12-16"/>
    <x v="6"/>
    <x v="7"/>
    <x v="0"/>
    <n v="67.040000000000006"/>
    <s v="0% off"/>
    <m/>
    <x v="1"/>
    <x v="0"/>
    <n v="67.040000000000006"/>
    <x v="1"/>
    <n v="1"/>
    <s v="Very Poor"/>
  </r>
  <r>
    <s v="66c44310-0694-4a00-9db5-15b28d51f336"/>
    <x v="12"/>
    <x v="0"/>
    <x v="56"/>
    <x v="4"/>
    <x v="17"/>
    <s v="2024-05-16"/>
    <x v="3"/>
    <x v="4"/>
    <x v="0"/>
    <n v="315.56"/>
    <s v="5% off"/>
    <m/>
    <x v="0"/>
    <x v="1"/>
    <n v="315.56"/>
    <x v="2"/>
    <n v="5"/>
    <s v="Excellent"/>
  </r>
  <r>
    <s v="2205b791-9c3a-463b-8636-5b8296fcb2ca"/>
    <x v="52"/>
    <x v="0"/>
    <x v="94"/>
    <x v="0"/>
    <x v="0"/>
    <s v="2025-01-12"/>
    <x v="5"/>
    <x v="9"/>
    <x v="1"/>
    <n v="697.86"/>
    <s v="10% off"/>
    <m/>
    <x v="0"/>
    <x v="0"/>
    <n v="697.86"/>
    <x v="2"/>
    <n v="3"/>
    <s v="Average"/>
  </r>
  <r>
    <s v="ffae8172-3d24-436e-b607-f1f38a47ab93"/>
    <x v="23"/>
    <x v="1"/>
    <x v="89"/>
    <x v="1"/>
    <x v="1"/>
    <s v="2025-03-09"/>
    <x v="5"/>
    <x v="6"/>
    <x v="1"/>
    <n v="67.040000000000006"/>
    <s v="0% off"/>
    <m/>
    <x v="1"/>
    <x v="0"/>
    <n v="67.040000000000006"/>
    <x v="1"/>
    <n v="5"/>
    <s v="Excellent"/>
  </r>
  <r>
    <s v="8b976444-09fd-414a-85c9-97de90da33c3"/>
    <x v="13"/>
    <x v="0"/>
    <x v="95"/>
    <x v="5"/>
    <x v="6"/>
    <s v="2024-08-18"/>
    <x v="5"/>
    <x v="3"/>
    <x v="0"/>
    <n v="76.81"/>
    <s v="0% off"/>
    <m/>
    <x v="1"/>
    <x v="0"/>
    <n v="76.81"/>
    <x v="3"/>
    <n v="3"/>
    <s v="Average"/>
  </r>
  <r>
    <s v="d55efa8c-a389-4df5-80b4-bf602ed86852"/>
    <x v="30"/>
    <x v="1"/>
    <x v="96"/>
    <x v="4"/>
    <x v="17"/>
    <s v="2024-04-19"/>
    <x v="0"/>
    <x v="0"/>
    <x v="0"/>
    <n v="315.56"/>
    <s v="5% off"/>
    <m/>
    <x v="0"/>
    <x v="0"/>
    <n v="315.56"/>
    <x v="0"/>
    <n v="4"/>
    <s v="Good"/>
  </r>
  <r>
    <s v="fc26d33a-4a98-45f5-a069-1cd395bb164b"/>
    <x v="17"/>
    <x v="0"/>
    <x v="58"/>
    <x v="6"/>
    <x v="14"/>
    <s v="2024-07-26"/>
    <x v="0"/>
    <x v="2"/>
    <x v="0"/>
    <n v="965.09"/>
    <s v="20% off"/>
    <m/>
    <x v="0"/>
    <x v="0"/>
    <n v="965.09"/>
    <x v="1"/>
    <n v="1"/>
    <s v="Very Poor"/>
  </r>
  <r>
    <s v="dbda4c6c-e67b-49a9-8bb7-b9de74338df3"/>
    <x v="38"/>
    <x v="0"/>
    <x v="90"/>
    <x v="0"/>
    <x v="22"/>
    <s v="2025-02-18"/>
    <x v="1"/>
    <x v="8"/>
    <x v="1"/>
    <n v="485.26"/>
    <s v="5% off"/>
    <m/>
    <x v="0"/>
    <x v="1"/>
    <n v="485.26"/>
    <x v="2"/>
    <n v="3"/>
    <s v="Average"/>
  </r>
  <r>
    <s v="2fd59a23-cf3c-4163-8496-fcb61144bfa8"/>
    <x v="11"/>
    <x v="0"/>
    <x v="91"/>
    <x v="0"/>
    <x v="7"/>
    <s v="2024-11-01"/>
    <x v="0"/>
    <x v="1"/>
    <x v="0"/>
    <n v="78.349999999999994"/>
    <s v="0% off"/>
    <m/>
    <x v="1"/>
    <x v="0"/>
    <n v="78.349999999999994"/>
    <x v="3"/>
    <n v="1"/>
    <s v="Very Poor"/>
  </r>
  <r>
    <s v="30bb0287-9aa4-4584-ac0a-207ba7bb785d"/>
    <x v="32"/>
    <x v="1"/>
    <x v="97"/>
    <x v="0"/>
    <x v="0"/>
    <s v="2024-07-10"/>
    <x v="4"/>
    <x v="2"/>
    <x v="0"/>
    <n v="697.86"/>
    <s v="10% off"/>
    <m/>
    <x v="0"/>
    <x v="0"/>
    <n v="697.86"/>
    <x v="0"/>
    <n v="3"/>
    <s v="Average"/>
  </r>
  <r>
    <s v="158c3eed-c955-4bcd-af4b-de13455074e7"/>
    <x v="22"/>
    <x v="1"/>
    <x v="98"/>
    <x v="3"/>
    <x v="15"/>
    <s v="2024-04-01"/>
    <x v="6"/>
    <x v="0"/>
    <x v="0"/>
    <n v="855.21"/>
    <s v="15% off"/>
    <m/>
    <x v="0"/>
    <x v="1"/>
    <n v="855.21"/>
    <x v="1"/>
    <n v="1"/>
    <s v="Very Poor"/>
  </r>
  <r>
    <s v="3a7244e3-000a-406e-b1f8-c1dcdc270e4b"/>
    <x v="26"/>
    <x v="0"/>
    <x v="99"/>
    <x v="6"/>
    <x v="10"/>
    <s v="2024-08-03"/>
    <x v="2"/>
    <x v="3"/>
    <x v="0"/>
    <n v="782.29"/>
    <s v="15% off"/>
    <m/>
    <x v="0"/>
    <x v="1"/>
    <n v="782.29"/>
    <x v="3"/>
    <n v="1"/>
    <s v="Very Poor"/>
  </r>
  <r>
    <s v="27f1127b-55f9-4868-87a2-e5f4cb88367c"/>
    <x v="38"/>
    <x v="1"/>
    <x v="100"/>
    <x v="3"/>
    <x v="15"/>
    <s v="2024-04-12"/>
    <x v="0"/>
    <x v="0"/>
    <x v="0"/>
    <n v="855.21"/>
    <s v="15% off"/>
    <m/>
    <x v="0"/>
    <x v="0"/>
    <n v="855.21"/>
    <x v="1"/>
    <n v="3"/>
    <s v="Average"/>
  </r>
  <r>
    <s v="1cf003cc-3b84-4e94-a01a-c12fd592c2b0"/>
    <x v="8"/>
    <x v="0"/>
    <x v="101"/>
    <x v="3"/>
    <x v="15"/>
    <s v="2024-05-10"/>
    <x v="0"/>
    <x v="4"/>
    <x v="0"/>
    <n v="855.21"/>
    <s v="15% off"/>
    <m/>
    <x v="0"/>
    <x v="0"/>
    <n v="855.21"/>
    <x v="1"/>
    <n v="2"/>
    <s v="Poor"/>
  </r>
  <r>
    <s v="70df8079-781a-4990-ab9f-7dcab647b0fd"/>
    <x v="12"/>
    <x v="0"/>
    <x v="102"/>
    <x v="6"/>
    <x v="13"/>
    <s v="2024-05-17"/>
    <x v="0"/>
    <x v="4"/>
    <x v="0"/>
    <n v="418.55"/>
    <s v="5% off"/>
    <m/>
    <x v="0"/>
    <x v="1"/>
    <n v="418.55"/>
    <x v="0"/>
    <n v="5"/>
    <s v="Excellent"/>
  </r>
  <r>
    <s v="97594a5b-49c7-49d8-8dc8-5dd89cb51123"/>
    <x v="36"/>
    <x v="0"/>
    <x v="103"/>
    <x v="0"/>
    <x v="0"/>
    <s v="2024-05-04"/>
    <x v="2"/>
    <x v="4"/>
    <x v="0"/>
    <n v="697.86"/>
    <s v="10% off"/>
    <m/>
    <x v="0"/>
    <x v="1"/>
    <n v="697.86"/>
    <x v="1"/>
    <n v="5"/>
    <s v="Excellent"/>
  </r>
  <r>
    <s v="cc9b382b-00dd-4954-be40-a609c66a7a8d"/>
    <x v="37"/>
    <x v="0"/>
    <x v="104"/>
    <x v="1"/>
    <x v="25"/>
    <s v="2024-07-22"/>
    <x v="6"/>
    <x v="2"/>
    <x v="0"/>
    <n v="527.16999999999996"/>
    <s v="10% off"/>
    <m/>
    <x v="0"/>
    <x v="1"/>
    <n v="527.16999999999996"/>
    <x v="3"/>
    <n v="1"/>
    <s v="Very Poor"/>
  </r>
  <r>
    <s v="68774b81-85bf-46a3-94cf-e85537f1a1a8"/>
    <x v="47"/>
    <x v="1"/>
    <x v="105"/>
    <x v="4"/>
    <x v="5"/>
    <s v="2025-01-16"/>
    <x v="3"/>
    <x v="9"/>
    <x v="1"/>
    <n v="988.77"/>
    <s v="20% off"/>
    <m/>
    <x v="0"/>
    <x v="1"/>
    <n v="988.77"/>
    <x v="2"/>
    <n v="1"/>
    <s v="Very Poor"/>
  </r>
  <r>
    <s v="5ee61947-41cf-408c-8bee-54da2e9a9722"/>
    <x v="18"/>
    <x v="1"/>
    <x v="106"/>
    <x v="3"/>
    <x v="3"/>
    <s v="2024-06-26"/>
    <x v="4"/>
    <x v="11"/>
    <x v="0"/>
    <n v="211.46"/>
    <s v="5% off"/>
    <m/>
    <x v="0"/>
    <x v="0"/>
    <n v="211.46"/>
    <x v="3"/>
    <n v="2"/>
    <s v="Poor"/>
  </r>
  <r>
    <s v="60a86c51-b303-4492-bc8b-bcb197b0fbaa"/>
    <x v="6"/>
    <x v="1"/>
    <x v="89"/>
    <x v="2"/>
    <x v="24"/>
    <s v="2024-11-14"/>
    <x v="3"/>
    <x v="1"/>
    <x v="0"/>
    <n v="52.44"/>
    <s v="0% off"/>
    <m/>
    <x v="1"/>
    <x v="0"/>
    <n v="52.44"/>
    <x v="1"/>
    <n v="5"/>
    <s v="Excellent"/>
  </r>
  <r>
    <s v="3cf637ae-d5c8-4177-814d-1e42232ee4d7"/>
    <x v="10"/>
    <x v="1"/>
    <x v="107"/>
    <x v="5"/>
    <x v="8"/>
    <s v="2024-05-24"/>
    <x v="0"/>
    <x v="4"/>
    <x v="0"/>
    <n v="374.92"/>
    <s v="5% off"/>
    <m/>
    <x v="0"/>
    <x v="0"/>
    <n v="374.92"/>
    <x v="0"/>
    <n v="4"/>
    <s v="Good"/>
  </r>
  <r>
    <s v="5935f5ad-30c2-4467-8ac7-5511b4dc92ba"/>
    <x v="34"/>
    <x v="0"/>
    <x v="108"/>
    <x v="1"/>
    <x v="1"/>
    <s v="2024-04-26"/>
    <x v="0"/>
    <x v="0"/>
    <x v="0"/>
    <n v="67.040000000000006"/>
    <s v="0% off"/>
    <m/>
    <x v="1"/>
    <x v="0"/>
    <n v="67.040000000000006"/>
    <x v="2"/>
    <n v="1"/>
    <s v="Very Poor"/>
  </r>
  <r>
    <s v="7a87c401-7e59-42ed-b996-b57536525736"/>
    <x v="45"/>
    <x v="0"/>
    <x v="109"/>
    <x v="1"/>
    <x v="26"/>
    <s v="2024-09-05"/>
    <x v="3"/>
    <x v="10"/>
    <x v="0"/>
    <n v="775.75"/>
    <s v="15% off"/>
    <m/>
    <x v="0"/>
    <x v="1"/>
    <n v="775.75"/>
    <x v="2"/>
    <n v="4"/>
    <s v="Good"/>
  </r>
  <r>
    <s v="e2ba168b-0d9d-40df-bbdf-2f6e98af5b5c"/>
    <x v="37"/>
    <x v="1"/>
    <x v="110"/>
    <x v="0"/>
    <x v="11"/>
    <s v="2024-06-26"/>
    <x v="4"/>
    <x v="11"/>
    <x v="0"/>
    <n v="116.78"/>
    <s v="0% off"/>
    <m/>
    <x v="1"/>
    <x v="0"/>
    <n v="116.78"/>
    <x v="2"/>
    <n v="2"/>
    <s v="Poor"/>
  </r>
  <r>
    <s v="a9a7ee3e-7577-499d-9adf-718237be6ba4"/>
    <x v="16"/>
    <x v="0"/>
    <x v="111"/>
    <x v="4"/>
    <x v="4"/>
    <s v="2024-07-20"/>
    <x v="2"/>
    <x v="2"/>
    <x v="0"/>
    <n v="512.94000000000005"/>
    <s v="10% off"/>
    <m/>
    <x v="0"/>
    <x v="1"/>
    <n v="512.94000000000005"/>
    <x v="0"/>
    <n v="4"/>
    <s v="Good"/>
  </r>
  <r>
    <s v="8279d9b6-bb83-415c-b040-e89f8251446d"/>
    <x v="14"/>
    <x v="1"/>
    <x v="59"/>
    <x v="2"/>
    <x v="24"/>
    <s v="2024-07-01"/>
    <x v="6"/>
    <x v="2"/>
    <x v="0"/>
    <n v="52.44"/>
    <s v="0% off"/>
    <m/>
    <x v="1"/>
    <x v="0"/>
    <n v="52.44"/>
    <x v="1"/>
    <n v="4"/>
    <s v="Good"/>
  </r>
  <r>
    <s v="440c1c66-a0d0-4338-a943-6ac88881133b"/>
    <x v="44"/>
    <x v="1"/>
    <x v="112"/>
    <x v="6"/>
    <x v="13"/>
    <s v="2025-03-12"/>
    <x v="4"/>
    <x v="6"/>
    <x v="1"/>
    <n v="418.55"/>
    <s v="5% off"/>
    <m/>
    <x v="0"/>
    <x v="0"/>
    <n v="418.55"/>
    <x v="2"/>
    <n v="5"/>
    <s v="Excellent"/>
  </r>
  <r>
    <s v="635c7686-0cac-4b0b-aa5e-a6f69fb0b87f"/>
    <x v="29"/>
    <x v="1"/>
    <x v="113"/>
    <x v="5"/>
    <x v="8"/>
    <s v="2024-06-29"/>
    <x v="2"/>
    <x v="11"/>
    <x v="0"/>
    <n v="374.92"/>
    <s v="5% off"/>
    <m/>
    <x v="0"/>
    <x v="0"/>
    <n v="374.92"/>
    <x v="0"/>
    <n v="1"/>
    <s v="Very Poor"/>
  </r>
  <r>
    <s v="e69b3ca4-d46e-4dd6-ad2a-94b5902a8e13"/>
    <x v="24"/>
    <x v="0"/>
    <x v="114"/>
    <x v="0"/>
    <x v="22"/>
    <s v="2024-05-12"/>
    <x v="5"/>
    <x v="4"/>
    <x v="0"/>
    <n v="485.26"/>
    <s v="5% off"/>
    <m/>
    <x v="0"/>
    <x v="0"/>
    <n v="485.26"/>
    <x v="2"/>
    <n v="3"/>
    <s v="Average"/>
  </r>
  <r>
    <s v="7944f5a9-c7d2-4e35-94c5-c27786766aac"/>
    <x v="10"/>
    <x v="1"/>
    <x v="115"/>
    <x v="0"/>
    <x v="22"/>
    <s v="2024-06-12"/>
    <x v="4"/>
    <x v="11"/>
    <x v="0"/>
    <n v="485.26"/>
    <s v="5% off"/>
    <m/>
    <x v="0"/>
    <x v="0"/>
    <n v="485.26"/>
    <x v="0"/>
    <n v="5"/>
    <s v="Excellent"/>
  </r>
  <r>
    <s v="a10cb8c9-95b3-45b8-abea-c45d3a61d94f"/>
    <x v="38"/>
    <x v="0"/>
    <x v="116"/>
    <x v="5"/>
    <x v="8"/>
    <s v="2024-06-21"/>
    <x v="0"/>
    <x v="11"/>
    <x v="0"/>
    <n v="374.92"/>
    <s v="5% off"/>
    <m/>
    <x v="0"/>
    <x v="1"/>
    <n v="374.92"/>
    <x v="2"/>
    <n v="5"/>
    <s v="Excellent"/>
  </r>
  <r>
    <s v="ebddf137-0d50-4cd4-9d0a-d0118e036f79"/>
    <x v="25"/>
    <x v="1"/>
    <x v="117"/>
    <x v="5"/>
    <x v="16"/>
    <s v="2024-12-12"/>
    <x v="3"/>
    <x v="7"/>
    <x v="0"/>
    <n v="592.26"/>
    <s v="10% off"/>
    <m/>
    <x v="0"/>
    <x v="1"/>
    <n v="592.26"/>
    <x v="0"/>
    <n v="3"/>
    <s v="Average"/>
  </r>
  <r>
    <s v="fdf2498e-3aa0-4d29-a8a2-947f5a93f2f3"/>
    <x v="32"/>
    <x v="1"/>
    <x v="118"/>
    <x v="6"/>
    <x v="10"/>
    <s v="2025-02-17"/>
    <x v="6"/>
    <x v="8"/>
    <x v="1"/>
    <n v="782.29"/>
    <s v="15% off"/>
    <m/>
    <x v="0"/>
    <x v="0"/>
    <n v="782.29"/>
    <x v="2"/>
    <n v="5"/>
    <s v="Excellent"/>
  </r>
  <r>
    <s v="e01bfecc-7809-4d1a-9987-e34eb9ee3c6c"/>
    <x v="12"/>
    <x v="1"/>
    <x v="119"/>
    <x v="0"/>
    <x v="11"/>
    <s v="2024-12-02"/>
    <x v="6"/>
    <x v="7"/>
    <x v="0"/>
    <n v="116.78"/>
    <s v="0% off"/>
    <m/>
    <x v="1"/>
    <x v="0"/>
    <n v="116.78"/>
    <x v="2"/>
    <n v="3"/>
    <s v="Average"/>
  </r>
  <r>
    <s v="a7965e0b-fa15-4a52-b440-41b9d9616ca8"/>
    <x v="52"/>
    <x v="0"/>
    <x v="120"/>
    <x v="0"/>
    <x v="11"/>
    <s v="2025-02-20"/>
    <x v="3"/>
    <x v="8"/>
    <x v="1"/>
    <n v="116.78"/>
    <s v="0% off"/>
    <m/>
    <x v="1"/>
    <x v="0"/>
    <n v="116.78"/>
    <x v="2"/>
    <n v="2"/>
    <s v="Poor"/>
  </r>
  <r>
    <s v="a215c252-5812-4e18-9b7d-5fb57b786084"/>
    <x v="42"/>
    <x v="0"/>
    <x v="121"/>
    <x v="5"/>
    <x v="16"/>
    <s v="2024-09-07"/>
    <x v="2"/>
    <x v="10"/>
    <x v="0"/>
    <n v="592.26"/>
    <s v="10% off"/>
    <m/>
    <x v="0"/>
    <x v="1"/>
    <n v="592.26"/>
    <x v="2"/>
    <n v="3"/>
    <s v="Average"/>
  </r>
  <r>
    <s v="e9eceaa6-9d54-4d17-bc19-cb6e1e5f1c02"/>
    <x v="10"/>
    <x v="0"/>
    <x v="122"/>
    <x v="4"/>
    <x v="20"/>
    <s v="2024-05-23"/>
    <x v="3"/>
    <x v="4"/>
    <x v="0"/>
    <n v="260.77999999999997"/>
    <s v="5% off"/>
    <m/>
    <x v="0"/>
    <x v="0"/>
    <n v="260.77999999999997"/>
    <x v="3"/>
    <n v="4"/>
    <s v="Good"/>
  </r>
  <r>
    <s v="48e76c6b-69c2-45b1-ac67-315d3d21fef8"/>
    <x v="9"/>
    <x v="1"/>
    <x v="123"/>
    <x v="3"/>
    <x v="15"/>
    <s v="2024-10-08"/>
    <x v="1"/>
    <x v="5"/>
    <x v="0"/>
    <n v="855.21"/>
    <s v="15% off"/>
    <m/>
    <x v="0"/>
    <x v="0"/>
    <n v="855.21"/>
    <x v="0"/>
    <n v="5"/>
    <s v="Excellent"/>
  </r>
  <r>
    <s v="062ed9d5-4382-4c89-8e13-4ee308bcaa3e"/>
    <x v="41"/>
    <x v="0"/>
    <x v="124"/>
    <x v="2"/>
    <x v="27"/>
    <s v="2024-11-19"/>
    <x v="1"/>
    <x v="1"/>
    <x v="0"/>
    <n v="340.04"/>
    <s v="5% off"/>
    <m/>
    <x v="0"/>
    <x v="0"/>
    <n v="340.04"/>
    <x v="1"/>
    <n v="3"/>
    <s v="Average"/>
  </r>
  <r>
    <s v="8cbff32c-6952-46bf-b36f-1d1c9ff400f2"/>
    <x v="40"/>
    <x v="1"/>
    <x v="125"/>
    <x v="6"/>
    <x v="21"/>
    <s v="2024-07-26"/>
    <x v="0"/>
    <x v="2"/>
    <x v="0"/>
    <n v="461.81"/>
    <s v="5% off"/>
    <m/>
    <x v="0"/>
    <x v="1"/>
    <n v="461.81"/>
    <x v="0"/>
    <n v="1"/>
    <s v="Very Poor"/>
  </r>
  <r>
    <s v="21596608-4bbc-4759-8f5f-7eb2490a19d0"/>
    <x v="42"/>
    <x v="1"/>
    <x v="126"/>
    <x v="3"/>
    <x v="3"/>
    <s v="2024-07-29"/>
    <x v="6"/>
    <x v="2"/>
    <x v="0"/>
    <n v="211.46"/>
    <s v="5% off"/>
    <m/>
    <x v="0"/>
    <x v="0"/>
    <n v="211.46"/>
    <x v="0"/>
    <n v="3"/>
    <s v="Average"/>
  </r>
  <r>
    <s v="82099ffe-4204-401b-9055-855a3fdf1a8c"/>
    <x v="8"/>
    <x v="0"/>
    <x v="127"/>
    <x v="3"/>
    <x v="12"/>
    <s v="2024-12-03"/>
    <x v="1"/>
    <x v="7"/>
    <x v="0"/>
    <n v="270.41000000000003"/>
    <s v="5% off"/>
    <m/>
    <x v="0"/>
    <x v="1"/>
    <n v="270.41000000000003"/>
    <x v="1"/>
    <n v="1"/>
    <s v="Very Poor"/>
  </r>
  <r>
    <s v="eb3b122d-27d5-4488-a6a3-f17b6e6b58dd"/>
    <x v="30"/>
    <x v="0"/>
    <x v="128"/>
    <x v="6"/>
    <x v="21"/>
    <s v="2024-11-01"/>
    <x v="0"/>
    <x v="1"/>
    <x v="0"/>
    <n v="461.81"/>
    <s v="5% off"/>
    <m/>
    <x v="0"/>
    <x v="0"/>
    <n v="461.81"/>
    <x v="3"/>
    <n v="4"/>
    <s v="Good"/>
  </r>
  <r>
    <s v="0b8a14c9-bfb1-40ea-b176-c17178b49bad"/>
    <x v="28"/>
    <x v="0"/>
    <x v="129"/>
    <x v="1"/>
    <x v="1"/>
    <s v="2025-01-15"/>
    <x v="4"/>
    <x v="9"/>
    <x v="1"/>
    <n v="67.040000000000006"/>
    <s v="0% off"/>
    <m/>
    <x v="1"/>
    <x v="1"/>
    <n v="67.040000000000006"/>
    <x v="3"/>
    <n v="5"/>
    <s v="Excellent"/>
  </r>
  <r>
    <s v="9081e12a-3d01-469b-81ee-4c7c62bea85c"/>
    <x v="3"/>
    <x v="1"/>
    <x v="130"/>
    <x v="0"/>
    <x v="7"/>
    <s v="2024-07-09"/>
    <x v="1"/>
    <x v="2"/>
    <x v="0"/>
    <n v="78.349999999999994"/>
    <s v="0% off"/>
    <m/>
    <x v="1"/>
    <x v="0"/>
    <n v="78.349999999999994"/>
    <x v="0"/>
    <n v="3"/>
    <s v="Average"/>
  </r>
  <r>
    <s v="9d8b0c29-d5df-49c6-9e90-7e8539be97cb"/>
    <x v="1"/>
    <x v="1"/>
    <x v="131"/>
    <x v="3"/>
    <x v="12"/>
    <s v="2024-11-06"/>
    <x v="4"/>
    <x v="1"/>
    <x v="0"/>
    <n v="270.41000000000003"/>
    <s v="5% off"/>
    <m/>
    <x v="0"/>
    <x v="0"/>
    <n v="270.41000000000003"/>
    <x v="2"/>
    <n v="1"/>
    <s v="Very Poor"/>
  </r>
  <r>
    <s v="aa58ac04-1f24-4b66-a6c3-7a00d0a06923"/>
    <x v="22"/>
    <x v="1"/>
    <x v="132"/>
    <x v="3"/>
    <x v="3"/>
    <s v="2024-06-23"/>
    <x v="5"/>
    <x v="11"/>
    <x v="0"/>
    <n v="211.46"/>
    <s v="5% off"/>
    <m/>
    <x v="0"/>
    <x v="0"/>
    <n v="211.46"/>
    <x v="2"/>
    <n v="2"/>
    <s v="Poor"/>
  </r>
  <r>
    <s v="3b8ae331-7cff-4efc-b491-974a62ec1a9d"/>
    <x v="50"/>
    <x v="0"/>
    <x v="72"/>
    <x v="1"/>
    <x v="26"/>
    <s v="2024-04-07"/>
    <x v="5"/>
    <x v="0"/>
    <x v="0"/>
    <n v="775.75"/>
    <s v="15% off"/>
    <m/>
    <x v="0"/>
    <x v="0"/>
    <n v="775.75"/>
    <x v="1"/>
    <n v="5"/>
    <s v="Excellent"/>
  </r>
  <r>
    <s v="8d00d3b1-5d8f-432a-9fbb-0099c6e5c412"/>
    <x v="29"/>
    <x v="1"/>
    <x v="75"/>
    <x v="0"/>
    <x v="11"/>
    <s v="2025-03-04"/>
    <x v="1"/>
    <x v="6"/>
    <x v="1"/>
    <n v="116.78"/>
    <s v="0% off"/>
    <m/>
    <x v="1"/>
    <x v="1"/>
    <n v="116.78"/>
    <x v="1"/>
    <n v="2"/>
    <s v="Poor"/>
  </r>
  <r>
    <s v="ead320de-d014-4f74-b669-53fe0b76ebbc"/>
    <x v="40"/>
    <x v="0"/>
    <x v="76"/>
    <x v="4"/>
    <x v="17"/>
    <s v="2024-09-05"/>
    <x v="3"/>
    <x v="10"/>
    <x v="0"/>
    <n v="315.56"/>
    <s v="5% off"/>
    <m/>
    <x v="0"/>
    <x v="0"/>
    <n v="315.56"/>
    <x v="2"/>
    <n v="1"/>
    <s v="Very Poor"/>
  </r>
  <r>
    <s v="a1f61d6a-1b7e-4e1e-8845-638bae84784b"/>
    <x v="23"/>
    <x v="0"/>
    <x v="133"/>
    <x v="1"/>
    <x v="23"/>
    <s v="2024-07-30"/>
    <x v="1"/>
    <x v="2"/>
    <x v="0"/>
    <n v="362.55"/>
    <s v="5% off"/>
    <m/>
    <x v="0"/>
    <x v="1"/>
    <n v="362.55"/>
    <x v="0"/>
    <n v="1"/>
    <s v="Very Poor"/>
  </r>
  <r>
    <s v="6ed12b6a-eb5c-4353-8116-52ccd54ef8da"/>
    <x v="36"/>
    <x v="0"/>
    <x v="134"/>
    <x v="4"/>
    <x v="20"/>
    <s v="2025-02-10"/>
    <x v="6"/>
    <x v="8"/>
    <x v="1"/>
    <n v="260.77999999999997"/>
    <s v="5% off"/>
    <m/>
    <x v="0"/>
    <x v="0"/>
    <n v="260.77999999999997"/>
    <x v="3"/>
    <n v="5"/>
    <s v="Excellent"/>
  </r>
  <r>
    <s v="c94e264c-3519-4bd2-90b7-ccdbd4525841"/>
    <x v="48"/>
    <x v="1"/>
    <x v="135"/>
    <x v="0"/>
    <x v="11"/>
    <s v="2024-10-10"/>
    <x v="3"/>
    <x v="5"/>
    <x v="0"/>
    <n v="116.78"/>
    <s v="0% off"/>
    <m/>
    <x v="1"/>
    <x v="1"/>
    <n v="116.78"/>
    <x v="3"/>
    <n v="3"/>
    <s v="Average"/>
  </r>
  <r>
    <s v="ada810ac-aa00-4654-9d19-8b773c50f8d4"/>
    <x v="27"/>
    <x v="1"/>
    <x v="136"/>
    <x v="4"/>
    <x v="4"/>
    <s v="2024-07-08"/>
    <x v="6"/>
    <x v="2"/>
    <x v="0"/>
    <n v="512.94000000000005"/>
    <s v="10% off"/>
    <m/>
    <x v="0"/>
    <x v="1"/>
    <n v="512.94000000000005"/>
    <x v="1"/>
    <n v="2"/>
    <s v="Poor"/>
  </r>
  <r>
    <s v="dfcea4e9-a1df-4db9-a814-20a13569a3af"/>
    <x v="51"/>
    <x v="0"/>
    <x v="137"/>
    <x v="1"/>
    <x v="25"/>
    <s v="2024-05-18"/>
    <x v="2"/>
    <x v="4"/>
    <x v="0"/>
    <n v="527.16999999999996"/>
    <s v="10% off"/>
    <m/>
    <x v="0"/>
    <x v="1"/>
    <n v="527.16999999999996"/>
    <x v="3"/>
    <n v="5"/>
    <s v="Excellent"/>
  </r>
  <r>
    <s v="376042b7-89a5-4486-a4ab-fc16d1f8b40e"/>
    <x v="41"/>
    <x v="1"/>
    <x v="0"/>
    <x v="4"/>
    <x v="5"/>
    <s v="2025-03-08"/>
    <x v="2"/>
    <x v="6"/>
    <x v="1"/>
    <n v="988.77"/>
    <s v="20% off"/>
    <m/>
    <x v="0"/>
    <x v="0"/>
    <n v="988.77"/>
    <x v="0"/>
    <n v="3"/>
    <s v="Average"/>
  </r>
  <r>
    <s v="eecd5b0d-8dfa-4daa-aeab-4b3c9e81fc2c"/>
    <x v="0"/>
    <x v="0"/>
    <x v="1"/>
    <x v="5"/>
    <x v="6"/>
    <s v="2024-03-30"/>
    <x v="2"/>
    <x v="6"/>
    <x v="0"/>
    <n v="76.81"/>
    <s v="0% off"/>
    <m/>
    <x v="1"/>
    <x v="1"/>
    <n v="76.81"/>
    <x v="3"/>
    <n v="4"/>
    <s v="Good"/>
  </r>
  <r>
    <s v="78c392cc-bdec-48a8-b522-9ae24ab8f9c4"/>
    <x v="13"/>
    <x v="0"/>
    <x v="2"/>
    <x v="3"/>
    <x v="15"/>
    <s v="2025-03-16"/>
    <x v="5"/>
    <x v="6"/>
    <x v="1"/>
    <n v="855.21"/>
    <s v="15% off"/>
    <m/>
    <x v="0"/>
    <x v="1"/>
    <n v="855.21"/>
    <x v="2"/>
    <n v="3"/>
    <s v="Average"/>
  </r>
  <r>
    <s v="29e264e7-38f5-4b08-b208-c9ff50d1275f"/>
    <x v="26"/>
    <x v="0"/>
    <x v="3"/>
    <x v="3"/>
    <x v="19"/>
    <s v="2025-02-18"/>
    <x v="1"/>
    <x v="8"/>
    <x v="1"/>
    <n v="165.68"/>
    <s v="5% off"/>
    <m/>
    <x v="0"/>
    <x v="1"/>
    <n v="165.68"/>
    <x v="1"/>
    <n v="1"/>
    <s v="Very Poor"/>
  </r>
  <r>
    <s v="e812877e-f6e8-43f9-9caf-ce2f48036332"/>
    <x v="31"/>
    <x v="1"/>
    <x v="4"/>
    <x v="3"/>
    <x v="19"/>
    <s v="2024-11-04"/>
    <x v="6"/>
    <x v="1"/>
    <x v="0"/>
    <n v="165.68"/>
    <s v="5% off"/>
    <m/>
    <x v="0"/>
    <x v="0"/>
    <n v="165.68"/>
    <x v="2"/>
    <n v="5"/>
    <s v="Excellent"/>
  </r>
  <r>
    <s v="ccc8c82e-d077-4cd4-bc10-3ca93466c549"/>
    <x v="37"/>
    <x v="0"/>
    <x v="5"/>
    <x v="3"/>
    <x v="19"/>
    <s v="2024-12-09"/>
    <x v="6"/>
    <x v="7"/>
    <x v="0"/>
    <n v="165.68"/>
    <s v="5% off"/>
    <m/>
    <x v="0"/>
    <x v="0"/>
    <n v="165.68"/>
    <x v="0"/>
    <n v="3"/>
    <s v="Average"/>
  </r>
  <r>
    <s v="10c4d054-716e-47cf-89b7-09d898b704f2"/>
    <x v="36"/>
    <x v="0"/>
    <x v="6"/>
    <x v="5"/>
    <x v="6"/>
    <s v="2024-05-23"/>
    <x v="3"/>
    <x v="4"/>
    <x v="0"/>
    <n v="76.81"/>
    <s v="0% off"/>
    <m/>
    <x v="1"/>
    <x v="0"/>
    <n v="76.81"/>
    <x v="0"/>
    <n v="2"/>
    <s v="Poor"/>
  </r>
  <r>
    <s v="59ec4f67-c4ec-4da6-9975-a74606b39ba4"/>
    <x v="39"/>
    <x v="0"/>
    <x v="7"/>
    <x v="6"/>
    <x v="21"/>
    <s v="2024-12-23"/>
    <x v="6"/>
    <x v="7"/>
    <x v="0"/>
    <n v="461.81"/>
    <s v="5% off"/>
    <m/>
    <x v="0"/>
    <x v="1"/>
    <n v="461.81"/>
    <x v="0"/>
    <n v="4"/>
    <s v="Good"/>
  </r>
  <r>
    <s v="779ad53e-63b2-4bf4-b31e-6f82b75ee38c"/>
    <x v="17"/>
    <x v="1"/>
    <x v="8"/>
    <x v="4"/>
    <x v="17"/>
    <s v="2025-02-05"/>
    <x v="4"/>
    <x v="8"/>
    <x v="1"/>
    <n v="315.56"/>
    <s v="5% off"/>
    <m/>
    <x v="0"/>
    <x v="1"/>
    <n v="315.56"/>
    <x v="2"/>
    <n v="4"/>
    <s v="Good"/>
  </r>
  <r>
    <s v="cffc1f62-bdb1-4a60-8c02-dcfa3e7f7524"/>
    <x v="36"/>
    <x v="1"/>
    <x v="9"/>
    <x v="6"/>
    <x v="10"/>
    <s v="2024-10-12"/>
    <x v="2"/>
    <x v="5"/>
    <x v="0"/>
    <n v="782.29"/>
    <s v="15% off"/>
    <m/>
    <x v="0"/>
    <x v="1"/>
    <n v="782.29"/>
    <x v="0"/>
    <n v="5"/>
    <s v="Excellent"/>
  </r>
  <r>
    <s v="b82e93f2-2164-4d0f-a04d-949ec177f9b0"/>
    <x v="30"/>
    <x v="0"/>
    <x v="10"/>
    <x v="4"/>
    <x v="20"/>
    <s v="2025-01-11"/>
    <x v="2"/>
    <x v="9"/>
    <x v="1"/>
    <n v="260.77999999999997"/>
    <s v="5% off"/>
    <m/>
    <x v="0"/>
    <x v="1"/>
    <n v="260.77999999999997"/>
    <x v="1"/>
    <n v="2"/>
    <s v="Poor"/>
  </r>
  <r>
    <s v="c3874326-21ad-467c-b3f7-d517fb65c193"/>
    <x v="49"/>
    <x v="1"/>
    <x v="11"/>
    <x v="4"/>
    <x v="17"/>
    <s v="2024-06-25"/>
    <x v="1"/>
    <x v="11"/>
    <x v="0"/>
    <n v="315.56"/>
    <s v="5% off"/>
    <m/>
    <x v="0"/>
    <x v="1"/>
    <n v="315.56"/>
    <x v="3"/>
    <n v="5"/>
    <s v="Excellent"/>
  </r>
  <r>
    <s v="2db4bd45-e679-4655-a65e-66ae2c95c026"/>
    <x v="45"/>
    <x v="1"/>
    <x v="12"/>
    <x v="6"/>
    <x v="21"/>
    <s v="2024-08-30"/>
    <x v="0"/>
    <x v="3"/>
    <x v="0"/>
    <n v="461.81"/>
    <s v="5% off"/>
    <m/>
    <x v="0"/>
    <x v="1"/>
    <n v="461.81"/>
    <x v="1"/>
    <n v="3"/>
    <s v="Average"/>
  </r>
  <r>
    <s v="c77eacdb-9873-4b34-869e-b529b9253e57"/>
    <x v="19"/>
    <x v="1"/>
    <x v="13"/>
    <x v="6"/>
    <x v="21"/>
    <s v="2025-02-06"/>
    <x v="3"/>
    <x v="8"/>
    <x v="1"/>
    <n v="461.81"/>
    <s v="5% off"/>
    <m/>
    <x v="0"/>
    <x v="0"/>
    <n v="461.81"/>
    <x v="0"/>
    <n v="3"/>
    <s v="Average"/>
  </r>
  <r>
    <s v="e7955819-a3af-4698-9417-63139708276a"/>
    <x v="22"/>
    <x v="0"/>
    <x v="14"/>
    <x v="2"/>
    <x v="18"/>
    <s v="2024-08-03"/>
    <x v="2"/>
    <x v="3"/>
    <x v="0"/>
    <n v="492.1"/>
    <s v="5% off"/>
    <m/>
    <x v="0"/>
    <x v="1"/>
    <n v="492.1"/>
    <x v="0"/>
    <n v="4"/>
    <s v="Good"/>
  </r>
  <r>
    <s v="27b98fd4-934b-4776-93fe-cbbf7e3c98a6"/>
    <x v="17"/>
    <x v="0"/>
    <x v="15"/>
    <x v="6"/>
    <x v="21"/>
    <s v="2024-09-25"/>
    <x v="4"/>
    <x v="10"/>
    <x v="0"/>
    <n v="461.81"/>
    <s v="5% off"/>
    <m/>
    <x v="0"/>
    <x v="1"/>
    <n v="461.81"/>
    <x v="1"/>
    <n v="1"/>
    <s v="Very Poor"/>
  </r>
  <r>
    <s v="866527c0-b710-499c-9e46-aa6e95bf352f"/>
    <x v="14"/>
    <x v="1"/>
    <x v="16"/>
    <x v="5"/>
    <x v="9"/>
    <s v="2024-10-19"/>
    <x v="2"/>
    <x v="5"/>
    <x v="0"/>
    <n v="452.97"/>
    <s v="5% off"/>
    <m/>
    <x v="0"/>
    <x v="1"/>
    <n v="452.97"/>
    <x v="0"/>
    <n v="3"/>
    <s v="Average"/>
  </r>
  <r>
    <s v="c0d86712-334f-4e6d-87d4-c0392ce8fb49"/>
    <x v="45"/>
    <x v="0"/>
    <x v="17"/>
    <x v="1"/>
    <x v="1"/>
    <s v="2025-01-17"/>
    <x v="0"/>
    <x v="9"/>
    <x v="1"/>
    <n v="67.040000000000006"/>
    <s v="0% off"/>
    <m/>
    <x v="1"/>
    <x v="0"/>
    <n v="67.040000000000006"/>
    <x v="2"/>
    <n v="5"/>
    <s v="Excellent"/>
  </r>
  <r>
    <s v="99539f4e-e227-4431-a303-f91bec896946"/>
    <x v="19"/>
    <x v="1"/>
    <x v="18"/>
    <x v="0"/>
    <x v="11"/>
    <s v="2024-10-10"/>
    <x v="3"/>
    <x v="5"/>
    <x v="0"/>
    <n v="116.78"/>
    <s v="0% off"/>
    <m/>
    <x v="1"/>
    <x v="0"/>
    <n v="116.78"/>
    <x v="2"/>
    <n v="3"/>
    <s v="Average"/>
  </r>
  <r>
    <s v="604d8513-2013-4b44-b105-73f60d499157"/>
    <x v="18"/>
    <x v="1"/>
    <x v="19"/>
    <x v="1"/>
    <x v="25"/>
    <s v="2024-06-15"/>
    <x v="2"/>
    <x v="11"/>
    <x v="0"/>
    <n v="527.16999999999996"/>
    <s v="10% off"/>
    <m/>
    <x v="0"/>
    <x v="0"/>
    <n v="527.16999999999996"/>
    <x v="2"/>
    <n v="1"/>
    <s v="Very Poor"/>
  </r>
  <r>
    <s v="58cca91f-b7c2-44fc-8310-9fdb5a404b2b"/>
    <x v="6"/>
    <x v="0"/>
    <x v="20"/>
    <x v="6"/>
    <x v="21"/>
    <s v="2024-10-27"/>
    <x v="5"/>
    <x v="5"/>
    <x v="0"/>
    <n v="461.81"/>
    <s v="5% off"/>
    <m/>
    <x v="0"/>
    <x v="1"/>
    <n v="461.81"/>
    <x v="1"/>
    <n v="3"/>
    <s v="Average"/>
  </r>
  <r>
    <s v="125df85e-b7e0-4437-8b10-133d9d2e7b9f"/>
    <x v="12"/>
    <x v="1"/>
    <x v="21"/>
    <x v="1"/>
    <x v="1"/>
    <s v="2024-07-19"/>
    <x v="0"/>
    <x v="2"/>
    <x v="0"/>
    <n v="67.040000000000006"/>
    <s v="0% off"/>
    <m/>
    <x v="1"/>
    <x v="0"/>
    <n v="67.040000000000006"/>
    <x v="2"/>
    <n v="3"/>
    <s v="Average"/>
  </r>
  <r>
    <s v="dc4d720d-8b26-473b-b411-4991f3474e55"/>
    <x v="39"/>
    <x v="0"/>
    <x v="22"/>
    <x v="3"/>
    <x v="15"/>
    <s v="2024-08-19"/>
    <x v="6"/>
    <x v="3"/>
    <x v="0"/>
    <n v="855.21"/>
    <s v="15% off"/>
    <m/>
    <x v="0"/>
    <x v="0"/>
    <n v="855.21"/>
    <x v="1"/>
    <n v="2"/>
    <s v="Poor"/>
  </r>
  <r>
    <s v="94c93640-b731-4014-8d6d-7974c36e15f7"/>
    <x v="42"/>
    <x v="1"/>
    <x v="23"/>
    <x v="1"/>
    <x v="26"/>
    <s v="2024-06-05"/>
    <x v="4"/>
    <x v="11"/>
    <x v="0"/>
    <n v="775.75"/>
    <s v="15% off"/>
    <m/>
    <x v="0"/>
    <x v="1"/>
    <n v="775.75"/>
    <x v="3"/>
    <n v="3"/>
    <s v="Average"/>
  </r>
  <r>
    <s v="898e8552-b8f0-4ae0-96c3-180080f898ee"/>
    <x v="18"/>
    <x v="1"/>
    <x v="24"/>
    <x v="0"/>
    <x v="11"/>
    <s v="2024-05-13"/>
    <x v="6"/>
    <x v="4"/>
    <x v="0"/>
    <n v="116.78"/>
    <s v="0% off"/>
    <m/>
    <x v="1"/>
    <x v="0"/>
    <n v="116.78"/>
    <x v="3"/>
    <n v="4"/>
    <s v="Good"/>
  </r>
  <r>
    <s v="ba0d9646-02a2-45c1-9eba-e63bf0917efa"/>
    <x v="14"/>
    <x v="0"/>
    <x v="25"/>
    <x v="0"/>
    <x v="7"/>
    <s v="2024-08-10"/>
    <x v="2"/>
    <x v="3"/>
    <x v="0"/>
    <n v="78.349999999999994"/>
    <s v="0% off"/>
    <m/>
    <x v="1"/>
    <x v="1"/>
    <n v="78.349999999999994"/>
    <x v="1"/>
    <n v="5"/>
    <s v="Excellent"/>
  </r>
  <r>
    <s v="c4fe97bc-877f-4472-9f6b-5ece071bd1ad"/>
    <x v="20"/>
    <x v="1"/>
    <x v="26"/>
    <x v="0"/>
    <x v="22"/>
    <s v="2025-01-08"/>
    <x v="4"/>
    <x v="9"/>
    <x v="1"/>
    <n v="485.26"/>
    <s v="5% off"/>
    <m/>
    <x v="0"/>
    <x v="1"/>
    <n v="485.26"/>
    <x v="3"/>
    <n v="5"/>
    <s v="Excellent"/>
  </r>
  <r>
    <s v="bda07917-f029-4e58-921d-feee7b74a259"/>
    <x v="7"/>
    <x v="1"/>
    <x v="27"/>
    <x v="6"/>
    <x v="13"/>
    <s v="2024-10-18"/>
    <x v="0"/>
    <x v="5"/>
    <x v="0"/>
    <n v="418.55"/>
    <s v="5% off"/>
    <m/>
    <x v="0"/>
    <x v="1"/>
    <n v="418.55"/>
    <x v="0"/>
    <n v="5"/>
    <s v="Excellent"/>
  </r>
  <r>
    <s v="0dfb39e9-0210-4d72-bb0f-cd9de95c545e"/>
    <x v="50"/>
    <x v="1"/>
    <x v="28"/>
    <x v="1"/>
    <x v="26"/>
    <s v="2024-11-23"/>
    <x v="2"/>
    <x v="1"/>
    <x v="0"/>
    <n v="775.75"/>
    <s v="15% off"/>
    <m/>
    <x v="0"/>
    <x v="1"/>
    <n v="775.75"/>
    <x v="1"/>
    <n v="2"/>
    <s v="Poor"/>
  </r>
  <r>
    <s v="dcc8b21d-aa77-40ff-8a18-3941c6a25c38"/>
    <x v="28"/>
    <x v="0"/>
    <x v="29"/>
    <x v="5"/>
    <x v="9"/>
    <s v="2024-06-22"/>
    <x v="2"/>
    <x v="11"/>
    <x v="0"/>
    <n v="452.97"/>
    <s v="5% off"/>
    <m/>
    <x v="0"/>
    <x v="0"/>
    <n v="452.97"/>
    <x v="0"/>
    <n v="3"/>
    <s v="Average"/>
  </r>
  <r>
    <s v="2a600a0c-05b0-4c30-8ae5-a30e89f99649"/>
    <x v="12"/>
    <x v="0"/>
    <x v="30"/>
    <x v="1"/>
    <x v="23"/>
    <s v="2025-01-15"/>
    <x v="4"/>
    <x v="9"/>
    <x v="1"/>
    <n v="362.55"/>
    <s v="5% off"/>
    <m/>
    <x v="0"/>
    <x v="1"/>
    <n v="362.55"/>
    <x v="2"/>
    <n v="4"/>
    <s v="Good"/>
  </r>
  <r>
    <s v="90fb72cb-6501-4f4e-ad11-3cc02979d603"/>
    <x v="7"/>
    <x v="0"/>
    <x v="31"/>
    <x v="0"/>
    <x v="22"/>
    <s v="2024-11-24"/>
    <x v="5"/>
    <x v="1"/>
    <x v="0"/>
    <n v="485.26"/>
    <s v="5% off"/>
    <m/>
    <x v="0"/>
    <x v="1"/>
    <n v="485.26"/>
    <x v="3"/>
    <n v="3"/>
    <s v="Average"/>
  </r>
  <r>
    <s v="de600ae4-a370-4c7a-8c77-86111b76e076"/>
    <x v="17"/>
    <x v="1"/>
    <x v="32"/>
    <x v="5"/>
    <x v="9"/>
    <s v="2025-01-29"/>
    <x v="4"/>
    <x v="9"/>
    <x v="1"/>
    <n v="452.97"/>
    <s v="5% off"/>
    <m/>
    <x v="0"/>
    <x v="0"/>
    <n v="452.97"/>
    <x v="1"/>
    <n v="3"/>
    <s v="Average"/>
  </r>
  <r>
    <s v="df0be9dc-6ed3-4cc0-86f5-dd7b304fc384"/>
    <x v="3"/>
    <x v="1"/>
    <x v="33"/>
    <x v="4"/>
    <x v="20"/>
    <s v="2024-11-10"/>
    <x v="5"/>
    <x v="1"/>
    <x v="0"/>
    <n v="260.77999999999997"/>
    <s v="5% off"/>
    <m/>
    <x v="0"/>
    <x v="0"/>
    <n v="260.77999999999997"/>
    <x v="0"/>
    <n v="2"/>
    <s v="Poor"/>
  </r>
  <r>
    <s v="5aa58f86-ed9b-418c-8a4b-d4eaff726e81"/>
    <x v="48"/>
    <x v="1"/>
    <x v="34"/>
    <x v="3"/>
    <x v="12"/>
    <s v="2025-02-23"/>
    <x v="5"/>
    <x v="8"/>
    <x v="1"/>
    <n v="270.41000000000003"/>
    <s v="5% off"/>
    <m/>
    <x v="0"/>
    <x v="0"/>
    <n v="270.41000000000003"/>
    <x v="1"/>
    <n v="4"/>
    <s v="Good"/>
  </r>
  <r>
    <s v="ebeeca6a-32f6-48dc-9c7c-e2a3eced89a1"/>
    <x v="18"/>
    <x v="1"/>
    <x v="35"/>
    <x v="1"/>
    <x v="25"/>
    <s v="2024-07-07"/>
    <x v="5"/>
    <x v="2"/>
    <x v="0"/>
    <n v="527.16999999999996"/>
    <s v="10% off"/>
    <m/>
    <x v="0"/>
    <x v="0"/>
    <n v="527.16999999999996"/>
    <x v="1"/>
    <n v="4"/>
    <s v="Good"/>
  </r>
  <r>
    <s v="0f474012-6c64-450b-958b-892c2a817813"/>
    <x v="13"/>
    <x v="0"/>
    <x v="36"/>
    <x v="6"/>
    <x v="14"/>
    <s v="2025-03-03"/>
    <x v="6"/>
    <x v="6"/>
    <x v="1"/>
    <n v="965.09"/>
    <s v="20% off"/>
    <m/>
    <x v="0"/>
    <x v="0"/>
    <n v="965.09"/>
    <x v="0"/>
    <n v="3"/>
    <s v="Average"/>
  </r>
  <r>
    <s v="6933c044-5e3e-4e3c-b428-085b0161e6f9"/>
    <x v="11"/>
    <x v="0"/>
    <x v="37"/>
    <x v="3"/>
    <x v="15"/>
    <s v="2024-10-15"/>
    <x v="1"/>
    <x v="5"/>
    <x v="0"/>
    <n v="855.21"/>
    <s v="15% off"/>
    <m/>
    <x v="0"/>
    <x v="1"/>
    <n v="855.21"/>
    <x v="1"/>
    <n v="4"/>
    <s v="Good"/>
  </r>
  <r>
    <s v="0fdd4040-6205-4ee9-a775-442d2af42dcb"/>
    <x v="14"/>
    <x v="0"/>
    <x v="38"/>
    <x v="3"/>
    <x v="3"/>
    <s v="2025-02-20"/>
    <x v="3"/>
    <x v="8"/>
    <x v="1"/>
    <n v="211.46"/>
    <s v="5% off"/>
    <m/>
    <x v="0"/>
    <x v="1"/>
    <n v="211.46"/>
    <x v="0"/>
    <n v="3"/>
    <s v="Average"/>
  </r>
  <r>
    <s v="aa090570-3120-4757-94b0-912529faba99"/>
    <x v="39"/>
    <x v="1"/>
    <x v="39"/>
    <x v="0"/>
    <x v="11"/>
    <s v="2025-03-02"/>
    <x v="5"/>
    <x v="6"/>
    <x v="1"/>
    <n v="116.78"/>
    <s v="0% off"/>
    <m/>
    <x v="1"/>
    <x v="0"/>
    <n v="116.78"/>
    <x v="0"/>
    <n v="1"/>
    <s v="Very Poor"/>
  </r>
  <r>
    <s v="0bed13e9-a094-4403-b70a-03b6471ebdf2"/>
    <x v="22"/>
    <x v="1"/>
    <x v="40"/>
    <x v="0"/>
    <x v="22"/>
    <s v="2024-10-21"/>
    <x v="6"/>
    <x v="5"/>
    <x v="0"/>
    <n v="485.26"/>
    <s v="5% off"/>
    <m/>
    <x v="0"/>
    <x v="0"/>
    <n v="485.26"/>
    <x v="2"/>
    <n v="4"/>
    <s v="Good"/>
  </r>
  <r>
    <s v="14b53bde-e401-41fe-8af7-07ee6f548dab"/>
    <x v="52"/>
    <x v="0"/>
    <x v="41"/>
    <x v="5"/>
    <x v="8"/>
    <s v="2024-09-11"/>
    <x v="4"/>
    <x v="10"/>
    <x v="0"/>
    <n v="374.92"/>
    <s v="5% off"/>
    <m/>
    <x v="0"/>
    <x v="1"/>
    <n v="374.92"/>
    <x v="0"/>
    <n v="3"/>
    <s v="Average"/>
  </r>
  <r>
    <s v="159c29f6-3ced-4cd7-acae-d8e3d25ef998"/>
    <x v="3"/>
    <x v="1"/>
    <x v="42"/>
    <x v="6"/>
    <x v="13"/>
    <s v="2024-10-27"/>
    <x v="5"/>
    <x v="5"/>
    <x v="0"/>
    <n v="418.55"/>
    <s v="5% off"/>
    <m/>
    <x v="0"/>
    <x v="1"/>
    <n v="418.55"/>
    <x v="2"/>
    <n v="3"/>
    <s v="Average"/>
  </r>
  <r>
    <s v="7486d10c-4b90-4083-9d28-8a2210e22802"/>
    <x v="24"/>
    <x v="1"/>
    <x v="43"/>
    <x v="5"/>
    <x v="16"/>
    <s v="2024-07-01"/>
    <x v="6"/>
    <x v="2"/>
    <x v="0"/>
    <n v="592.26"/>
    <s v="10% off"/>
    <m/>
    <x v="0"/>
    <x v="1"/>
    <n v="592.26"/>
    <x v="1"/>
    <n v="3"/>
    <s v="Average"/>
  </r>
  <r>
    <s v="bba58f87-cdc4-444f-82cd-7390c4cffdd2"/>
    <x v="26"/>
    <x v="1"/>
    <x v="44"/>
    <x v="0"/>
    <x v="22"/>
    <s v="2024-04-18"/>
    <x v="3"/>
    <x v="0"/>
    <x v="0"/>
    <n v="485.26"/>
    <s v="5% off"/>
    <m/>
    <x v="0"/>
    <x v="1"/>
    <n v="485.26"/>
    <x v="3"/>
    <n v="3"/>
    <s v="Average"/>
  </r>
  <r>
    <s v="8efce094-0597-4ae7-b36b-f5b25cc845be"/>
    <x v="3"/>
    <x v="1"/>
    <x v="45"/>
    <x v="1"/>
    <x v="23"/>
    <s v="2024-06-22"/>
    <x v="2"/>
    <x v="11"/>
    <x v="0"/>
    <n v="362.55"/>
    <s v="5% off"/>
    <m/>
    <x v="0"/>
    <x v="1"/>
    <n v="362.55"/>
    <x v="1"/>
    <n v="1"/>
    <s v="Very Poor"/>
  </r>
  <r>
    <s v="1baec60f-4eae-4bf2-bbf1-24590df91a02"/>
    <x v="26"/>
    <x v="0"/>
    <x v="46"/>
    <x v="0"/>
    <x v="22"/>
    <s v="2024-12-10"/>
    <x v="1"/>
    <x v="7"/>
    <x v="0"/>
    <n v="485.26"/>
    <s v="5% off"/>
    <m/>
    <x v="0"/>
    <x v="1"/>
    <n v="485.26"/>
    <x v="0"/>
    <n v="2"/>
    <s v="Poor"/>
  </r>
  <r>
    <s v="68b3c58b-6dd0-475a-87f6-eb0107099ce9"/>
    <x v="5"/>
    <x v="0"/>
    <x v="47"/>
    <x v="2"/>
    <x v="24"/>
    <s v="2024-04-28"/>
    <x v="5"/>
    <x v="0"/>
    <x v="0"/>
    <n v="52.44"/>
    <s v="0% off"/>
    <m/>
    <x v="1"/>
    <x v="0"/>
    <n v="52.44"/>
    <x v="0"/>
    <n v="3"/>
    <s v="Average"/>
  </r>
  <r>
    <s v="a2af0e43-0b23-435d-9222-bb20ec4b2739"/>
    <x v="31"/>
    <x v="1"/>
    <x v="48"/>
    <x v="2"/>
    <x v="27"/>
    <s v="2024-07-15"/>
    <x v="6"/>
    <x v="2"/>
    <x v="0"/>
    <n v="340.04"/>
    <s v="5% off"/>
    <m/>
    <x v="0"/>
    <x v="0"/>
    <n v="340.04"/>
    <x v="0"/>
    <n v="4"/>
    <s v="Good"/>
  </r>
  <r>
    <s v="27b0c78b-0eae-4eeb-8faf-3f5c73d7b075"/>
    <x v="21"/>
    <x v="1"/>
    <x v="49"/>
    <x v="5"/>
    <x v="8"/>
    <s v="2025-01-14"/>
    <x v="1"/>
    <x v="9"/>
    <x v="1"/>
    <n v="374.92"/>
    <s v="5% off"/>
    <m/>
    <x v="0"/>
    <x v="1"/>
    <n v="374.92"/>
    <x v="3"/>
    <n v="3"/>
    <s v="Average"/>
  </r>
  <r>
    <s v="8c7aa2f1-34b3-48d9-bc31-a3a485f61279"/>
    <x v="43"/>
    <x v="1"/>
    <x v="50"/>
    <x v="1"/>
    <x v="1"/>
    <s v="2025-03-02"/>
    <x v="5"/>
    <x v="6"/>
    <x v="1"/>
    <n v="67.040000000000006"/>
    <s v="0% off"/>
    <m/>
    <x v="1"/>
    <x v="0"/>
    <n v="67.040000000000006"/>
    <x v="3"/>
    <n v="3"/>
    <s v="Average"/>
  </r>
  <r>
    <s v="dcea4a28-4183-4099-bfa1-a70e84fdaa94"/>
    <x v="25"/>
    <x v="1"/>
    <x v="51"/>
    <x v="3"/>
    <x v="12"/>
    <s v="2025-03-24"/>
    <x v="6"/>
    <x v="6"/>
    <x v="1"/>
    <n v="270.41000000000003"/>
    <s v="5% off"/>
    <m/>
    <x v="0"/>
    <x v="0"/>
    <n v="270.41000000000003"/>
    <x v="0"/>
    <n v="1"/>
    <s v="Very Poor"/>
  </r>
  <r>
    <s v="678f5211-21e1-40ea-9a36-d1674a2f24c2"/>
    <x v="36"/>
    <x v="1"/>
    <x v="52"/>
    <x v="2"/>
    <x v="2"/>
    <s v="2024-05-01"/>
    <x v="4"/>
    <x v="4"/>
    <x v="0"/>
    <n v="493.96"/>
    <s v="5% off"/>
    <m/>
    <x v="0"/>
    <x v="0"/>
    <n v="493.96"/>
    <x v="1"/>
    <n v="4"/>
    <s v="Good"/>
  </r>
  <r>
    <s v="0120652f-7587-4611-8bba-2f290aa38680"/>
    <x v="43"/>
    <x v="0"/>
    <x v="53"/>
    <x v="3"/>
    <x v="19"/>
    <s v="2024-11-26"/>
    <x v="1"/>
    <x v="1"/>
    <x v="0"/>
    <n v="165.68"/>
    <s v="5% off"/>
    <m/>
    <x v="0"/>
    <x v="1"/>
    <n v="165.68"/>
    <x v="2"/>
    <n v="1"/>
    <s v="Very Poor"/>
  </r>
  <r>
    <s v="9447c115-2c94-473f-aa69-6e56ed07d906"/>
    <x v="47"/>
    <x v="1"/>
    <x v="33"/>
    <x v="4"/>
    <x v="20"/>
    <s v="2025-01-03"/>
    <x v="0"/>
    <x v="9"/>
    <x v="1"/>
    <n v="260.77999999999997"/>
    <s v="5% off"/>
    <m/>
    <x v="0"/>
    <x v="1"/>
    <n v="260.77999999999997"/>
    <x v="0"/>
    <n v="4"/>
    <s v="Good"/>
  </r>
  <r>
    <s v="8a6470df-1f49-40d6-9b32-7e964f3a1a72"/>
    <x v="22"/>
    <x v="1"/>
    <x v="54"/>
    <x v="4"/>
    <x v="17"/>
    <s v="2024-05-21"/>
    <x v="1"/>
    <x v="4"/>
    <x v="0"/>
    <n v="315.56"/>
    <s v="5% off"/>
    <m/>
    <x v="0"/>
    <x v="0"/>
    <n v="315.56"/>
    <x v="0"/>
    <n v="1"/>
    <s v="Very Poor"/>
  </r>
  <r>
    <s v="5225fcad-8cd3-4b2b-83d0-613f52ad6322"/>
    <x v="48"/>
    <x v="0"/>
    <x v="55"/>
    <x v="4"/>
    <x v="4"/>
    <s v="2024-10-19"/>
    <x v="2"/>
    <x v="5"/>
    <x v="0"/>
    <n v="512.94000000000005"/>
    <s v="10% off"/>
    <m/>
    <x v="0"/>
    <x v="1"/>
    <n v="512.94000000000005"/>
    <x v="1"/>
    <n v="5"/>
    <s v="Excellent"/>
  </r>
  <r>
    <s v="5de09f19-a223-445d-a79b-743ceb595382"/>
    <x v="15"/>
    <x v="1"/>
    <x v="56"/>
    <x v="1"/>
    <x v="1"/>
    <s v="2024-11-15"/>
    <x v="0"/>
    <x v="1"/>
    <x v="0"/>
    <n v="67.040000000000006"/>
    <s v="0% off"/>
    <m/>
    <x v="1"/>
    <x v="0"/>
    <n v="67.040000000000006"/>
    <x v="0"/>
    <n v="5"/>
    <s v="Excellent"/>
  </r>
  <r>
    <s v="6b073e0a-c2b1-4d9c-90f6-ddfc14adc80f"/>
    <x v="25"/>
    <x v="0"/>
    <x v="57"/>
    <x v="0"/>
    <x v="11"/>
    <s v="2024-08-29"/>
    <x v="3"/>
    <x v="3"/>
    <x v="0"/>
    <n v="116.78"/>
    <s v="0% off"/>
    <m/>
    <x v="1"/>
    <x v="0"/>
    <n v="116.78"/>
    <x v="1"/>
    <n v="1"/>
    <s v="Very Poor"/>
  </r>
  <r>
    <s v="4ffc2a51-b360-420b-87ea-a41ff3843d82"/>
    <x v="0"/>
    <x v="0"/>
    <x v="58"/>
    <x v="5"/>
    <x v="6"/>
    <s v="2024-05-14"/>
    <x v="1"/>
    <x v="4"/>
    <x v="0"/>
    <n v="76.81"/>
    <s v="0% off"/>
    <m/>
    <x v="1"/>
    <x v="0"/>
    <n v="76.81"/>
    <x v="0"/>
    <n v="4"/>
    <s v="Good"/>
  </r>
  <r>
    <s v="52f6a95a-0a6c-47d3-8330-6522e1916d5f"/>
    <x v="51"/>
    <x v="0"/>
    <x v="59"/>
    <x v="2"/>
    <x v="27"/>
    <s v="2025-03-19"/>
    <x v="4"/>
    <x v="6"/>
    <x v="1"/>
    <n v="340.04"/>
    <s v="5% off"/>
    <m/>
    <x v="0"/>
    <x v="0"/>
    <n v="340.04"/>
    <x v="2"/>
    <n v="5"/>
    <s v="Excellent"/>
  </r>
  <r>
    <s v="673ca7a6-b807-4e2d-8c5e-94c5fb52284b"/>
    <x v="40"/>
    <x v="1"/>
    <x v="60"/>
    <x v="4"/>
    <x v="20"/>
    <s v="2024-10-12"/>
    <x v="2"/>
    <x v="5"/>
    <x v="0"/>
    <n v="260.77999999999997"/>
    <s v="5% off"/>
    <m/>
    <x v="0"/>
    <x v="1"/>
    <n v="260.77999999999997"/>
    <x v="3"/>
    <n v="3"/>
    <s v="Average"/>
  </r>
  <r>
    <s v="db940273-2f8c-4a7f-a23b-975c82f3af8c"/>
    <x v="3"/>
    <x v="0"/>
    <x v="61"/>
    <x v="1"/>
    <x v="25"/>
    <s v="2024-05-14"/>
    <x v="1"/>
    <x v="4"/>
    <x v="0"/>
    <n v="527.16999999999996"/>
    <s v="10% off"/>
    <m/>
    <x v="0"/>
    <x v="0"/>
    <n v="527.16999999999996"/>
    <x v="2"/>
    <n v="1"/>
    <s v="Very Poor"/>
  </r>
  <r>
    <s v="80fd8eed-f3d1-4a17-b493-53e0a40c64f5"/>
    <x v="50"/>
    <x v="0"/>
    <x v="42"/>
    <x v="3"/>
    <x v="3"/>
    <s v="2024-06-09"/>
    <x v="5"/>
    <x v="11"/>
    <x v="0"/>
    <n v="211.46"/>
    <s v="5% off"/>
    <m/>
    <x v="0"/>
    <x v="0"/>
    <n v="211.46"/>
    <x v="3"/>
    <n v="2"/>
    <s v="Poor"/>
  </r>
  <r>
    <s v="3f0dfc3a-5436-41f1-a03f-a4a1b84c3b92"/>
    <x v="13"/>
    <x v="1"/>
    <x v="62"/>
    <x v="4"/>
    <x v="4"/>
    <s v="2024-04-11"/>
    <x v="3"/>
    <x v="0"/>
    <x v="0"/>
    <n v="512.94000000000005"/>
    <s v="10% off"/>
    <m/>
    <x v="0"/>
    <x v="1"/>
    <n v="512.94000000000005"/>
    <x v="3"/>
    <n v="5"/>
    <s v="Excellent"/>
  </r>
  <r>
    <s v="9121a01e-3953-48ea-82e1-c0aa6feb1d66"/>
    <x v="44"/>
    <x v="1"/>
    <x v="63"/>
    <x v="4"/>
    <x v="4"/>
    <s v="2024-06-18"/>
    <x v="1"/>
    <x v="11"/>
    <x v="0"/>
    <n v="512.94000000000005"/>
    <s v="10% off"/>
    <m/>
    <x v="0"/>
    <x v="0"/>
    <n v="512.94000000000005"/>
    <x v="3"/>
    <n v="4"/>
    <s v="Good"/>
  </r>
  <r>
    <s v="638d002c-2052-4607-ac46-e2e1517ddf00"/>
    <x v="31"/>
    <x v="0"/>
    <x v="64"/>
    <x v="2"/>
    <x v="24"/>
    <s v="2024-07-25"/>
    <x v="3"/>
    <x v="2"/>
    <x v="0"/>
    <n v="52.44"/>
    <s v="0% off"/>
    <m/>
    <x v="1"/>
    <x v="0"/>
    <n v="52.44"/>
    <x v="1"/>
    <n v="1"/>
    <s v="Very Poor"/>
  </r>
  <r>
    <s v="75c74902-c27b-4934-9b17-025d8701415c"/>
    <x v="27"/>
    <x v="0"/>
    <x v="65"/>
    <x v="2"/>
    <x v="27"/>
    <s v="2024-08-02"/>
    <x v="0"/>
    <x v="3"/>
    <x v="0"/>
    <n v="340.04"/>
    <s v="5% off"/>
    <m/>
    <x v="0"/>
    <x v="0"/>
    <n v="340.04"/>
    <x v="3"/>
    <n v="1"/>
    <s v="Very Poor"/>
  </r>
  <r>
    <s v="880f9f0c-c841-4afe-93dd-450be6953f86"/>
    <x v="36"/>
    <x v="0"/>
    <x v="66"/>
    <x v="2"/>
    <x v="18"/>
    <s v="2024-10-16"/>
    <x v="4"/>
    <x v="5"/>
    <x v="0"/>
    <n v="492.1"/>
    <s v="5% off"/>
    <m/>
    <x v="0"/>
    <x v="1"/>
    <n v="492.1"/>
    <x v="1"/>
    <n v="5"/>
    <s v="Excellent"/>
  </r>
  <r>
    <s v="dfe6a7cb-de5d-4539-86ba-aa03688b00a2"/>
    <x v="36"/>
    <x v="1"/>
    <x v="67"/>
    <x v="1"/>
    <x v="26"/>
    <s v="2024-08-20"/>
    <x v="1"/>
    <x v="3"/>
    <x v="0"/>
    <n v="775.75"/>
    <s v="15% off"/>
    <m/>
    <x v="0"/>
    <x v="1"/>
    <n v="775.75"/>
    <x v="2"/>
    <n v="3"/>
    <s v="Average"/>
  </r>
  <r>
    <s v="6cb8b8de-37b4-406d-b167-2cce6e05fc2b"/>
    <x v="25"/>
    <x v="0"/>
    <x v="68"/>
    <x v="6"/>
    <x v="21"/>
    <s v="2024-05-28"/>
    <x v="1"/>
    <x v="4"/>
    <x v="0"/>
    <n v="461.81"/>
    <s v="5% off"/>
    <m/>
    <x v="0"/>
    <x v="1"/>
    <n v="461.81"/>
    <x v="0"/>
    <n v="4"/>
    <s v="Good"/>
  </r>
  <r>
    <s v="f581f811-d73a-4359-b2d9-5493593b4dce"/>
    <x v="1"/>
    <x v="1"/>
    <x v="69"/>
    <x v="4"/>
    <x v="20"/>
    <s v="2024-06-21"/>
    <x v="0"/>
    <x v="11"/>
    <x v="0"/>
    <n v="260.77999999999997"/>
    <s v="5% off"/>
    <m/>
    <x v="0"/>
    <x v="0"/>
    <n v="260.77999999999997"/>
    <x v="0"/>
    <n v="1"/>
    <s v="Very Poor"/>
  </r>
  <r>
    <s v="54f36965-589c-4e3c-9561-52b5285789a7"/>
    <x v="26"/>
    <x v="0"/>
    <x v="70"/>
    <x v="6"/>
    <x v="10"/>
    <s v="2024-06-16"/>
    <x v="5"/>
    <x v="11"/>
    <x v="0"/>
    <n v="782.29"/>
    <s v="15% off"/>
    <m/>
    <x v="0"/>
    <x v="1"/>
    <n v="782.29"/>
    <x v="3"/>
    <n v="1"/>
    <s v="Very Poor"/>
  </r>
  <r>
    <s v="aa5cd927-d06d-4363-8708-170fbddefc82"/>
    <x v="50"/>
    <x v="0"/>
    <x v="71"/>
    <x v="1"/>
    <x v="23"/>
    <s v="2024-05-16"/>
    <x v="3"/>
    <x v="4"/>
    <x v="0"/>
    <n v="362.55"/>
    <s v="5% off"/>
    <m/>
    <x v="0"/>
    <x v="1"/>
    <n v="362.55"/>
    <x v="0"/>
    <n v="4"/>
    <s v="Good"/>
  </r>
  <r>
    <s v="8347324c-7c82-4133-87ab-33c253747766"/>
    <x v="36"/>
    <x v="0"/>
    <x v="72"/>
    <x v="1"/>
    <x v="23"/>
    <s v="2024-10-24"/>
    <x v="3"/>
    <x v="5"/>
    <x v="0"/>
    <n v="362.55"/>
    <s v="5% off"/>
    <m/>
    <x v="0"/>
    <x v="1"/>
    <n v="362.55"/>
    <x v="2"/>
    <n v="2"/>
    <s v="Poor"/>
  </r>
  <r>
    <s v="edc8eaa5-c94c-46d8-9fa9-b0911373f1cc"/>
    <x v="46"/>
    <x v="0"/>
    <x v="73"/>
    <x v="0"/>
    <x v="7"/>
    <s v="2024-12-07"/>
    <x v="2"/>
    <x v="7"/>
    <x v="0"/>
    <n v="78.349999999999994"/>
    <s v="0% off"/>
    <m/>
    <x v="1"/>
    <x v="1"/>
    <n v="78.349999999999994"/>
    <x v="1"/>
    <n v="3"/>
    <s v="Average"/>
  </r>
  <r>
    <s v="703445ae-1b71-4824-9e64-42c1b1430c2f"/>
    <x v="52"/>
    <x v="0"/>
    <x v="74"/>
    <x v="4"/>
    <x v="20"/>
    <s v="2025-03-10"/>
    <x v="6"/>
    <x v="6"/>
    <x v="1"/>
    <n v="260.77999999999997"/>
    <s v="5% off"/>
    <m/>
    <x v="0"/>
    <x v="1"/>
    <n v="260.77999999999997"/>
    <x v="3"/>
    <n v="2"/>
    <s v="Poor"/>
  </r>
  <r>
    <s v="fa03933b-fcd6-4527-8291-b5e153e43069"/>
    <x v="21"/>
    <x v="0"/>
    <x v="75"/>
    <x v="2"/>
    <x v="18"/>
    <s v="2024-05-30"/>
    <x v="3"/>
    <x v="4"/>
    <x v="0"/>
    <n v="492.1"/>
    <s v="5% off"/>
    <m/>
    <x v="0"/>
    <x v="1"/>
    <n v="492.1"/>
    <x v="0"/>
    <n v="2"/>
    <s v="Poor"/>
  </r>
  <r>
    <s v="70dd2f75-70c1-4e2e-9546-99f43817382a"/>
    <x v="25"/>
    <x v="0"/>
    <x v="76"/>
    <x v="5"/>
    <x v="16"/>
    <s v="2024-07-13"/>
    <x v="2"/>
    <x v="2"/>
    <x v="0"/>
    <n v="592.26"/>
    <s v="10% off"/>
    <m/>
    <x v="0"/>
    <x v="0"/>
    <n v="592.26"/>
    <x v="0"/>
    <n v="5"/>
    <s v="Excellent"/>
  </r>
  <r>
    <s v="39a62f7a-6739-433b-a45d-5137ce26a878"/>
    <x v="7"/>
    <x v="0"/>
    <x v="77"/>
    <x v="6"/>
    <x v="13"/>
    <s v="2024-04-01"/>
    <x v="6"/>
    <x v="0"/>
    <x v="0"/>
    <n v="418.55"/>
    <s v="5% off"/>
    <m/>
    <x v="0"/>
    <x v="0"/>
    <n v="418.55"/>
    <x v="2"/>
    <n v="3"/>
    <s v="Average"/>
  </r>
  <r>
    <s v="6bb27d8e-8d0d-422b-babf-11d2b7a1b0a2"/>
    <x v="18"/>
    <x v="1"/>
    <x v="78"/>
    <x v="3"/>
    <x v="12"/>
    <s v="2024-05-19"/>
    <x v="5"/>
    <x v="4"/>
    <x v="0"/>
    <n v="270.41000000000003"/>
    <s v="5% off"/>
    <m/>
    <x v="0"/>
    <x v="1"/>
    <n v="270.41000000000003"/>
    <x v="0"/>
    <n v="1"/>
    <s v="Very Poor"/>
  </r>
  <r>
    <s v="871e4cc9-94fd-4895-ac98-5ef688e487ce"/>
    <x v="6"/>
    <x v="1"/>
    <x v="79"/>
    <x v="6"/>
    <x v="13"/>
    <s v="2025-01-14"/>
    <x v="1"/>
    <x v="9"/>
    <x v="1"/>
    <n v="418.55"/>
    <s v="5% off"/>
    <m/>
    <x v="0"/>
    <x v="1"/>
    <n v="418.55"/>
    <x v="1"/>
    <n v="1"/>
    <s v="Very Poor"/>
  </r>
  <r>
    <s v="41a2d645-71cc-4879-9542-677f8cc87e10"/>
    <x v="2"/>
    <x v="1"/>
    <x v="80"/>
    <x v="6"/>
    <x v="14"/>
    <s v="2024-04-02"/>
    <x v="1"/>
    <x v="0"/>
    <x v="0"/>
    <n v="965.09"/>
    <s v="20% off"/>
    <m/>
    <x v="0"/>
    <x v="1"/>
    <n v="965.09"/>
    <x v="3"/>
    <n v="1"/>
    <s v="Very Poor"/>
  </r>
  <r>
    <s v="86c2d6ec-ba26-47fb-9276-7a0cce6d0fa5"/>
    <x v="8"/>
    <x v="1"/>
    <x v="81"/>
    <x v="0"/>
    <x v="7"/>
    <s v="2025-02-04"/>
    <x v="1"/>
    <x v="8"/>
    <x v="1"/>
    <n v="78.349999999999994"/>
    <s v="0% off"/>
    <m/>
    <x v="1"/>
    <x v="0"/>
    <n v="78.349999999999994"/>
    <x v="0"/>
    <n v="1"/>
    <s v="Very Poor"/>
  </r>
  <r>
    <s v="dad93d39-dd7a-4f66-81bf-e3f52391b842"/>
    <x v="39"/>
    <x v="0"/>
    <x v="82"/>
    <x v="1"/>
    <x v="1"/>
    <s v="2024-07-05"/>
    <x v="0"/>
    <x v="2"/>
    <x v="0"/>
    <n v="67.040000000000006"/>
    <s v="0% off"/>
    <m/>
    <x v="1"/>
    <x v="1"/>
    <n v="67.040000000000006"/>
    <x v="0"/>
    <n v="1"/>
    <s v="Very Poor"/>
  </r>
  <r>
    <s v="1cfcab12-8a58-4780-b156-ae2f3d544c94"/>
    <x v="35"/>
    <x v="0"/>
    <x v="83"/>
    <x v="3"/>
    <x v="19"/>
    <s v="2025-02-10"/>
    <x v="6"/>
    <x v="8"/>
    <x v="1"/>
    <n v="165.68"/>
    <s v="5% off"/>
    <m/>
    <x v="0"/>
    <x v="1"/>
    <n v="165.68"/>
    <x v="3"/>
    <n v="5"/>
    <s v="Excellent"/>
  </r>
  <r>
    <s v="64c16493-eca5-4ce7-a172-1095c8dff2ad"/>
    <x v="8"/>
    <x v="0"/>
    <x v="84"/>
    <x v="0"/>
    <x v="22"/>
    <s v="2024-12-26"/>
    <x v="3"/>
    <x v="7"/>
    <x v="0"/>
    <n v="485.26"/>
    <s v="5% off"/>
    <m/>
    <x v="0"/>
    <x v="1"/>
    <n v="485.26"/>
    <x v="0"/>
    <n v="2"/>
    <s v="Poor"/>
  </r>
  <r>
    <s v="0bb5c3ef-19ce-4f11-9cfd-7ccc64850619"/>
    <x v="9"/>
    <x v="1"/>
    <x v="85"/>
    <x v="6"/>
    <x v="10"/>
    <s v="2025-01-01"/>
    <x v="4"/>
    <x v="9"/>
    <x v="1"/>
    <n v="782.29"/>
    <s v="15% off"/>
    <m/>
    <x v="0"/>
    <x v="0"/>
    <n v="782.29"/>
    <x v="0"/>
    <n v="3"/>
    <s v="Average"/>
  </r>
  <r>
    <s v="37d2845d-fdd8-486b-ac29-d95e12312e99"/>
    <x v="45"/>
    <x v="1"/>
    <x v="86"/>
    <x v="4"/>
    <x v="5"/>
    <s v="2024-04-22"/>
    <x v="6"/>
    <x v="0"/>
    <x v="0"/>
    <n v="988.77"/>
    <s v="20% off"/>
    <m/>
    <x v="0"/>
    <x v="0"/>
    <n v="988.77"/>
    <x v="2"/>
    <n v="3"/>
    <s v="Average"/>
  </r>
  <r>
    <s v="58689795-2c06-4bfd-a6eb-4c78ec4e2cab"/>
    <x v="16"/>
    <x v="0"/>
    <x v="87"/>
    <x v="0"/>
    <x v="22"/>
    <s v="2024-09-02"/>
    <x v="6"/>
    <x v="10"/>
    <x v="0"/>
    <n v="485.26"/>
    <s v="5% off"/>
    <m/>
    <x v="0"/>
    <x v="0"/>
    <n v="485.26"/>
    <x v="2"/>
    <n v="1"/>
    <s v="Very Poor"/>
  </r>
  <r>
    <s v="c15d16cd-ca52-4c94-b265-d1c60e6972b7"/>
    <x v="23"/>
    <x v="0"/>
    <x v="88"/>
    <x v="2"/>
    <x v="27"/>
    <s v="2024-10-05"/>
    <x v="2"/>
    <x v="5"/>
    <x v="0"/>
    <n v="340.04"/>
    <s v="5% off"/>
    <m/>
    <x v="0"/>
    <x v="1"/>
    <n v="340.04"/>
    <x v="0"/>
    <n v="5"/>
    <s v="Excellent"/>
  </r>
  <r>
    <s v="9b86e9c4-011d-46ad-a17d-6c23592efac3"/>
    <x v="22"/>
    <x v="0"/>
    <x v="89"/>
    <x v="1"/>
    <x v="25"/>
    <s v="2025-03-19"/>
    <x v="4"/>
    <x v="6"/>
    <x v="1"/>
    <n v="527.16999999999996"/>
    <s v="10% off"/>
    <m/>
    <x v="0"/>
    <x v="0"/>
    <n v="527.16999999999996"/>
    <x v="0"/>
    <n v="1"/>
    <s v="Very Poor"/>
  </r>
  <r>
    <s v="77d10263-9604-4d40-ab98-25e3ca74ee9a"/>
    <x v="9"/>
    <x v="1"/>
    <x v="90"/>
    <x v="1"/>
    <x v="26"/>
    <s v="2025-02-18"/>
    <x v="1"/>
    <x v="8"/>
    <x v="1"/>
    <n v="775.75"/>
    <s v="15% off"/>
    <m/>
    <x v="0"/>
    <x v="0"/>
    <n v="775.75"/>
    <x v="1"/>
    <n v="3"/>
    <s v="Average"/>
  </r>
  <r>
    <s v="4640b7f3-51c2-4ab4-8f1a-e3ddb2fb79aa"/>
    <x v="42"/>
    <x v="0"/>
    <x v="91"/>
    <x v="6"/>
    <x v="10"/>
    <s v="2024-06-16"/>
    <x v="5"/>
    <x v="11"/>
    <x v="0"/>
    <n v="782.29"/>
    <s v="15% off"/>
    <m/>
    <x v="0"/>
    <x v="0"/>
    <n v="782.29"/>
    <x v="0"/>
    <n v="2"/>
    <s v="Poor"/>
  </r>
  <r>
    <s v="f7750554-1a06-47e3-9a0a-dbc02e444b34"/>
    <x v="18"/>
    <x v="1"/>
    <x v="92"/>
    <x v="0"/>
    <x v="0"/>
    <s v="2024-05-29"/>
    <x v="4"/>
    <x v="4"/>
    <x v="0"/>
    <n v="697.86"/>
    <s v="10% off"/>
    <m/>
    <x v="0"/>
    <x v="1"/>
    <n v="697.86"/>
    <x v="1"/>
    <n v="5"/>
    <s v="Excellent"/>
  </r>
  <r>
    <s v="a9a9efc2-bd77-4ae5-afef-84e72f137171"/>
    <x v="48"/>
    <x v="0"/>
    <x v="93"/>
    <x v="1"/>
    <x v="25"/>
    <s v="2024-06-08"/>
    <x v="2"/>
    <x v="11"/>
    <x v="0"/>
    <n v="527.16999999999996"/>
    <s v="10% off"/>
    <m/>
    <x v="0"/>
    <x v="0"/>
    <n v="527.16999999999996"/>
    <x v="1"/>
    <n v="4"/>
    <s v="Good"/>
  </r>
  <r>
    <s v="69a2f47d-c60d-47b0-99c6-23cc87237afb"/>
    <x v="4"/>
    <x v="0"/>
    <x v="56"/>
    <x v="1"/>
    <x v="25"/>
    <s v="2024-07-10"/>
    <x v="4"/>
    <x v="2"/>
    <x v="0"/>
    <n v="527.16999999999996"/>
    <s v="10% off"/>
    <m/>
    <x v="0"/>
    <x v="1"/>
    <n v="527.16999999999996"/>
    <x v="0"/>
    <n v="2"/>
    <s v="Poor"/>
  </r>
  <r>
    <s v="8512f953-90ce-4855-a4fa-251fce438977"/>
    <x v="26"/>
    <x v="0"/>
    <x v="94"/>
    <x v="5"/>
    <x v="16"/>
    <s v="2024-12-03"/>
    <x v="1"/>
    <x v="7"/>
    <x v="0"/>
    <n v="592.26"/>
    <s v="10% off"/>
    <m/>
    <x v="0"/>
    <x v="1"/>
    <n v="592.26"/>
    <x v="0"/>
    <n v="4"/>
    <s v="Good"/>
  </r>
  <r>
    <s v="dd5544c6-dbd9-4004-8f85-fb8f76be0774"/>
    <x v="16"/>
    <x v="0"/>
    <x v="89"/>
    <x v="4"/>
    <x v="20"/>
    <s v="2024-06-08"/>
    <x v="2"/>
    <x v="11"/>
    <x v="0"/>
    <n v="260.77999999999997"/>
    <s v="5% off"/>
    <m/>
    <x v="0"/>
    <x v="1"/>
    <n v="260.77999999999997"/>
    <x v="1"/>
    <n v="4"/>
    <s v="Good"/>
  </r>
  <r>
    <s v="c864c809-0449-4a2c-a724-12537d2c1eda"/>
    <x v="32"/>
    <x v="1"/>
    <x v="95"/>
    <x v="2"/>
    <x v="18"/>
    <s v="2024-11-29"/>
    <x v="0"/>
    <x v="1"/>
    <x v="0"/>
    <n v="492.1"/>
    <s v="5% off"/>
    <m/>
    <x v="0"/>
    <x v="1"/>
    <n v="492.1"/>
    <x v="3"/>
    <n v="5"/>
    <s v="Excellent"/>
  </r>
  <r>
    <s v="a9c782fa-2e1a-4524-bb03-e6aae6c81e08"/>
    <x v="26"/>
    <x v="1"/>
    <x v="96"/>
    <x v="0"/>
    <x v="0"/>
    <s v="2024-09-30"/>
    <x v="6"/>
    <x v="10"/>
    <x v="0"/>
    <n v="697.86"/>
    <s v="10% off"/>
    <m/>
    <x v="0"/>
    <x v="0"/>
    <n v="697.86"/>
    <x v="1"/>
    <n v="4"/>
    <s v="Good"/>
  </r>
  <r>
    <s v="c4119225-62c4-4f41-984c-b65c013c59cb"/>
    <x v="24"/>
    <x v="0"/>
    <x v="58"/>
    <x v="6"/>
    <x v="10"/>
    <s v="2024-12-14"/>
    <x v="2"/>
    <x v="7"/>
    <x v="0"/>
    <n v="782.29"/>
    <s v="15% off"/>
    <m/>
    <x v="0"/>
    <x v="1"/>
    <n v="782.29"/>
    <x v="1"/>
    <n v="3"/>
    <s v="Average"/>
  </r>
  <r>
    <s v="97a8524d-5633-43f9-8754-dea747bfff92"/>
    <x v="30"/>
    <x v="1"/>
    <x v="90"/>
    <x v="3"/>
    <x v="15"/>
    <s v="2024-10-04"/>
    <x v="0"/>
    <x v="5"/>
    <x v="0"/>
    <n v="855.21"/>
    <s v="15% off"/>
    <m/>
    <x v="0"/>
    <x v="0"/>
    <n v="855.21"/>
    <x v="0"/>
    <n v="2"/>
    <s v="Poor"/>
  </r>
  <r>
    <s v="42224537-b289-4ab1-9496-31bcd93c5a4a"/>
    <x v="39"/>
    <x v="1"/>
    <x v="91"/>
    <x v="1"/>
    <x v="23"/>
    <s v="2025-01-29"/>
    <x v="4"/>
    <x v="9"/>
    <x v="1"/>
    <n v="362.55"/>
    <s v="5% off"/>
    <m/>
    <x v="0"/>
    <x v="1"/>
    <n v="362.55"/>
    <x v="3"/>
    <n v="5"/>
    <s v="Excellent"/>
  </r>
  <r>
    <s v="3b0411d1-e035-4bb9-afff-9d199c9eda33"/>
    <x v="47"/>
    <x v="0"/>
    <x v="97"/>
    <x v="2"/>
    <x v="24"/>
    <s v="2024-05-21"/>
    <x v="1"/>
    <x v="4"/>
    <x v="0"/>
    <n v="52.44"/>
    <s v="0% off"/>
    <m/>
    <x v="1"/>
    <x v="1"/>
    <n v="52.44"/>
    <x v="1"/>
    <n v="5"/>
    <s v="Excellent"/>
  </r>
  <r>
    <s v="2dd3b71f-f2e8-4d46-a1e7-f55f6d98db7e"/>
    <x v="46"/>
    <x v="1"/>
    <x v="98"/>
    <x v="6"/>
    <x v="21"/>
    <s v="2025-02-22"/>
    <x v="2"/>
    <x v="8"/>
    <x v="1"/>
    <n v="461.81"/>
    <s v="5% off"/>
    <m/>
    <x v="0"/>
    <x v="1"/>
    <n v="461.81"/>
    <x v="1"/>
    <n v="1"/>
    <s v="Very Poor"/>
  </r>
  <r>
    <s v="d6ddeedc-190e-46eb-b849-964a449c5a17"/>
    <x v="42"/>
    <x v="0"/>
    <x v="99"/>
    <x v="0"/>
    <x v="7"/>
    <s v="2024-07-19"/>
    <x v="0"/>
    <x v="2"/>
    <x v="0"/>
    <n v="78.349999999999994"/>
    <s v="0% off"/>
    <m/>
    <x v="1"/>
    <x v="1"/>
    <n v="78.349999999999994"/>
    <x v="1"/>
    <n v="3"/>
    <s v="Average"/>
  </r>
  <r>
    <s v="adcff500-f984-4ce0-b1df-d11860ad3414"/>
    <x v="37"/>
    <x v="0"/>
    <x v="100"/>
    <x v="2"/>
    <x v="18"/>
    <s v="2025-02-07"/>
    <x v="0"/>
    <x v="8"/>
    <x v="1"/>
    <n v="492.1"/>
    <s v="5% off"/>
    <m/>
    <x v="0"/>
    <x v="0"/>
    <n v="492.1"/>
    <x v="2"/>
    <n v="5"/>
    <s v="Excellent"/>
  </r>
  <r>
    <s v="f88ae9b9-2d12-4df9-b45c-553ebbe93161"/>
    <x v="49"/>
    <x v="1"/>
    <x v="101"/>
    <x v="5"/>
    <x v="6"/>
    <s v="2024-08-02"/>
    <x v="0"/>
    <x v="3"/>
    <x v="0"/>
    <n v="76.81"/>
    <s v="0% off"/>
    <m/>
    <x v="1"/>
    <x v="1"/>
    <n v="76.81"/>
    <x v="3"/>
    <n v="3"/>
    <s v="Average"/>
  </r>
  <r>
    <s v="eec7cd24-1e38-443a-a57a-32e302a383fd"/>
    <x v="19"/>
    <x v="0"/>
    <x v="102"/>
    <x v="2"/>
    <x v="24"/>
    <s v="2024-04-23"/>
    <x v="1"/>
    <x v="0"/>
    <x v="0"/>
    <n v="52.44"/>
    <s v="0% off"/>
    <m/>
    <x v="1"/>
    <x v="1"/>
    <n v="52.44"/>
    <x v="2"/>
    <n v="1"/>
    <s v="Very Poor"/>
  </r>
  <r>
    <s v="bb07eb9c-795e-4fc9-a465-a12a0686e3ca"/>
    <x v="4"/>
    <x v="0"/>
    <x v="103"/>
    <x v="2"/>
    <x v="24"/>
    <s v="2024-09-30"/>
    <x v="6"/>
    <x v="10"/>
    <x v="0"/>
    <n v="52.44"/>
    <s v="0% off"/>
    <m/>
    <x v="1"/>
    <x v="1"/>
    <n v="52.44"/>
    <x v="0"/>
    <n v="5"/>
    <s v="Excellent"/>
  </r>
  <r>
    <s v="dd0de635-8c78-440e-bf6f-1abb14a481c3"/>
    <x v="42"/>
    <x v="0"/>
    <x v="104"/>
    <x v="1"/>
    <x v="1"/>
    <s v="2025-03-11"/>
    <x v="1"/>
    <x v="6"/>
    <x v="1"/>
    <n v="67.040000000000006"/>
    <s v="0% off"/>
    <m/>
    <x v="1"/>
    <x v="0"/>
    <n v="67.040000000000006"/>
    <x v="0"/>
    <n v="2"/>
    <s v="Poor"/>
  </r>
  <r>
    <s v="dba37f2d-9383-4588-b195-d6ed12423f98"/>
    <x v="25"/>
    <x v="0"/>
    <x v="105"/>
    <x v="5"/>
    <x v="6"/>
    <s v="2024-04-03"/>
    <x v="4"/>
    <x v="0"/>
    <x v="0"/>
    <n v="76.81"/>
    <s v="0% off"/>
    <m/>
    <x v="1"/>
    <x v="1"/>
    <n v="76.81"/>
    <x v="2"/>
    <n v="4"/>
    <s v="Good"/>
  </r>
  <r>
    <s v="5002f95e-5651-4565-9e27-a8b47fb3e37a"/>
    <x v="37"/>
    <x v="0"/>
    <x v="106"/>
    <x v="6"/>
    <x v="10"/>
    <s v="2024-10-18"/>
    <x v="0"/>
    <x v="5"/>
    <x v="0"/>
    <n v="782.29"/>
    <s v="15% off"/>
    <m/>
    <x v="0"/>
    <x v="0"/>
    <n v="782.29"/>
    <x v="0"/>
    <n v="1"/>
    <s v="Very Poor"/>
  </r>
  <r>
    <s v="d69d9a25-fe1c-4f87-9f80-6e7be2fa7167"/>
    <x v="42"/>
    <x v="1"/>
    <x v="89"/>
    <x v="6"/>
    <x v="14"/>
    <s v="2024-06-09"/>
    <x v="5"/>
    <x v="11"/>
    <x v="0"/>
    <n v="965.09"/>
    <s v="20% off"/>
    <m/>
    <x v="0"/>
    <x v="0"/>
    <n v="965.09"/>
    <x v="0"/>
    <n v="4"/>
    <s v="Good"/>
  </r>
  <r>
    <s v="7b443055-fb1f-4ae0-91e2-a12bc53cde96"/>
    <x v="34"/>
    <x v="0"/>
    <x v="107"/>
    <x v="0"/>
    <x v="22"/>
    <s v="2024-09-18"/>
    <x v="4"/>
    <x v="10"/>
    <x v="0"/>
    <n v="485.26"/>
    <s v="5% off"/>
    <m/>
    <x v="0"/>
    <x v="1"/>
    <n v="485.26"/>
    <x v="3"/>
    <n v="5"/>
    <s v="Excellent"/>
  </r>
  <r>
    <s v="6cbd756c-9f53-425f-a88a-ba5a4d0b4c07"/>
    <x v="50"/>
    <x v="0"/>
    <x v="108"/>
    <x v="2"/>
    <x v="2"/>
    <s v="2024-07-09"/>
    <x v="1"/>
    <x v="2"/>
    <x v="0"/>
    <n v="493.96"/>
    <s v="5% off"/>
    <m/>
    <x v="0"/>
    <x v="1"/>
    <n v="493.96"/>
    <x v="2"/>
    <n v="4"/>
    <s v="Good"/>
  </r>
  <r>
    <s v="ac243f35-29d2-48fe-b52a-4d4691d68516"/>
    <x v="7"/>
    <x v="1"/>
    <x v="109"/>
    <x v="6"/>
    <x v="13"/>
    <s v="2025-02-24"/>
    <x v="6"/>
    <x v="8"/>
    <x v="1"/>
    <n v="418.55"/>
    <s v="5% off"/>
    <m/>
    <x v="0"/>
    <x v="1"/>
    <n v="418.55"/>
    <x v="3"/>
    <n v="3"/>
    <s v="Average"/>
  </r>
  <r>
    <s v="586908ac-ee90-46dc-806d-ba38f205190d"/>
    <x v="45"/>
    <x v="1"/>
    <x v="110"/>
    <x v="0"/>
    <x v="22"/>
    <s v="2024-06-21"/>
    <x v="0"/>
    <x v="11"/>
    <x v="0"/>
    <n v="485.26"/>
    <s v="5% off"/>
    <m/>
    <x v="0"/>
    <x v="1"/>
    <n v="485.26"/>
    <x v="0"/>
    <n v="1"/>
    <s v="Very Poor"/>
  </r>
  <r>
    <s v="7fae8883-b810-4c33-8c4c-8f6d3be13b51"/>
    <x v="33"/>
    <x v="1"/>
    <x v="111"/>
    <x v="2"/>
    <x v="27"/>
    <s v="2025-03-21"/>
    <x v="0"/>
    <x v="6"/>
    <x v="1"/>
    <n v="340.04"/>
    <s v="5% off"/>
    <m/>
    <x v="0"/>
    <x v="0"/>
    <n v="340.04"/>
    <x v="3"/>
    <n v="3"/>
    <s v="Average"/>
  </r>
  <r>
    <s v="7827a8ae-259f-40ad-86c6-e9cf6ca87b05"/>
    <x v="51"/>
    <x v="0"/>
    <x v="59"/>
    <x v="6"/>
    <x v="13"/>
    <s v="2025-02-13"/>
    <x v="3"/>
    <x v="8"/>
    <x v="1"/>
    <n v="418.55"/>
    <s v="5% off"/>
    <m/>
    <x v="0"/>
    <x v="0"/>
    <n v="418.55"/>
    <x v="1"/>
    <n v="1"/>
    <s v="Very Poor"/>
  </r>
  <r>
    <s v="b7d34d26-7b8c-4300-9c21-6ef67d452ed0"/>
    <x v="44"/>
    <x v="1"/>
    <x v="112"/>
    <x v="4"/>
    <x v="20"/>
    <s v="2024-07-08"/>
    <x v="6"/>
    <x v="2"/>
    <x v="0"/>
    <n v="260.77999999999997"/>
    <s v="5% off"/>
    <m/>
    <x v="0"/>
    <x v="0"/>
    <n v="260.77999999999997"/>
    <x v="2"/>
    <n v="4"/>
    <s v="Good"/>
  </r>
  <r>
    <s v="032aa9b3-ab31-420f-b2b8-6ca8875fb189"/>
    <x v="17"/>
    <x v="0"/>
    <x v="113"/>
    <x v="6"/>
    <x v="14"/>
    <s v="2024-08-15"/>
    <x v="3"/>
    <x v="3"/>
    <x v="0"/>
    <n v="965.09"/>
    <s v="20% off"/>
    <m/>
    <x v="0"/>
    <x v="1"/>
    <n v="965.09"/>
    <x v="3"/>
    <n v="4"/>
    <s v="Good"/>
  </r>
  <r>
    <s v="7c3e166b-5d3a-4af5-9e0c-2e02eeecc277"/>
    <x v="6"/>
    <x v="1"/>
    <x v="114"/>
    <x v="0"/>
    <x v="22"/>
    <s v="2024-10-15"/>
    <x v="1"/>
    <x v="5"/>
    <x v="0"/>
    <n v="485.26"/>
    <s v="5% off"/>
    <m/>
    <x v="0"/>
    <x v="0"/>
    <n v="485.26"/>
    <x v="2"/>
    <n v="3"/>
    <s v="Average"/>
  </r>
  <r>
    <s v="3dfbffd2-3149-4f34-ae9d-a65f6f4cc094"/>
    <x v="44"/>
    <x v="1"/>
    <x v="115"/>
    <x v="4"/>
    <x v="20"/>
    <s v="2024-11-08"/>
    <x v="0"/>
    <x v="1"/>
    <x v="0"/>
    <n v="260.77999999999997"/>
    <s v="5% off"/>
    <m/>
    <x v="0"/>
    <x v="0"/>
    <n v="260.77999999999997"/>
    <x v="3"/>
    <n v="4"/>
    <s v="Good"/>
  </r>
  <r>
    <s v="6aba4416-3422-4042-bce7-649386cb78c4"/>
    <x v="9"/>
    <x v="0"/>
    <x v="116"/>
    <x v="1"/>
    <x v="25"/>
    <s v="2024-07-30"/>
    <x v="1"/>
    <x v="2"/>
    <x v="0"/>
    <n v="527.16999999999996"/>
    <s v="10% off"/>
    <m/>
    <x v="0"/>
    <x v="0"/>
    <n v="527.16999999999996"/>
    <x v="1"/>
    <n v="5"/>
    <s v="Excellent"/>
  </r>
  <r>
    <s v="da89db02-1da0-44c6-8986-163cb10ac4c8"/>
    <x v="30"/>
    <x v="0"/>
    <x v="117"/>
    <x v="3"/>
    <x v="12"/>
    <s v="2024-11-07"/>
    <x v="3"/>
    <x v="1"/>
    <x v="0"/>
    <n v="270.41000000000003"/>
    <s v="5% off"/>
    <m/>
    <x v="0"/>
    <x v="1"/>
    <n v="270.41000000000003"/>
    <x v="1"/>
    <n v="3"/>
    <s v="Average"/>
  </r>
  <r>
    <s v="17a56ad7-2947-4e58-bdbd-dbecc7d05585"/>
    <x v="46"/>
    <x v="1"/>
    <x v="118"/>
    <x v="4"/>
    <x v="4"/>
    <s v="2024-07-23"/>
    <x v="1"/>
    <x v="2"/>
    <x v="0"/>
    <n v="512.94000000000005"/>
    <s v="10% off"/>
    <m/>
    <x v="0"/>
    <x v="0"/>
    <n v="512.94000000000005"/>
    <x v="0"/>
    <n v="2"/>
    <s v="Poor"/>
  </r>
  <r>
    <s v="263ce100-72e9-43db-b82e-c2ef78ea671a"/>
    <x v="4"/>
    <x v="1"/>
    <x v="119"/>
    <x v="6"/>
    <x v="21"/>
    <s v="2025-03-22"/>
    <x v="2"/>
    <x v="6"/>
    <x v="1"/>
    <n v="461.81"/>
    <s v="5% off"/>
    <m/>
    <x v="0"/>
    <x v="1"/>
    <n v="461.81"/>
    <x v="0"/>
    <n v="2"/>
    <s v="Poor"/>
  </r>
  <r>
    <s v="28ce571a-03b4-4648-8bf5-e1e880d585cb"/>
    <x v="24"/>
    <x v="0"/>
    <x v="120"/>
    <x v="4"/>
    <x v="4"/>
    <s v="2024-04-09"/>
    <x v="1"/>
    <x v="0"/>
    <x v="0"/>
    <n v="512.94000000000005"/>
    <s v="10% off"/>
    <m/>
    <x v="0"/>
    <x v="0"/>
    <n v="512.94000000000005"/>
    <x v="0"/>
    <n v="3"/>
    <s v="Average"/>
  </r>
  <r>
    <s v="d48d51fc-8c68-4fbb-9f67-5bdbbdbdb3f2"/>
    <x v="1"/>
    <x v="1"/>
    <x v="121"/>
    <x v="1"/>
    <x v="23"/>
    <s v="2024-11-23"/>
    <x v="2"/>
    <x v="1"/>
    <x v="0"/>
    <n v="362.55"/>
    <s v="5% off"/>
    <m/>
    <x v="0"/>
    <x v="1"/>
    <n v="362.55"/>
    <x v="0"/>
    <n v="4"/>
    <s v="Good"/>
  </r>
  <r>
    <s v="6cf90366-7fba-4d4f-a9f8-d132fc548cca"/>
    <x v="45"/>
    <x v="1"/>
    <x v="122"/>
    <x v="4"/>
    <x v="4"/>
    <s v="2024-10-03"/>
    <x v="3"/>
    <x v="5"/>
    <x v="0"/>
    <n v="512.94000000000005"/>
    <s v="10% off"/>
    <m/>
    <x v="0"/>
    <x v="1"/>
    <n v="512.94000000000005"/>
    <x v="3"/>
    <n v="4"/>
    <s v="Good"/>
  </r>
  <r>
    <s v="ff680f45-99a2-44d7-b3ff-441ebcc382e3"/>
    <x v="31"/>
    <x v="0"/>
    <x v="123"/>
    <x v="3"/>
    <x v="15"/>
    <s v="2024-05-24"/>
    <x v="0"/>
    <x v="4"/>
    <x v="0"/>
    <n v="855.21"/>
    <s v="15% off"/>
    <m/>
    <x v="0"/>
    <x v="1"/>
    <n v="855.21"/>
    <x v="2"/>
    <n v="3"/>
    <s v="Average"/>
  </r>
  <r>
    <s v="0e5139af-38ec-4de7-b5bb-7aff57cd7302"/>
    <x v="40"/>
    <x v="0"/>
    <x v="124"/>
    <x v="4"/>
    <x v="20"/>
    <s v="2024-06-22"/>
    <x v="2"/>
    <x v="11"/>
    <x v="0"/>
    <n v="260.77999999999997"/>
    <s v="5% off"/>
    <m/>
    <x v="0"/>
    <x v="0"/>
    <n v="260.77999999999997"/>
    <x v="1"/>
    <n v="5"/>
    <s v="Excellent"/>
  </r>
  <r>
    <s v="cc6ff1cc-f153-4ad6-8649-b15cc003a68f"/>
    <x v="36"/>
    <x v="1"/>
    <x v="125"/>
    <x v="0"/>
    <x v="11"/>
    <s v="2025-02-04"/>
    <x v="1"/>
    <x v="8"/>
    <x v="1"/>
    <n v="116.78"/>
    <s v="0% off"/>
    <m/>
    <x v="1"/>
    <x v="0"/>
    <n v="116.78"/>
    <x v="3"/>
    <n v="4"/>
    <s v="Good"/>
  </r>
  <r>
    <s v="b6151e29-c537-4320-88ab-e680d7567a32"/>
    <x v="52"/>
    <x v="0"/>
    <x v="126"/>
    <x v="5"/>
    <x v="16"/>
    <s v="2024-04-06"/>
    <x v="2"/>
    <x v="0"/>
    <x v="0"/>
    <n v="592.26"/>
    <s v="10% off"/>
    <m/>
    <x v="0"/>
    <x v="1"/>
    <n v="592.26"/>
    <x v="2"/>
    <n v="5"/>
    <s v="Excellent"/>
  </r>
  <r>
    <s v="6aa84973-ea76-49a6-9871-8773e433b5a9"/>
    <x v="34"/>
    <x v="1"/>
    <x v="127"/>
    <x v="4"/>
    <x v="4"/>
    <s v="2025-01-05"/>
    <x v="5"/>
    <x v="9"/>
    <x v="1"/>
    <n v="512.94000000000005"/>
    <s v="10% off"/>
    <m/>
    <x v="0"/>
    <x v="0"/>
    <n v="512.94000000000005"/>
    <x v="3"/>
    <n v="3"/>
    <s v="Average"/>
  </r>
  <r>
    <s v="885181e9-a618-463c-bd42-c9d1ea3fb48e"/>
    <x v="19"/>
    <x v="1"/>
    <x v="128"/>
    <x v="3"/>
    <x v="3"/>
    <s v="2024-10-16"/>
    <x v="4"/>
    <x v="5"/>
    <x v="0"/>
    <n v="211.46"/>
    <s v="5% off"/>
    <m/>
    <x v="0"/>
    <x v="0"/>
    <n v="211.46"/>
    <x v="3"/>
    <n v="5"/>
    <s v="Excellent"/>
  </r>
  <r>
    <s v="868918fa-d5a4-43b3-a5cf-9dd71ac88681"/>
    <x v="10"/>
    <x v="1"/>
    <x v="129"/>
    <x v="4"/>
    <x v="17"/>
    <s v="2024-08-15"/>
    <x v="3"/>
    <x v="3"/>
    <x v="0"/>
    <n v="315.56"/>
    <s v="5% off"/>
    <m/>
    <x v="0"/>
    <x v="0"/>
    <n v="315.56"/>
    <x v="1"/>
    <n v="1"/>
    <s v="Very Poor"/>
  </r>
  <r>
    <s v="7df7a359-32bf-4db3-bfcf-0637534d9fff"/>
    <x v="17"/>
    <x v="1"/>
    <x v="130"/>
    <x v="0"/>
    <x v="11"/>
    <s v="2024-12-25"/>
    <x v="4"/>
    <x v="7"/>
    <x v="0"/>
    <n v="116.78"/>
    <s v="0% off"/>
    <m/>
    <x v="1"/>
    <x v="1"/>
    <n v="116.78"/>
    <x v="3"/>
    <n v="1"/>
    <s v="Very Poor"/>
  </r>
  <r>
    <s v="9a74c8cc-1702-46cd-be87-0c7ccfa66b5e"/>
    <x v="14"/>
    <x v="0"/>
    <x v="131"/>
    <x v="2"/>
    <x v="18"/>
    <s v="2024-10-26"/>
    <x v="2"/>
    <x v="5"/>
    <x v="0"/>
    <n v="492.1"/>
    <s v="5% off"/>
    <m/>
    <x v="0"/>
    <x v="0"/>
    <n v="492.1"/>
    <x v="0"/>
    <n v="4"/>
    <s v="Good"/>
  </r>
  <r>
    <s v="4ed90e61-991b-4634-9481-1ab504501f03"/>
    <x v="41"/>
    <x v="1"/>
    <x v="132"/>
    <x v="3"/>
    <x v="15"/>
    <s v="2025-02-12"/>
    <x v="4"/>
    <x v="8"/>
    <x v="1"/>
    <n v="855.21"/>
    <s v="15% off"/>
    <m/>
    <x v="0"/>
    <x v="1"/>
    <n v="855.21"/>
    <x v="0"/>
    <n v="5"/>
    <s v="Excellent"/>
  </r>
  <r>
    <s v="771f2449-c4cb-4d65-939d-09a3da58f3a6"/>
    <x v="49"/>
    <x v="0"/>
    <x v="72"/>
    <x v="6"/>
    <x v="21"/>
    <s v="2024-06-12"/>
    <x v="4"/>
    <x v="11"/>
    <x v="0"/>
    <n v="461.81"/>
    <s v="5% off"/>
    <m/>
    <x v="0"/>
    <x v="0"/>
    <n v="461.81"/>
    <x v="3"/>
    <n v="4"/>
    <s v="Good"/>
  </r>
  <r>
    <s v="fdae77ca-62cc-453a-8a40-08ae6afb9266"/>
    <x v="0"/>
    <x v="1"/>
    <x v="75"/>
    <x v="0"/>
    <x v="22"/>
    <s v="2024-10-04"/>
    <x v="0"/>
    <x v="5"/>
    <x v="0"/>
    <n v="485.26"/>
    <s v="5% off"/>
    <m/>
    <x v="0"/>
    <x v="0"/>
    <n v="485.26"/>
    <x v="1"/>
    <n v="2"/>
    <s v="Poor"/>
  </r>
  <r>
    <s v="2de181c1-082b-47dc-8d93-f4eca8fc0d62"/>
    <x v="32"/>
    <x v="0"/>
    <x v="76"/>
    <x v="2"/>
    <x v="27"/>
    <s v="2024-05-12"/>
    <x v="5"/>
    <x v="4"/>
    <x v="0"/>
    <n v="340.04"/>
    <s v="5% off"/>
    <m/>
    <x v="0"/>
    <x v="0"/>
    <n v="340.04"/>
    <x v="2"/>
    <n v="1"/>
    <s v="Very Poor"/>
  </r>
  <r>
    <s v="d16e4a83-aaf2-4248-8e74-df75c2ce9d1c"/>
    <x v="8"/>
    <x v="1"/>
    <x v="133"/>
    <x v="4"/>
    <x v="20"/>
    <s v="2024-09-08"/>
    <x v="5"/>
    <x v="10"/>
    <x v="0"/>
    <n v="260.77999999999997"/>
    <s v="5% off"/>
    <m/>
    <x v="0"/>
    <x v="1"/>
    <n v="260.77999999999997"/>
    <x v="2"/>
    <n v="4"/>
    <s v="Good"/>
  </r>
  <r>
    <s v="f9ac6afb-e2f0-4f47-bd83-759af6e40ee6"/>
    <x v="44"/>
    <x v="1"/>
    <x v="134"/>
    <x v="6"/>
    <x v="13"/>
    <s v="2024-04-10"/>
    <x v="4"/>
    <x v="0"/>
    <x v="0"/>
    <n v="418.55"/>
    <s v="5% off"/>
    <m/>
    <x v="0"/>
    <x v="0"/>
    <n v="418.55"/>
    <x v="2"/>
    <n v="1"/>
    <s v="Very Poor"/>
  </r>
  <r>
    <s v="7530e206-d86b-436f-af60-96d7a778069e"/>
    <x v="8"/>
    <x v="0"/>
    <x v="135"/>
    <x v="1"/>
    <x v="25"/>
    <s v="2024-12-12"/>
    <x v="3"/>
    <x v="7"/>
    <x v="0"/>
    <n v="527.16999999999996"/>
    <s v="10% off"/>
    <m/>
    <x v="0"/>
    <x v="1"/>
    <n v="527.16999999999996"/>
    <x v="2"/>
    <n v="4"/>
    <s v="Good"/>
  </r>
  <r>
    <s v="c7267f40-c895-48e8-a5d0-e21853e7a918"/>
    <x v="19"/>
    <x v="1"/>
    <x v="136"/>
    <x v="1"/>
    <x v="1"/>
    <s v="2024-08-21"/>
    <x v="4"/>
    <x v="3"/>
    <x v="0"/>
    <n v="67.040000000000006"/>
    <s v="0% off"/>
    <m/>
    <x v="1"/>
    <x v="1"/>
    <n v="67.040000000000006"/>
    <x v="1"/>
    <n v="3"/>
    <s v="Average"/>
  </r>
  <r>
    <s v="612a0a4d-b440-4e52-ba70-c5dc31557b9a"/>
    <x v="27"/>
    <x v="1"/>
    <x v="137"/>
    <x v="4"/>
    <x v="4"/>
    <s v="2024-08-02"/>
    <x v="0"/>
    <x v="3"/>
    <x v="0"/>
    <n v="512.94000000000005"/>
    <s v="10% off"/>
    <m/>
    <x v="0"/>
    <x v="1"/>
    <n v="512.94000000000005"/>
    <x v="3"/>
    <n v="2"/>
    <s v="Poor"/>
  </r>
  <r>
    <s v="2b7bd762-b3e4-4184-9630-82e051841132"/>
    <x v="32"/>
    <x v="1"/>
    <x v="0"/>
    <x v="6"/>
    <x v="14"/>
    <s v="2024-07-13"/>
    <x v="2"/>
    <x v="2"/>
    <x v="0"/>
    <n v="965.09"/>
    <s v="20% off"/>
    <m/>
    <x v="0"/>
    <x v="0"/>
    <n v="965.09"/>
    <x v="1"/>
    <n v="3"/>
    <s v="Average"/>
  </r>
  <r>
    <s v="51d0f94d-60fb-4de8-b320-9856299a582b"/>
    <x v="36"/>
    <x v="1"/>
    <x v="1"/>
    <x v="1"/>
    <x v="1"/>
    <s v="2024-04-18"/>
    <x v="3"/>
    <x v="0"/>
    <x v="0"/>
    <n v="67.040000000000006"/>
    <s v="0% off"/>
    <m/>
    <x v="1"/>
    <x v="0"/>
    <n v="67.040000000000006"/>
    <x v="2"/>
    <n v="2"/>
    <s v="Poor"/>
  </r>
  <r>
    <s v="e0294d7b-0c98-403f-abc4-dcc4155c9e8d"/>
    <x v="10"/>
    <x v="0"/>
    <x v="2"/>
    <x v="6"/>
    <x v="14"/>
    <s v="2024-04-20"/>
    <x v="2"/>
    <x v="0"/>
    <x v="0"/>
    <n v="965.09"/>
    <s v="20% off"/>
    <m/>
    <x v="0"/>
    <x v="0"/>
    <n v="965.09"/>
    <x v="1"/>
    <n v="3"/>
    <s v="Average"/>
  </r>
  <r>
    <s v="98a6c046-a17f-4ef7-8ff1-96a7bdc3dcff"/>
    <x v="52"/>
    <x v="1"/>
    <x v="3"/>
    <x v="3"/>
    <x v="3"/>
    <s v="2024-05-27"/>
    <x v="6"/>
    <x v="4"/>
    <x v="0"/>
    <n v="211.46"/>
    <s v="5% off"/>
    <m/>
    <x v="0"/>
    <x v="1"/>
    <n v="211.46"/>
    <x v="2"/>
    <n v="1"/>
    <s v="Very Poor"/>
  </r>
  <r>
    <s v="df56c8a7-42fd-4f68-85bb-79102964d2a2"/>
    <x v="20"/>
    <x v="1"/>
    <x v="4"/>
    <x v="0"/>
    <x v="7"/>
    <s v="2024-06-15"/>
    <x v="2"/>
    <x v="11"/>
    <x v="0"/>
    <n v="78.349999999999994"/>
    <s v="0% off"/>
    <m/>
    <x v="1"/>
    <x v="1"/>
    <n v="78.349999999999994"/>
    <x v="3"/>
    <n v="5"/>
    <s v="Excellent"/>
  </r>
  <r>
    <s v="c9dd9a15-a9b9-431d-8825-b622ce922565"/>
    <x v="7"/>
    <x v="0"/>
    <x v="5"/>
    <x v="1"/>
    <x v="23"/>
    <s v="2025-01-20"/>
    <x v="6"/>
    <x v="9"/>
    <x v="1"/>
    <n v="362.55"/>
    <s v="5% off"/>
    <m/>
    <x v="0"/>
    <x v="0"/>
    <n v="362.55"/>
    <x v="2"/>
    <n v="1"/>
    <s v="Very Poor"/>
  </r>
  <r>
    <s v="56c5354e-406e-4ff7-ac2a-4159d081b08b"/>
    <x v="20"/>
    <x v="0"/>
    <x v="6"/>
    <x v="0"/>
    <x v="11"/>
    <s v="2024-07-22"/>
    <x v="6"/>
    <x v="2"/>
    <x v="0"/>
    <n v="116.78"/>
    <s v="0% off"/>
    <m/>
    <x v="1"/>
    <x v="0"/>
    <n v="116.78"/>
    <x v="3"/>
    <n v="5"/>
    <s v="Excellent"/>
  </r>
  <r>
    <s v="f634d0ee-5d6a-4c42-8525-d32baaf327b3"/>
    <x v="17"/>
    <x v="0"/>
    <x v="7"/>
    <x v="5"/>
    <x v="9"/>
    <s v="2025-01-27"/>
    <x v="6"/>
    <x v="9"/>
    <x v="1"/>
    <n v="452.97"/>
    <s v="5% off"/>
    <m/>
    <x v="0"/>
    <x v="0"/>
    <n v="452.97"/>
    <x v="0"/>
    <n v="1"/>
    <s v="Very Poor"/>
  </r>
  <r>
    <s v="91f12f51-f69c-4b0f-b177-7a906ef72b21"/>
    <x v="22"/>
    <x v="0"/>
    <x v="8"/>
    <x v="0"/>
    <x v="0"/>
    <s v="2025-02-17"/>
    <x v="6"/>
    <x v="8"/>
    <x v="1"/>
    <n v="697.86"/>
    <s v="10% off"/>
    <m/>
    <x v="0"/>
    <x v="0"/>
    <n v="697.86"/>
    <x v="3"/>
    <n v="4"/>
    <s v="Good"/>
  </r>
  <r>
    <s v="f120525b-8c06-425c-8d22-7b0bc6fd933f"/>
    <x v="7"/>
    <x v="0"/>
    <x v="9"/>
    <x v="3"/>
    <x v="19"/>
    <s v="2024-05-15"/>
    <x v="4"/>
    <x v="4"/>
    <x v="0"/>
    <n v="165.68"/>
    <s v="5% off"/>
    <m/>
    <x v="0"/>
    <x v="1"/>
    <n v="165.68"/>
    <x v="2"/>
    <n v="2"/>
    <s v="Poor"/>
  </r>
  <r>
    <s v="4d3b32c2-88be-4bb7-977a-d8243833ba0c"/>
    <x v="35"/>
    <x v="0"/>
    <x v="10"/>
    <x v="6"/>
    <x v="14"/>
    <s v="2025-01-13"/>
    <x v="6"/>
    <x v="9"/>
    <x v="1"/>
    <n v="965.09"/>
    <s v="20% off"/>
    <m/>
    <x v="0"/>
    <x v="0"/>
    <n v="965.09"/>
    <x v="0"/>
    <n v="4"/>
    <s v="Good"/>
  </r>
  <r>
    <s v="a66cbb24-54d5-4abb-a4f0-019f8bcd1fa7"/>
    <x v="18"/>
    <x v="1"/>
    <x v="11"/>
    <x v="2"/>
    <x v="27"/>
    <s v="2025-01-27"/>
    <x v="6"/>
    <x v="9"/>
    <x v="1"/>
    <n v="340.04"/>
    <s v="5% off"/>
    <m/>
    <x v="0"/>
    <x v="0"/>
    <n v="340.04"/>
    <x v="2"/>
    <n v="1"/>
    <s v="Very Poor"/>
  </r>
  <r>
    <s v="527d51ea-b1ee-48d1-861a-9ecc99cf3f7c"/>
    <x v="5"/>
    <x v="1"/>
    <x v="12"/>
    <x v="5"/>
    <x v="6"/>
    <s v="2024-07-10"/>
    <x v="4"/>
    <x v="2"/>
    <x v="0"/>
    <n v="76.81"/>
    <s v="0% off"/>
    <m/>
    <x v="1"/>
    <x v="0"/>
    <n v="76.81"/>
    <x v="2"/>
    <n v="1"/>
    <s v="Very Poor"/>
  </r>
  <r>
    <s v="672c7210-286f-4424-9630-e233a7177c3b"/>
    <x v="20"/>
    <x v="0"/>
    <x v="13"/>
    <x v="1"/>
    <x v="1"/>
    <s v="2024-11-30"/>
    <x v="2"/>
    <x v="1"/>
    <x v="0"/>
    <n v="67.040000000000006"/>
    <s v="0% off"/>
    <m/>
    <x v="1"/>
    <x v="0"/>
    <n v="67.040000000000006"/>
    <x v="2"/>
    <n v="4"/>
    <s v="Good"/>
  </r>
  <r>
    <s v="142b3725-5155-4e1b-a8c7-351ba3890dc2"/>
    <x v="1"/>
    <x v="1"/>
    <x v="14"/>
    <x v="1"/>
    <x v="25"/>
    <s v="2024-05-21"/>
    <x v="1"/>
    <x v="4"/>
    <x v="0"/>
    <n v="527.16999999999996"/>
    <s v="10% off"/>
    <m/>
    <x v="0"/>
    <x v="1"/>
    <n v="527.16999999999996"/>
    <x v="3"/>
    <n v="1"/>
    <s v="Very Poor"/>
  </r>
  <r>
    <s v="e1377bac-314c-4b21-a0a4-7c18ab1365c0"/>
    <x v="36"/>
    <x v="0"/>
    <x v="15"/>
    <x v="0"/>
    <x v="7"/>
    <s v="2025-01-20"/>
    <x v="6"/>
    <x v="9"/>
    <x v="1"/>
    <n v="78.349999999999994"/>
    <s v="0% off"/>
    <m/>
    <x v="1"/>
    <x v="1"/>
    <n v="78.349999999999994"/>
    <x v="3"/>
    <n v="2"/>
    <s v="Poor"/>
  </r>
  <r>
    <s v="d612e49d-7368-4b3c-b0d0-ae5801a099bf"/>
    <x v="51"/>
    <x v="0"/>
    <x v="16"/>
    <x v="2"/>
    <x v="2"/>
    <s v="2024-05-05"/>
    <x v="5"/>
    <x v="4"/>
    <x v="0"/>
    <n v="493.96"/>
    <s v="5% off"/>
    <m/>
    <x v="0"/>
    <x v="0"/>
    <n v="493.96"/>
    <x v="1"/>
    <n v="2"/>
    <s v="Poor"/>
  </r>
  <r>
    <s v="3856e5ee-7718-4e49-b92a-d2572c51ae88"/>
    <x v="4"/>
    <x v="0"/>
    <x v="17"/>
    <x v="3"/>
    <x v="12"/>
    <s v="2025-01-26"/>
    <x v="5"/>
    <x v="9"/>
    <x v="1"/>
    <n v="270.41000000000003"/>
    <s v="5% off"/>
    <m/>
    <x v="0"/>
    <x v="0"/>
    <n v="270.41000000000003"/>
    <x v="1"/>
    <n v="3"/>
    <s v="Average"/>
  </r>
  <r>
    <s v="5a09c060-74a6-437a-99ee-1ad754a5f681"/>
    <x v="26"/>
    <x v="0"/>
    <x v="18"/>
    <x v="2"/>
    <x v="24"/>
    <s v="2024-05-23"/>
    <x v="3"/>
    <x v="4"/>
    <x v="0"/>
    <n v="52.44"/>
    <s v="0% off"/>
    <m/>
    <x v="1"/>
    <x v="1"/>
    <n v="52.44"/>
    <x v="3"/>
    <n v="2"/>
    <s v="Poor"/>
  </r>
  <r>
    <s v="9b7be229-6dcd-4c25-94a7-9963ae019ce5"/>
    <x v="49"/>
    <x v="0"/>
    <x v="19"/>
    <x v="3"/>
    <x v="19"/>
    <s v="2025-03-03"/>
    <x v="6"/>
    <x v="6"/>
    <x v="1"/>
    <n v="165.68"/>
    <s v="5% off"/>
    <m/>
    <x v="0"/>
    <x v="1"/>
    <n v="165.68"/>
    <x v="1"/>
    <n v="1"/>
    <s v="Very Poor"/>
  </r>
  <r>
    <s v="658a37b6-4538-44e3-b535-ecc662cc5246"/>
    <x v="8"/>
    <x v="0"/>
    <x v="20"/>
    <x v="4"/>
    <x v="20"/>
    <s v="2024-06-14"/>
    <x v="0"/>
    <x v="11"/>
    <x v="0"/>
    <n v="260.77999999999997"/>
    <s v="5% off"/>
    <m/>
    <x v="0"/>
    <x v="0"/>
    <n v="260.77999999999997"/>
    <x v="2"/>
    <n v="5"/>
    <s v="Excellent"/>
  </r>
  <r>
    <s v="cb3a03ff-97d7-4d51-88ce-401b930c444b"/>
    <x v="13"/>
    <x v="0"/>
    <x v="21"/>
    <x v="6"/>
    <x v="10"/>
    <s v="2024-12-21"/>
    <x v="2"/>
    <x v="7"/>
    <x v="0"/>
    <n v="782.29"/>
    <s v="15% off"/>
    <m/>
    <x v="0"/>
    <x v="0"/>
    <n v="782.29"/>
    <x v="2"/>
    <n v="1"/>
    <s v="Very Poor"/>
  </r>
  <r>
    <s v="056c07d3-d10e-4b08-b9c0-40428669533d"/>
    <x v="28"/>
    <x v="0"/>
    <x v="22"/>
    <x v="6"/>
    <x v="10"/>
    <s v="2024-04-06"/>
    <x v="2"/>
    <x v="0"/>
    <x v="0"/>
    <n v="782.29"/>
    <s v="15% off"/>
    <m/>
    <x v="0"/>
    <x v="1"/>
    <n v="782.29"/>
    <x v="0"/>
    <n v="5"/>
    <s v="Excellent"/>
  </r>
  <r>
    <s v="60275be6-a674-4bf8-be46-93c54150f027"/>
    <x v="24"/>
    <x v="0"/>
    <x v="23"/>
    <x v="3"/>
    <x v="12"/>
    <s v="2024-08-20"/>
    <x v="1"/>
    <x v="3"/>
    <x v="0"/>
    <n v="270.41000000000003"/>
    <s v="5% off"/>
    <m/>
    <x v="0"/>
    <x v="1"/>
    <n v="270.41000000000003"/>
    <x v="3"/>
    <n v="3"/>
    <s v="Average"/>
  </r>
  <r>
    <s v="d70bdd07-a023-459c-a624-633e163717b3"/>
    <x v="29"/>
    <x v="1"/>
    <x v="24"/>
    <x v="2"/>
    <x v="18"/>
    <s v="2024-12-24"/>
    <x v="1"/>
    <x v="7"/>
    <x v="0"/>
    <n v="492.1"/>
    <s v="5% off"/>
    <m/>
    <x v="0"/>
    <x v="1"/>
    <n v="492.1"/>
    <x v="3"/>
    <n v="4"/>
    <s v="Good"/>
  </r>
  <r>
    <s v="81054a86-e005-459f-af3d-ac1c003cdf80"/>
    <x v="45"/>
    <x v="1"/>
    <x v="25"/>
    <x v="5"/>
    <x v="6"/>
    <s v="2025-01-08"/>
    <x v="4"/>
    <x v="9"/>
    <x v="1"/>
    <n v="76.81"/>
    <s v="0% off"/>
    <m/>
    <x v="1"/>
    <x v="0"/>
    <n v="76.81"/>
    <x v="2"/>
    <n v="4"/>
    <s v="Good"/>
  </r>
  <r>
    <s v="4baf74e4-fa8d-4b20-ab14-b4d281eeed31"/>
    <x v="17"/>
    <x v="1"/>
    <x v="26"/>
    <x v="5"/>
    <x v="9"/>
    <s v="2024-06-17"/>
    <x v="6"/>
    <x v="11"/>
    <x v="0"/>
    <n v="452.97"/>
    <s v="5% off"/>
    <m/>
    <x v="0"/>
    <x v="0"/>
    <n v="452.97"/>
    <x v="1"/>
    <n v="3"/>
    <s v="Average"/>
  </r>
  <r>
    <s v="5fa67c4f-c8e6-420a-8703-12127960451f"/>
    <x v="18"/>
    <x v="1"/>
    <x v="27"/>
    <x v="0"/>
    <x v="7"/>
    <s v="2024-05-01"/>
    <x v="4"/>
    <x v="4"/>
    <x v="0"/>
    <n v="78.349999999999994"/>
    <s v="0% off"/>
    <m/>
    <x v="1"/>
    <x v="1"/>
    <n v="78.349999999999994"/>
    <x v="2"/>
    <n v="4"/>
    <s v="Good"/>
  </r>
  <r>
    <s v="f9c8dfe7-9c5c-4cd5-8774-5dba9d5b402e"/>
    <x v="46"/>
    <x v="1"/>
    <x v="28"/>
    <x v="1"/>
    <x v="1"/>
    <s v="2025-02-14"/>
    <x v="0"/>
    <x v="8"/>
    <x v="1"/>
    <n v="67.040000000000006"/>
    <s v="0% off"/>
    <m/>
    <x v="1"/>
    <x v="1"/>
    <n v="67.040000000000006"/>
    <x v="2"/>
    <n v="2"/>
    <s v="Poor"/>
  </r>
  <r>
    <s v="209c61ba-293d-4859-b13a-71fe458048cf"/>
    <x v="18"/>
    <x v="0"/>
    <x v="29"/>
    <x v="4"/>
    <x v="17"/>
    <s v="2024-05-13"/>
    <x v="6"/>
    <x v="4"/>
    <x v="0"/>
    <n v="315.56"/>
    <s v="5% off"/>
    <m/>
    <x v="0"/>
    <x v="0"/>
    <n v="315.56"/>
    <x v="3"/>
    <n v="5"/>
    <s v="Excellent"/>
  </r>
  <r>
    <s v="95f9aadd-0de4-4f69-9641-dd65d588aa56"/>
    <x v="40"/>
    <x v="1"/>
    <x v="30"/>
    <x v="2"/>
    <x v="24"/>
    <s v="2024-08-27"/>
    <x v="1"/>
    <x v="3"/>
    <x v="0"/>
    <n v="52.44"/>
    <s v="0% off"/>
    <m/>
    <x v="1"/>
    <x v="0"/>
    <n v="52.44"/>
    <x v="0"/>
    <n v="2"/>
    <s v="Poor"/>
  </r>
  <r>
    <s v="8c296a3c-ae7b-4303-aa88-a43326c15f35"/>
    <x v="41"/>
    <x v="1"/>
    <x v="31"/>
    <x v="2"/>
    <x v="27"/>
    <s v="2024-07-14"/>
    <x v="5"/>
    <x v="2"/>
    <x v="0"/>
    <n v="340.04"/>
    <s v="5% off"/>
    <m/>
    <x v="0"/>
    <x v="1"/>
    <n v="340.04"/>
    <x v="2"/>
    <n v="2"/>
    <s v="Poor"/>
  </r>
  <r>
    <s v="cc48474f-55a7-4c3d-b141-d02692799e2c"/>
    <x v="36"/>
    <x v="0"/>
    <x v="32"/>
    <x v="4"/>
    <x v="20"/>
    <s v="2024-05-06"/>
    <x v="6"/>
    <x v="4"/>
    <x v="0"/>
    <n v="260.77999999999997"/>
    <s v="5% off"/>
    <m/>
    <x v="0"/>
    <x v="0"/>
    <n v="260.77999999999997"/>
    <x v="1"/>
    <n v="1"/>
    <s v="Very Poor"/>
  </r>
  <r>
    <s v="89b75a9c-7a83-402f-a9b6-88291fdbaab4"/>
    <x v="40"/>
    <x v="1"/>
    <x v="33"/>
    <x v="6"/>
    <x v="10"/>
    <s v="2024-05-31"/>
    <x v="0"/>
    <x v="4"/>
    <x v="0"/>
    <n v="782.29"/>
    <s v="15% off"/>
    <m/>
    <x v="0"/>
    <x v="0"/>
    <n v="782.29"/>
    <x v="2"/>
    <n v="1"/>
    <s v="Very Poor"/>
  </r>
  <r>
    <s v="b97b4917-7f14-4b35-a481-3e5fb1a3fcf5"/>
    <x v="25"/>
    <x v="1"/>
    <x v="34"/>
    <x v="2"/>
    <x v="18"/>
    <s v="2024-08-04"/>
    <x v="5"/>
    <x v="3"/>
    <x v="0"/>
    <n v="492.1"/>
    <s v="5% off"/>
    <m/>
    <x v="0"/>
    <x v="1"/>
    <n v="492.1"/>
    <x v="2"/>
    <n v="2"/>
    <s v="Poor"/>
  </r>
  <r>
    <s v="a8b58ef9-3794-402b-ba62-a2915ed47531"/>
    <x v="50"/>
    <x v="1"/>
    <x v="35"/>
    <x v="6"/>
    <x v="13"/>
    <s v="2024-05-06"/>
    <x v="6"/>
    <x v="4"/>
    <x v="0"/>
    <n v="418.55"/>
    <s v="5% off"/>
    <m/>
    <x v="0"/>
    <x v="1"/>
    <n v="418.55"/>
    <x v="1"/>
    <n v="2"/>
    <s v="Poor"/>
  </r>
  <r>
    <s v="40cd0dd8-6558-43c6-aa1e-306f18ae9237"/>
    <x v="9"/>
    <x v="0"/>
    <x v="36"/>
    <x v="6"/>
    <x v="10"/>
    <s v="2024-12-10"/>
    <x v="1"/>
    <x v="7"/>
    <x v="0"/>
    <n v="782.29"/>
    <s v="15% off"/>
    <m/>
    <x v="0"/>
    <x v="0"/>
    <n v="782.29"/>
    <x v="3"/>
    <n v="1"/>
    <s v="Very Poor"/>
  </r>
  <r>
    <s v="021aa74f-0bee-4830-84c5-ffa6d6a25ff2"/>
    <x v="47"/>
    <x v="0"/>
    <x v="37"/>
    <x v="4"/>
    <x v="17"/>
    <s v="2024-07-25"/>
    <x v="3"/>
    <x v="2"/>
    <x v="0"/>
    <n v="315.56"/>
    <s v="5% off"/>
    <m/>
    <x v="0"/>
    <x v="1"/>
    <n v="315.56"/>
    <x v="1"/>
    <n v="3"/>
    <s v="Average"/>
  </r>
  <r>
    <s v="0ec2821f-5a64-4407-8659-26802440dfc2"/>
    <x v="50"/>
    <x v="0"/>
    <x v="38"/>
    <x v="0"/>
    <x v="11"/>
    <s v="2024-03-31"/>
    <x v="5"/>
    <x v="6"/>
    <x v="0"/>
    <n v="116.78"/>
    <s v="0% off"/>
    <m/>
    <x v="1"/>
    <x v="0"/>
    <n v="116.78"/>
    <x v="1"/>
    <n v="2"/>
    <s v="Poor"/>
  </r>
  <r>
    <s v="53dd3f5a-bec3-4d5f-9d09-0266429b4201"/>
    <x v="19"/>
    <x v="1"/>
    <x v="39"/>
    <x v="1"/>
    <x v="23"/>
    <s v="2025-01-01"/>
    <x v="4"/>
    <x v="9"/>
    <x v="1"/>
    <n v="362.55"/>
    <s v="5% off"/>
    <m/>
    <x v="0"/>
    <x v="1"/>
    <n v="362.55"/>
    <x v="2"/>
    <n v="1"/>
    <s v="Very Poor"/>
  </r>
  <r>
    <s v="d13e3b54-b0d1-4a0d-8bf3-443c05017de7"/>
    <x v="26"/>
    <x v="0"/>
    <x v="40"/>
    <x v="0"/>
    <x v="11"/>
    <s v="2024-05-11"/>
    <x v="2"/>
    <x v="4"/>
    <x v="0"/>
    <n v="116.78"/>
    <s v="0% off"/>
    <m/>
    <x v="1"/>
    <x v="1"/>
    <n v="116.78"/>
    <x v="0"/>
    <n v="3"/>
    <s v="Average"/>
  </r>
  <r>
    <s v="2e5b80bd-9585-4d22-9ce3-3956e8d1c9ec"/>
    <x v="7"/>
    <x v="1"/>
    <x v="41"/>
    <x v="2"/>
    <x v="27"/>
    <s v="2024-06-21"/>
    <x v="0"/>
    <x v="11"/>
    <x v="0"/>
    <n v="340.04"/>
    <s v="5% off"/>
    <m/>
    <x v="0"/>
    <x v="1"/>
    <n v="340.04"/>
    <x v="0"/>
    <n v="1"/>
    <s v="Very Poor"/>
  </r>
  <r>
    <s v="384263fc-d507-4945-92b8-e021d702d0ca"/>
    <x v="7"/>
    <x v="1"/>
    <x v="42"/>
    <x v="6"/>
    <x v="10"/>
    <s v="2024-12-22"/>
    <x v="5"/>
    <x v="7"/>
    <x v="0"/>
    <n v="782.29"/>
    <s v="15% off"/>
    <m/>
    <x v="0"/>
    <x v="0"/>
    <n v="782.29"/>
    <x v="1"/>
    <n v="3"/>
    <s v="Average"/>
  </r>
  <r>
    <s v="a486b99c-79b8-439d-88d5-d21fe2c41631"/>
    <x v="30"/>
    <x v="0"/>
    <x v="43"/>
    <x v="6"/>
    <x v="13"/>
    <s v="2024-05-26"/>
    <x v="5"/>
    <x v="4"/>
    <x v="0"/>
    <n v="418.55"/>
    <s v="5% off"/>
    <m/>
    <x v="0"/>
    <x v="0"/>
    <n v="418.55"/>
    <x v="0"/>
    <n v="4"/>
    <s v="Good"/>
  </r>
  <r>
    <s v="25021c53-7e79-4c0c-8fd7-14db246388f8"/>
    <x v="29"/>
    <x v="1"/>
    <x v="44"/>
    <x v="5"/>
    <x v="16"/>
    <s v="2024-07-13"/>
    <x v="2"/>
    <x v="2"/>
    <x v="0"/>
    <n v="592.26"/>
    <s v="10% off"/>
    <m/>
    <x v="0"/>
    <x v="1"/>
    <n v="592.26"/>
    <x v="3"/>
    <n v="4"/>
    <s v="Good"/>
  </r>
  <r>
    <s v="fb3b4a59-5308-4e2d-aea8-600bb0274b96"/>
    <x v="46"/>
    <x v="1"/>
    <x v="45"/>
    <x v="6"/>
    <x v="10"/>
    <s v="2024-10-18"/>
    <x v="0"/>
    <x v="5"/>
    <x v="0"/>
    <n v="782.29"/>
    <s v="15% off"/>
    <m/>
    <x v="0"/>
    <x v="1"/>
    <n v="782.29"/>
    <x v="1"/>
    <n v="1"/>
    <s v="Very Poor"/>
  </r>
  <r>
    <s v="5e18d7cd-587b-4c58-8441-1763184d37c6"/>
    <x v="43"/>
    <x v="1"/>
    <x v="46"/>
    <x v="2"/>
    <x v="24"/>
    <s v="2024-08-06"/>
    <x v="1"/>
    <x v="3"/>
    <x v="0"/>
    <n v="52.44"/>
    <s v="0% off"/>
    <m/>
    <x v="1"/>
    <x v="1"/>
    <n v="52.44"/>
    <x v="0"/>
    <n v="5"/>
    <s v="Excellent"/>
  </r>
  <r>
    <s v="d90af3ff-67fe-4986-9be0-9bb5e6d8e51c"/>
    <x v="24"/>
    <x v="1"/>
    <x v="47"/>
    <x v="2"/>
    <x v="2"/>
    <s v="2024-11-14"/>
    <x v="3"/>
    <x v="1"/>
    <x v="0"/>
    <n v="493.96"/>
    <s v="5% off"/>
    <m/>
    <x v="0"/>
    <x v="1"/>
    <n v="493.96"/>
    <x v="3"/>
    <n v="5"/>
    <s v="Excellent"/>
  </r>
  <r>
    <s v="93a51feb-64f2-423b-8465-9533246c6c68"/>
    <x v="36"/>
    <x v="0"/>
    <x v="48"/>
    <x v="3"/>
    <x v="12"/>
    <s v="2024-07-24"/>
    <x v="4"/>
    <x v="2"/>
    <x v="0"/>
    <n v="270.41000000000003"/>
    <s v="5% off"/>
    <m/>
    <x v="0"/>
    <x v="1"/>
    <n v="270.41000000000003"/>
    <x v="0"/>
    <n v="4"/>
    <s v="Good"/>
  </r>
  <r>
    <s v="6108e899-9cf4-4325-8981-17a738906c5a"/>
    <x v="25"/>
    <x v="0"/>
    <x v="49"/>
    <x v="5"/>
    <x v="9"/>
    <s v="2024-11-10"/>
    <x v="5"/>
    <x v="1"/>
    <x v="0"/>
    <n v="452.97"/>
    <s v="5% off"/>
    <m/>
    <x v="0"/>
    <x v="0"/>
    <n v="452.97"/>
    <x v="2"/>
    <n v="3"/>
    <s v="Average"/>
  </r>
  <r>
    <s v="6e79015e-c4d7-4bab-a32c-fb1493c36d68"/>
    <x v="25"/>
    <x v="0"/>
    <x v="50"/>
    <x v="4"/>
    <x v="20"/>
    <s v="2025-01-29"/>
    <x v="4"/>
    <x v="9"/>
    <x v="1"/>
    <n v="260.77999999999997"/>
    <s v="5% off"/>
    <m/>
    <x v="0"/>
    <x v="0"/>
    <n v="260.77999999999997"/>
    <x v="0"/>
    <n v="2"/>
    <s v="Poor"/>
  </r>
  <r>
    <s v="2b9770d0-4e8f-4f53-883d-58d20f399291"/>
    <x v="41"/>
    <x v="1"/>
    <x v="51"/>
    <x v="2"/>
    <x v="2"/>
    <s v="2024-12-10"/>
    <x v="1"/>
    <x v="7"/>
    <x v="0"/>
    <n v="493.96"/>
    <s v="5% off"/>
    <m/>
    <x v="0"/>
    <x v="0"/>
    <n v="493.96"/>
    <x v="2"/>
    <n v="5"/>
    <s v="Excellent"/>
  </r>
  <r>
    <s v="d7bbfd23-07b4-414f-91e7-16e8058c1afb"/>
    <x v="16"/>
    <x v="1"/>
    <x v="52"/>
    <x v="6"/>
    <x v="21"/>
    <s v="2025-03-13"/>
    <x v="3"/>
    <x v="6"/>
    <x v="1"/>
    <n v="461.81"/>
    <s v="5% off"/>
    <m/>
    <x v="0"/>
    <x v="1"/>
    <n v="461.81"/>
    <x v="1"/>
    <n v="1"/>
    <s v="Very Poor"/>
  </r>
  <r>
    <s v="9105cfea-8010-4d3d-8e1c-68bab4027fc8"/>
    <x v="15"/>
    <x v="0"/>
    <x v="53"/>
    <x v="1"/>
    <x v="25"/>
    <s v="2025-02-17"/>
    <x v="6"/>
    <x v="8"/>
    <x v="1"/>
    <n v="527.16999999999996"/>
    <s v="10% off"/>
    <m/>
    <x v="0"/>
    <x v="1"/>
    <n v="527.16999999999996"/>
    <x v="0"/>
    <n v="2"/>
    <s v="Poor"/>
  </r>
  <r>
    <s v="feda5b20-8121-4e9a-93e1-5b12f78fbe7e"/>
    <x v="37"/>
    <x v="0"/>
    <x v="33"/>
    <x v="3"/>
    <x v="12"/>
    <s v="2025-01-25"/>
    <x v="2"/>
    <x v="9"/>
    <x v="1"/>
    <n v="270.41000000000003"/>
    <s v="5% off"/>
    <m/>
    <x v="0"/>
    <x v="1"/>
    <n v="270.41000000000003"/>
    <x v="3"/>
    <n v="5"/>
    <s v="Excellent"/>
  </r>
  <r>
    <s v="892c77dc-ed69-4c3a-815d-324d5521eef0"/>
    <x v="48"/>
    <x v="0"/>
    <x v="54"/>
    <x v="4"/>
    <x v="17"/>
    <s v="2024-12-02"/>
    <x v="6"/>
    <x v="7"/>
    <x v="0"/>
    <n v="315.56"/>
    <s v="5% off"/>
    <m/>
    <x v="0"/>
    <x v="0"/>
    <n v="315.56"/>
    <x v="3"/>
    <n v="2"/>
    <s v="Poor"/>
  </r>
  <r>
    <s v="b0151a14-ad7b-4f89-b551-e73cec92fb19"/>
    <x v="26"/>
    <x v="1"/>
    <x v="55"/>
    <x v="5"/>
    <x v="16"/>
    <s v="2024-04-18"/>
    <x v="3"/>
    <x v="0"/>
    <x v="0"/>
    <n v="592.26"/>
    <s v="10% off"/>
    <m/>
    <x v="0"/>
    <x v="1"/>
    <n v="592.26"/>
    <x v="3"/>
    <n v="2"/>
    <s v="Poor"/>
  </r>
  <r>
    <s v="bdb53e84-0937-44a1-8206-576ab32e0895"/>
    <x v="0"/>
    <x v="1"/>
    <x v="56"/>
    <x v="1"/>
    <x v="23"/>
    <s v="2024-12-20"/>
    <x v="0"/>
    <x v="7"/>
    <x v="0"/>
    <n v="362.55"/>
    <s v="5% off"/>
    <m/>
    <x v="0"/>
    <x v="0"/>
    <n v="362.55"/>
    <x v="0"/>
    <n v="5"/>
    <s v="Excellent"/>
  </r>
  <r>
    <s v="da56f38c-203f-4104-971c-09fb9dcdf3fe"/>
    <x v="0"/>
    <x v="0"/>
    <x v="57"/>
    <x v="1"/>
    <x v="23"/>
    <s v="2024-12-10"/>
    <x v="1"/>
    <x v="7"/>
    <x v="0"/>
    <n v="362.55"/>
    <s v="5% off"/>
    <m/>
    <x v="0"/>
    <x v="0"/>
    <n v="362.55"/>
    <x v="1"/>
    <n v="3"/>
    <s v="Average"/>
  </r>
  <r>
    <s v="4b53cf7d-68c8-4925-8888-810e84243400"/>
    <x v="5"/>
    <x v="1"/>
    <x v="58"/>
    <x v="1"/>
    <x v="1"/>
    <s v="2024-12-11"/>
    <x v="4"/>
    <x v="7"/>
    <x v="0"/>
    <n v="67.040000000000006"/>
    <s v="0% off"/>
    <m/>
    <x v="1"/>
    <x v="1"/>
    <n v="67.040000000000006"/>
    <x v="3"/>
    <n v="4"/>
    <s v="Good"/>
  </r>
  <r>
    <s v="28e9c289-4c3b-4355-8763-2fc176d4f728"/>
    <x v="52"/>
    <x v="1"/>
    <x v="59"/>
    <x v="6"/>
    <x v="21"/>
    <s v="2024-09-14"/>
    <x v="2"/>
    <x v="10"/>
    <x v="0"/>
    <n v="461.81"/>
    <s v="5% off"/>
    <m/>
    <x v="0"/>
    <x v="0"/>
    <n v="461.81"/>
    <x v="2"/>
    <n v="4"/>
    <s v="Good"/>
  </r>
  <r>
    <s v="929ff99c-5204-4bf9-ac43-db0421683552"/>
    <x v="41"/>
    <x v="1"/>
    <x v="60"/>
    <x v="6"/>
    <x v="21"/>
    <s v="2025-01-02"/>
    <x v="3"/>
    <x v="9"/>
    <x v="1"/>
    <n v="461.81"/>
    <s v="5% off"/>
    <m/>
    <x v="0"/>
    <x v="0"/>
    <n v="461.81"/>
    <x v="1"/>
    <n v="1"/>
    <s v="Very Poor"/>
  </r>
  <r>
    <s v="580477a6-16e5-4b83-8fc6-665c50d62072"/>
    <x v="9"/>
    <x v="0"/>
    <x v="61"/>
    <x v="4"/>
    <x v="17"/>
    <s v="2025-01-19"/>
    <x v="5"/>
    <x v="9"/>
    <x v="1"/>
    <n v="315.56"/>
    <s v="5% off"/>
    <m/>
    <x v="0"/>
    <x v="0"/>
    <n v="315.56"/>
    <x v="1"/>
    <n v="5"/>
    <s v="Excellent"/>
  </r>
  <r>
    <s v="b34a8d1e-dfb0-4700-b434-fbd3b6bd7685"/>
    <x v="23"/>
    <x v="0"/>
    <x v="42"/>
    <x v="3"/>
    <x v="19"/>
    <s v="2024-05-25"/>
    <x v="2"/>
    <x v="4"/>
    <x v="0"/>
    <n v="165.68"/>
    <s v="5% off"/>
    <m/>
    <x v="0"/>
    <x v="1"/>
    <n v="165.68"/>
    <x v="1"/>
    <n v="1"/>
    <s v="Very Poor"/>
  </r>
  <r>
    <s v="aba3313d-1582-4fb1-b906-de83fd43929b"/>
    <x v="27"/>
    <x v="1"/>
    <x v="62"/>
    <x v="6"/>
    <x v="13"/>
    <s v="2024-07-21"/>
    <x v="5"/>
    <x v="2"/>
    <x v="0"/>
    <n v="418.55"/>
    <s v="5% off"/>
    <m/>
    <x v="0"/>
    <x v="0"/>
    <n v="418.55"/>
    <x v="2"/>
    <n v="4"/>
    <s v="Good"/>
  </r>
  <r>
    <s v="47a79101-90af-4869-a003-33af79da75fa"/>
    <x v="15"/>
    <x v="1"/>
    <x v="63"/>
    <x v="1"/>
    <x v="26"/>
    <s v="2024-09-22"/>
    <x v="5"/>
    <x v="10"/>
    <x v="0"/>
    <n v="775.75"/>
    <s v="15% off"/>
    <m/>
    <x v="0"/>
    <x v="0"/>
    <n v="775.75"/>
    <x v="3"/>
    <n v="2"/>
    <s v="Poor"/>
  </r>
  <r>
    <s v="059d00c7-592a-401a-8711-429fd1614cbf"/>
    <x v="22"/>
    <x v="1"/>
    <x v="64"/>
    <x v="1"/>
    <x v="23"/>
    <s v="2024-10-05"/>
    <x v="2"/>
    <x v="5"/>
    <x v="0"/>
    <n v="362.55"/>
    <s v="5% off"/>
    <m/>
    <x v="0"/>
    <x v="1"/>
    <n v="362.55"/>
    <x v="3"/>
    <n v="2"/>
    <s v="Poor"/>
  </r>
  <r>
    <s v="8172d0c7-e508-4f66-941d-4e2697e19114"/>
    <x v="1"/>
    <x v="0"/>
    <x v="65"/>
    <x v="6"/>
    <x v="14"/>
    <s v="2024-05-11"/>
    <x v="2"/>
    <x v="4"/>
    <x v="0"/>
    <n v="965.09"/>
    <s v="20% off"/>
    <m/>
    <x v="0"/>
    <x v="0"/>
    <n v="965.09"/>
    <x v="3"/>
    <n v="1"/>
    <s v="Very Poor"/>
  </r>
  <r>
    <s v="a50ff9fe-fa12-45ec-9995-42fadf4ba1a9"/>
    <x v="38"/>
    <x v="1"/>
    <x v="66"/>
    <x v="2"/>
    <x v="18"/>
    <s v="2024-07-14"/>
    <x v="5"/>
    <x v="2"/>
    <x v="0"/>
    <n v="492.1"/>
    <s v="5% off"/>
    <m/>
    <x v="0"/>
    <x v="0"/>
    <n v="492.1"/>
    <x v="0"/>
    <n v="2"/>
    <s v="Poor"/>
  </r>
  <r>
    <s v="352a5535-7700-4091-846e-d691a95b025c"/>
    <x v="13"/>
    <x v="0"/>
    <x v="67"/>
    <x v="1"/>
    <x v="1"/>
    <s v="2025-01-27"/>
    <x v="6"/>
    <x v="9"/>
    <x v="1"/>
    <n v="67.040000000000006"/>
    <s v="0% off"/>
    <m/>
    <x v="1"/>
    <x v="0"/>
    <n v="67.040000000000006"/>
    <x v="2"/>
    <n v="4"/>
    <s v="Good"/>
  </r>
  <r>
    <s v="c1181546-00e5-41bb-8579-37c60476c513"/>
    <x v="20"/>
    <x v="1"/>
    <x v="68"/>
    <x v="5"/>
    <x v="9"/>
    <s v="2025-02-21"/>
    <x v="0"/>
    <x v="8"/>
    <x v="1"/>
    <n v="452.97"/>
    <s v="5% off"/>
    <m/>
    <x v="0"/>
    <x v="0"/>
    <n v="452.97"/>
    <x v="0"/>
    <n v="2"/>
    <s v="Poor"/>
  </r>
  <r>
    <s v="08199afc-ffc3-4cc9-b689-1626086847ab"/>
    <x v="33"/>
    <x v="0"/>
    <x v="69"/>
    <x v="0"/>
    <x v="0"/>
    <s v="2024-06-10"/>
    <x v="6"/>
    <x v="11"/>
    <x v="0"/>
    <n v="697.86"/>
    <s v="10% off"/>
    <m/>
    <x v="0"/>
    <x v="1"/>
    <n v="697.86"/>
    <x v="3"/>
    <n v="3"/>
    <s v="Average"/>
  </r>
  <r>
    <s v="0be8d978-e6ad-4b83-add1-11bf9c2dafed"/>
    <x v="27"/>
    <x v="0"/>
    <x v="70"/>
    <x v="0"/>
    <x v="0"/>
    <s v="2024-11-17"/>
    <x v="5"/>
    <x v="1"/>
    <x v="0"/>
    <n v="697.86"/>
    <s v="10% off"/>
    <m/>
    <x v="0"/>
    <x v="1"/>
    <n v="697.86"/>
    <x v="3"/>
    <n v="1"/>
    <s v="Very Poor"/>
  </r>
  <r>
    <s v="6be004ca-9add-4f57-81e6-4b3e5ac89bc4"/>
    <x v="40"/>
    <x v="0"/>
    <x v="71"/>
    <x v="3"/>
    <x v="15"/>
    <s v="2025-03-25"/>
    <x v="1"/>
    <x v="6"/>
    <x v="1"/>
    <n v="855.21"/>
    <s v="15% off"/>
    <m/>
    <x v="0"/>
    <x v="1"/>
    <n v="855.21"/>
    <x v="3"/>
    <n v="1"/>
    <s v="Very Poor"/>
  </r>
  <r>
    <s v="d97fc02c-15f7-4c28-996d-8143533e2c2a"/>
    <x v="44"/>
    <x v="0"/>
    <x v="72"/>
    <x v="0"/>
    <x v="0"/>
    <s v="2024-08-08"/>
    <x v="3"/>
    <x v="3"/>
    <x v="0"/>
    <n v="697.86"/>
    <s v="10% off"/>
    <m/>
    <x v="0"/>
    <x v="1"/>
    <n v="697.86"/>
    <x v="2"/>
    <n v="1"/>
    <s v="Very Poor"/>
  </r>
  <r>
    <s v="0a3b6398-57d1-4a0b-b0f6-b21918f2f6f2"/>
    <x v="22"/>
    <x v="1"/>
    <x v="73"/>
    <x v="2"/>
    <x v="18"/>
    <s v="2024-12-05"/>
    <x v="3"/>
    <x v="7"/>
    <x v="0"/>
    <n v="492.1"/>
    <s v="5% off"/>
    <m/>
    <x v="0"/>
    <x v="1"/>
    <n v="492.1"/>
    <x v="3"/>
    <n v="2"/>
    <s v="Poor"/>
  </r>
  <r>
    <s v="e00c1fe4-75c3-40f4-a6a0-3bb8349eb80e"/>
    <x v="38"/>
    <x v="1"/>
    <x v="74"/>
    <x v="5"/>
    <x v="9"/>
    <s v="2024-08-07"/>
    <x v="4"/>
    <x v="3"/>
    <x v="0"/>
    <n v="452.97"/>
    <s v="5% off"/>
    <m/>
    <x v="0"/>
    <x v="1"/>
    <n v="452.97"/>
    <x v="2"/>
    <n v="4"/>
    <s v="Good"/>
  </r>
  <r>
    <s v="77a19c7f-2dd8-41b3-b07e-17bd6aa3b41d"/>
    <x v="48"/>
    <x v="0"/>
    <x v="75"/>
    <x v="3"/>
    <x v="3"/>
    <s v="2024-04-02"/>
    <x v="1"/>
    <x v="0"/>
    <x v="0"/>
    <n v="211.46"/>
    <s v="5% off"/>
    <m/>
    <x v="0"/>
    <x v="1"/>
    <n v="211.46"/>
    <x v="1"/>
    <n v="5"/>
    <s v="Excellent"/>
  </r>
  <r>
    <s v="a8a65c2a-bb6b-4992-9a2b-69bf1b81bbee"/>
    <x v="10"/>
    <x v="1"/>
    <x v="76"/>
    <x v="2"/>
    <x v="2"/>
    <s v="2024-11-25"/>
    <x v="6"/>
    <x v="1"/>
    <x v="0"/>
    <n v="493.96"/>
    <s v="5% off"/>
    <m/>
    <x v="0"/>
    <x v="0"/>
    <n v="493.96"/>
    <x v="1"/>
    <n v="4"/>
    <s v="Good"/>
  </r>
  <r>
    <s v="aaa809ad-c952-4833-92e3-521b90e6d557"/>
    <x v="52"/>
    <x v="1"/>
    <x v="77"/>
    <x v="2"/>
    <x v="24"/>
    <s v="2024-06-23"/>
    <x v="5"/>
    <x v="11"/>
    <x v="0"/>
    <n v="52.44"/>
    <s v="0% off"/>
    <m/>
    <x v="1"/>
    <x v="1"/>
    <n v="52.44"/>
    <x v="0"/>
    <n v="3"/>
    <s v="Average"/>
  </r>
  <r>
    <s v="3351276d-7aa9-4e18-b0d4-9e6bbaee99a8"/>
    <x v="40"/>
    <x v="1"/>
    <x v="78"/>
    <x v="5"/>
    <x v="6"/>
    <s v="2024-12-24"/>
    <x v="1"/>
    <x v="7"/>
    <x v="0"/>
    <n v="76.81"/>
    <s v="0% off"/>
    <m/>
    <x v="1"/>
    <x v="1"/>
    <n v="76.81"/>
    <x v="0"/>
    <n v="3"/>
    <s v="Average"/>
  </r>
  <r>
    <s v="1b3a5830-6a0e-4539-87d5-440b0ee205f0"/>
    <x v="17"/>
    <x v="0"/>
    <x v="79"/>
    <x v="1"/>
    <x v="25"/>
    <s v="2024-06-22"/>
    <x v="2"/>
    <x v="11"/>
    <x v="0"/>
    <n v="527.16999999999996"/>
    <s v="10% off"/>
    <m/>
    <x v="0"/>
    <x v="1"/>
    <n v="527.16999999999996"/>
    <x v="3"/>
    <n v="1"/>
    <s v="Very Poor"/>
  </r>
  <r>
    <s v="c3950607-cdab-4771-bf4c-425a81c7a5f6"/>
    <x v="49"/>
    <x v="1"/>
    <x v="80"/>
    <x v="6"/>
    <x v="21"/>
    <s v="2024-06-23"/>
    <x v="5"/>
    <x v="11"/>
    <x v="0"/>
    <n v="461.81"/>
    <s v="5% off"/>
    <m/>
    <x v="0"/>
    <x v="0"/>
    <n v="461.81"/>
    <x v="1"/>
    <n v="1"/>
    <s v="Very Poor"/>
  </r>
  <r>
    <s v="c4b8f651-63ff-4355-80b6-387d39303f02"/>
    <x v="2"/>
    <x v="0"/>
    <x v="81"/>
    <x v="5"/>
    <x v="8"/>
    <s v="2024-10-25"/>
    <x v="0"/>
    <x v="5"/>
    <x v="0"/>
    <n v="374.92"/>
    <s v="5% off"/>
    <m/>
    <x v="0"/>
    <x v="1"/>
    <n v="374.92"/>
    <x v="0"/>
    <n v="5"/>
    <s v="Excellent"/>
  </r>
  <r>
    <s v="631392d5-df63-4c6f-999f-f4d70e62c568"/>
    <x v="2"/>
    <x v="0"/>
    <x v="82"/>
    <x v="6"/>
    <x v="14"/>
    <s v="2024-10-13"/>
    <x v="5"/>
    <x v="5"/>
    <x v="0"/>
    <n v="965.09"/>
    <s v="20% off"/>
    <m/>
    <x v="0"/>
    <x v="0"/>
    <n v="965.09"/>
    <x v="3"/>
    <n v="1"/>
    <s v="Very Poor"/>
  </r>
  <r>
    <s v="a00366fa-8aba-44c4-8d9b-ecb62344f8ec"/>
    <x v="48"/>
    <x v="1"/>
    <x v="83"/>
    <x v="3"/>
    <x v="19"/>
    <s v="2024-08-28"/>
    <x v="4"/>
    <x v="3"/>
    <x v="0"/>
    <n v="165.68"/>
    <s v="5% off"/>
    <m/>
    <x v="0"/>
    <x v="1"/>
    <n v="165.68"/>
    <x v="2"/>
    <n v="4"/>
    <s v="Good"/>
  </r>
  <r>
    <s v="960437d2-5c0f-4431-98f0-bace03cf2ee1"/>
    <x v="28"/>
    <x v="1"/>
    <x v="84"/>
    <x v="1"/>
    <x v="25"/>
    <s v="2024-07-08"/>
    <x v="6"/>
    <x v="2"/>
    <x v="0"/>
    <n v="527.16999999999996"/>
    <s v="10% off"/>
    <m/>
    <x v="0"/>
    <x v="0"/>
    <n v="527.16999999999996"/>
    <x v="2"/>
    <n v="4"/>
    <s v="Good"/>
  </r>
  <r>
    <s v="946492e7-e000-4f63-b830-a0eeccc95efa"/>
    <x v="32"/>
    <x v="0"/>
    <x v="85"/>
    <x v="0"/>
    <x v="11"/>
    <s v="2025-01-19"/>
    <x v="5"/>
    <x v="9"/>
    <x v="1"/>
    <n v="116.78"/>
    <s v="0% off"/>
    <m/>
    <x v="1"/>
    <x v="0"/>
    <n v="116.78"/>
    <x v="3"/>
    <n v="3"/>
    <s v="Average"/>
  </r>
  <r>
    <s v="5659bc97-cd37-404d-889a-a919035af497"/>
    <x v="24"/>
    <x v="1"/>
    <x v="86"/>
    <x v="4"/>
    <x v="4"/>
    <s v="2024-06-12"/>
    <x v="4"/>
    <x v="11"/>
    <x v="0"/>
    <n v="512.94000000000005"/>
    <s v="10% off"/>
    <m/>
    <x v="0"/>
    <x v="1"/>
    <n v="512.94000000000005"/>
    <x v="1"/>
    <n v="1"/>
    <s v="Very Poor"/>
  </r>
  <r>
    <s v="76889556-e63f-49bc-9fde-7098faa3ee53"/>
    <x v="5"/>
    <x v="0"/>
    <x v="87"/>
    <x v="0"/>
    <x v="0"/>
    <s v="2024-06-12"/>
    <x v="4"/>
    <x v="11"/>
    <x v="0"/>
    <n v="697.86"/>
    <s v="10% off"/>
    <m/>
    <x v="0"/>
    <x v="0"/>
    <n v="697.86"/>
    <x v="2"/>
    <n v="1"/>
    <s v="Very Poor"/>
  </r>
  <r>
    <s v="e05ee324-81fd-49ac-a0d5-710ccd992668"/>
    <x v="4"/>
    <x v="1"/>
    <x v="88"/>
    <x v="5"/>
    <x v="6"/>
    <s v="2024-09-21"/>
    <x v="2"/>
    <x v="10"/>
    <x v="0"/>
    <n v="76.81"/>
    <s v="0% off"/>
    <m/>
    <x v="1"/>
    <x v="0"/>
    <n v="76.81"/>
    <x v="1"/>
    <n v="1"/>
    <s v="Very Poor"/>
  </r>
  <r>
    <s v="43673cc5-58d1-4d67-ad0a-fe5f6aa5730b"/>
    <x v="47"/>
    <x v="0"/>
    <x v="89"/>
    <x v="6"/>
    <x v="13"/>
    <s v="2024-10-27"/>
    <x v="5"/>
    <x v="5"/>
    <x v="0"/>
    <n v="418.55"/>
    <s v="5% off"/>
    <m/>
    <x v="0"/>
    <x v="0"/>
    <n v="418.55"/>
    <x v="2"/>
    <n v="5"/>
    <s v="Excellent"/>
  </r>
  <r>
    <s v="b4ed6f20-1999-4f14-b3a4-779497beffa9"/>
    <x v="47"/>
    <x v="1"/>
    <x v="90"/>
    <x v="3"/>
    <x v="12"/>
    <s v="2025-03-26"/>
    <x v="4"/>
    <x v="6"/>
    <x v="1"/>
    <n v="270.41000000000003"/>
    <s v="5% off"/>
    <m/>
    <x v="0"/>
    <x v="1"/>
    <n v="270.41000000000003"/>
    <x v="2"/>
    <n v="4"/>
    <s v="Good"/>
  </r>
  <r>
    <s v="6c4847a4-e7fc-4762-812f-79b56e6f23f3"/>
    <x v="2"/>
    <x v="1"/>
    <x v="91"/>
    <x v="6"/>
    <x v="21"/>
    <s v="2025-01-31"/>
    <x v="0"/>
    <x v="9"/>
    <x v="1"/>
    <n v="461.81"/>
    <s v="5% off"/>
    <m/>
    <x v="0"/>
    <x v="1"/>
    <n v="461.81"/>
    <x v="3"/>
    <n v="1"/>
    <s v="Very Poor"/>
  </r>
  <r>
    <s v="831b34d8-062a-4f77-819a-ee375afb2d35"/>
    <x v="21"/>
    <x v="1"/>
    <x v="92"/>
    <x v="6"/>
    <x v="13"/>
    <s v="2024-07-01"/>
    <x v="6"/>
    <x v="2"/>
    <x v="0"/>
    <n v="418.55"/>
    <s v="5% off"/>
    <m/>
    <x v="0"/>
    <x v="0"/>
    <n v="418.55"/>
    <x v="1"/>
    <n v="4"/>
    <s v="Good"/>
  </r>
  <r>
    <s v="4ec35264-c4bd-4e79-a3eb-981e5c88764b"/>
    <x v="40"/>
    <x v="1"/>
    <x v="93"/>
    <x v="1"/>
    <x v="1"/>
    <s v="2024-09-12"/>
    <x v="3"/>
    <x v="10"/>
    <x v="0"/>
    <n v="67.040000000000006"/>
    <s v="0% off"/>
    <m/>
    <x v="1"/>
    <x v="1"/>
    <n v="67.040000000000006"/>
    <x v="1"/>
    <n v="1"/>
    <s v="Very Poor"/>
  </r>
  <r>
    <s v="0f651dc1-ec03-4008-a13b-94dd2002973d"/>
    <x v="46"/>
    <x v="0"/>
    <x v="56"/>
    <x v="0"/>
    <x v="0"/>
    <s v="2024-09-27"/>
    <x v="0"/>
    <x v="10"/>
    <x v="0"/>
    <n v="697.86"/>
    <s v="10% off"/>
    <m/>
    <x v="0"/>
    <x v="1"/>
    <n v="697.86"/>
    <x v="2"/>
    <n v="5"/>
    <s v="Excellent"/>
  </r>
  <r>
    <s v="5b8c1e66-9fdb-4112-9507-28ddee3668dd"/>
    <x v="11"/>
    <x v="0"/>
    <x v="94"/>
    <x v="0"/>
    <x v="7"/>
    <s v="2024-05-22"/>
    <x v="4"/>
    <x v="4"/>
    <x v="0"/>
    <n v="78.349999999999994"/>
    <s v="0% off"/>
    <m/>
    <x v="1"/>
    <x v="1"/>
    <n v="78.349999999999994"/>
    <x v="0"/>
    <n v="3"/>
    <s v="Average"/>
  </r>
  <r>
    <s v="51402e76-cf66-4eab-92b9-91aa757882e6"/>
    <x v="19"/>
    <x v="0"/>
    <x v="89"/>
    <x v="0"/>
    <x v="0"/>
    <s v="2024-05-19"/>
    <x v="5"/>
    <x v="4"/>
    <x v="0"/>
    <n v="697.86"/>
    <s v="10% off"/>
    <m/>
    <x v="0"/>
    <x v="1"/>
    <n v="697.86"/>
    <x v="0"/>
    <n v="3"/>
    <s v="Average"/>
  </r>
  <r>
    <s v="fb204b1b-8f91-4e9e-91fa-614be151fce0"/>
    <x v="41"/>
    <x v="1"/>
    <x v="95"/>
    <x v="0"/>
    <x v="7"/>
    <s v="2025-03-03"/>
    <x v="6"/>
    <x v="6"/>
    <x v="1"/>
    <n v="78.349999999999994"/>
    <s v="0% off"/>
    <m/>
    <x v="1"/>
    <x v="0"/>
    <n v="78.349999999999994"/>
    <x v="1"/>
    <n v="4"/>
    <s v="Good"/>
  </r>
  <r>
    <s v="8ae35718-0375-47a4-a50f-b94c5ee5022e"/>
    <x v="36"/>
    <x v="0"/>
    <x v="96"/>
    <x v="4"/>
    <x v="17"/>
    <s v="2024-06-08"/>
    <x v="2"/>
    <x v="11"/>
    <x v="0"/>
    <n v="315.56"/>
    <s v="5% off"/>
    <m/>
    <x v="0"/>
    <x v="0"/>
    <n v="315.56"/>
    <x v="0"/>
    <n v="3"/>
    <s v="Average"/>
  </r>
  <r>
    <s v="37806e3b-65a0-433e-ba48-55b7e7265974"/>
    <x v="1"/>
    <x v="1"/>
    <x v="58"/>
    <x v="0"/>
    <x v="7"/>
    <s v="2024-12-28"/>
    <x v="2"/>
    <x v="7"/>
    <x v="0"/>
    <n v="78.349999999999994"/>
    <s v="0% off"/>
    <m/>
    <x v="1"/>
    <x v="0"/>
    <n v="78.349999999999994"/>
    <x v="1"/>
    <n v="4"/>
    <s v="Good"/>
  </r>
  <r>
    <s v="99324930-8e28-4937-9d8d-47c0ac743a94"/>
    <x v="37"/>
    <x v="0"/>
    <x v="90"/>
    <x v="4"/>
    <x v="5"/>
    <s v="2024-12-17"/>
    <x v="1"/>
    <x v="7"/>
    <x v="0"/>
    <n v="988.77"/>
    <s v="20% off"/>
    <m/>
    <x v="0"/>
    <x v="1"/>
    <n v="988.77"/>
    <x v="0"/>
    <n v="4"/>
    <s v="Good"/>
  </r>
  <r>
    <s v="3d3d283a-60a8-429d-a305-9eb9a47006f8"/>
    <x v="43"/>
    <x v="0"/>
    <x v="91"/>
    <x v="4"/>
    <x v="17"/>
    <s v="2025-03-04"/>
    <x v="1"/>
    <x v="6"/>
    <x v="1"/>
    <n v="315.56"/>
    <s v="5% off"/>
    <m/>
    <x v="0"/>
    <x v="0"/>
    <n v="315.56"/>
    <x v="3"/>
    <n v="5"/>
    <s v="Excellent"/>
  </r>
  <r>
    <s v="532ea2d1-15f0-4b0b-b5e6-37764ebea940"/>
    <x v="7"/>
    <x v="1"/>
    <x v="97"/>
    <x v="0"/>
    <x v="0"/>
    <s v="2024-08-17"/>
    <x v="2"/>
    <x v="3"/>
    <x v="0"/>
    <n v="697.86"/>
    <s v="10% off"/>
    <m/>
    <x v="0"/>
    <x v="0"/>
    <n v="697.86"/>
    <x v="0"/>
    <n v="2"/>
    <s v="Poor"/>
  </r>
  <r>
    <s v="403cdc6b-8761-4cfc-9477-2b92c894e2f0"/>
    <x v="3"/>
    <x v="0"/>
    <x v="98"/>
    <x v="6"/>
    <x v="21"/>
    <s v="2024-08-23"/>
    <x v="0"/>
    <x v="3"/>
    <x v="0"/>
    <n v="461.81"/>
    <s v="5% off"/>
    <m/>
    <x v="0"/>
    <x v="0"/>
    <n v="461.81"/>
    <x v="3"/>
    <n v="5"/>
    <s v="Excellent"/>
  </r>
  <r>
    <s v="aae95f55-388f-4df6-9b46-4676c8a8c3cc"/>
    <x v="2"/>
    <x v="1"/>
    <x v="99"/>
    <x v="1"/>
    <x v="26"/>
    <s v="2025-03-21"/>
    <x v="0"/>
    <x v="6"/>
    <x v="1"/>
    <n v="775.75"/>
    <s v="15% off"/>
    <m/>
    <x v="0"/>
    <x v="1"/>
    <n v="775.75"/>
    <x v="3"/>
    <n v="3"/>
    <s v="Average"/>
  </r>
  <r>
    <s v="a358daa6-6645-459b-aed5-726fe918b375"/>
    <x v="4"/>
    <x v="1"/>
    <x v="100"/>
    <x v="4"/>
    <x v="20"/>
    <s v="2024-05-16"/>
    <x v="3"/>
    <x v="4"/>
    <x v="0"/>
    <n v="260.77999999999997"/>
    <s v="5% off"/>
    <m/>
    <x v="0"/>
    <x v="1"/>
    <n v="260.77999999999997"/>
    <x v="2"/>
    <n v="1"/>
    <s v="Very Poor"/>
  </r>
  <r>
    <s v="edef0c42-99e1-4d70-a05d-85adfa826e47"/>
    <x v="40"/>
    <x v="0"/>
    <x v="101"/>
    <x v="2"/>
    <x v="24"/>
    <s v="2024-10-08"/>
    <x v="1"/>
    <x v="5"/>
    <x v="0"/>
    <n v="52.44"/>
    <s v="0% off"/>
    <m/>
    <x v="1"/>
    <x v="1"/>
    <n v="52.44"/>
    <x v="2"/>
    <n v="5"/>
    <s v="Excellent"/>
  </r>
  <r>
    <s v="b83ffba3-2b23-4a6f-8802-2573dad1e1ea"/>
    <x v="19"/>
    <x v="0"/>
    <x v="102"/>
    <x v="2"/>
    <x v="18"/>
    <s v="2024-08-09"/>
    <x v="0"/>
    <x v="3"/>
    <x v="0"/>
    <n v="492.1"/>
    <s v="5% off"/>
    <m/>
    <x v="0"/>
    <x v="1"/>
    <n v="492.1"/>
    <x v="1"/>
    <n v="3"/>
    <s v="Average"/>
  </r>
  <r>
    <s v="8f9557cc-53b8-47bc-ad11-eadb96d979d1"/>
    <x v="17"/>
    <x v="0"/>
    <x v="103"/>
    <x v="5"/>
    <x v="9"/>
    <s v="2024-06-02"/>
    <x v="5"/>
    <x v="11"/>
    <x v="0"/>
    <n v="452.97"/>
    <s v="5% off"/>
    <m/>
    <x v="0"/>
    <x v="1"/>
    <n v="452.97"/>
    <x v="1"/>
    <n v="4"/>
    <s v="Good"/>
  </r>
  <r>
    <s v="d7f6f99e-c09f-48b7-9fea-30e504778381"/>
    <x v="5"/>
    <x v="0"/>
    <x v="104"/>
    <x v="0"/>
    <x v="22"/>
    <s v="2024-05-17"/>
    <x v="0"/>
    <x v="4"/>
    <x v="0"/>
    <n v="485.26"/>
    <s v="5% off"/>
    <m/>
    <x v="0"/>
    <x v="1"/>
    <n v="485.26"/>
    <x v="2"/>
    <n v="4"/>
    <s v="Good"/>
  </r>
  <r>
    <s v="25c83c5b-508b-4893-8d48-de752523d4a9"/>
    <x v="15"/>
    <x v="1"/>
    <x v="105"/>
    <x v="2"/>
    <x v="2"/>
    <s v="2024-09-04"/>
    <x v="4"/>
    <x v="10"/>
    <x v="0"/>
    <n v="493.96"/>
    <s v="5% off"/>
    <m/>
    <x v="0"/>
    <x v="0"/>
    <n v="493.96"/>
    <x v="0"/>
    <n v="3"/>
    <s v="Average"/>
  </r>
  <r>
    <s v="02ae8641-c6df-4228-a709-4560dabe69e8"/>
    <x v="27"/>
    <x v="1"/>
    <x v="106"/>
    <x v="5"/>
    <x v="6"/>
    <s v="2024-04-29"/>
    <x v="6"/>
    <x v="0"/>
    <x v="0"/>
    <n v="76.81"/>
    <s v="0% off"/>
    <m/>
    <x v="1"/>
    <x v="1"/>
    <n v="76.81"/>
    <x v="3"/>
    <n v="3"/>
    <s v="Average"/>
  </r>
  <r>
    <s v="fd9ead51-70ad-404f-9d16-b74e90065b1e"/>
    <x v="32"/>
    <x v="0"/>
    <x v="89"/>
    <x v="0"/>
    <x v="22"/>
    <s v="2024-10-20"/>
    <x v="5"/>
    <x v="5"/>
    <x v="0"/>
    <n v="485.26"/>
    <s v="5% off"/>
    <m/>
    <x v="0"/>
    <x v="1"/>
    <n v="485.26"/>
    <x v="1"/>
    <n v="3"/>
    <s v="Average"/>
  </r>
  <r>
    <s v="562c78d8-fd42-4437-a829-1793431870eb"/>
    <x v="41"/>
    <x v="0"/>
    <x v="107"/>
    <x v="1"/>
    <x v="1"/>
    <s v="2024-08-17"/>
    <x v="2"/>
    <x v="3"/>
    <x v="0"/>
    <n v="67.040000000000006"/>
    <s v="0% off"/>
    <m/>
    <x v="1"/>
    <x v="0"/>
    <n v="67.040000000000006"/>
    <x v="1"/>
    <n v="3"/>
    <s v="Average"/>
  </r>
  <r>
    <s v="a04dc204-8328-4f1b-bec6-5655d63102bc"/>
    <x v="45"/>
    <x v="1"/>
    <x v="108"/>
    <x v="1"/>
    <x v="26"/>
    <s v="2024-10-30"/>
    <x v="4"/>
    <x v="5"/>
    <x v="0"/>
    <n v="775.75"/>
    <s v="15% off"/>
    <m/>
    <x v="0"/>
    <x v="0"/>
    <n v="775.75"/>
    <x v="2"/>
    <n v="4"/>
    <s v="Good"/>
  </r>
  <r>
    <s v="a13ce8e9-e9a4-47e4-833b-a52cfe03e732"/>
    <x v="48"/>
    <x v="1"/>
    <x v="109"/>
    <x v="0"/>
    <x v="22"/>
    <s v="2024-09-03"/>
    <x v="1"/>
    <x v="10"/>
    <x v="0"/>
    <n v="485.26"/>
    <s v="5% off"/>
    <m/>
    <x v="0"/>
    <x v="0"/>
    <n v="485.26"/>
    <x v="3"/>
    <n v="2"/>
    <s v="Poor"/>
  </r>
  <r>
    <s v="d07fb79b-d6da-4310-b11a-f3dc331cc0f7"/>
    <x v="46"/>
    <x v="1"/>
    <x v="110"/>
    <x v="3"/>
    <x v="19"/>
    <s v="2024-09-30"/>
    <x v="6"/>
    <x v="10"/>
    <x v="0"/>
    <n v="165.68"/>
    <s v="5% off"/>
    <m/>
    <x v="0"/>
    <x v="0"/>
    <n v="165.68"/>
    <x v="1"/>
    <n v="4"/>
    <s v="Good"/>
  </r>
  <r>
    <s v="97aa0e34-8ae3-4514-8072-c8ea6d822085"/>
    <x v="2"/>
    <x v="0"/>
    <x v="111"/>
    <x v="5"/>
    <x v="6"/>
    <s v="2024-05-25"/>
    <x v="2"/>
    <x v="4"/>
    <x v="0"/>
    <n v="76.81"/>
    <s v="0% off"/>
    <m/>
    <x v="1"/>
    <x v="0"/>
    <n v="76.81"/>
    <x v="1"/>
    <n v="4"/>
    <s v="Good"/>
  </r>
  <r>
    <s v="fcbdb2d9-ae3e-4d51-a4e9-378fccbdf041"/>
    <x v="32"/>
    <x v="1"/>
    <x v="59"/>
    <x v="1"/>
    <x v="26"/>
    <s v="2024-10-02"/>
    <x v="4"/>
    <x v="5"/>
    <x v="0"/>
    <n v="775.75"/>
    <s v="15% off"/>
    <m/>
    <x v="0"/>
    <x v="0"/>
    <n v="775.75"/>
    <x v="3"/>
    <n v="5"/>
    <s v="Excellent"/>
  </r>
  <r>
    <s v="7a4ec323-45f3-42c2-b132-df8cff7ea486"/>
    <x v="39"/>
    <x v="1"/>
    <x v="112"/>
    <x v="0"/>
    <x v="22"/>
    <s v="2024-12-09"/>
    <x v="6"/>
    <x v="7"/>
    <x v="0"/>
    <n v="485.26"/>
    <s v="5% off"/>
    <m/>
    <x v="0"/>
    <x v="0"/>
    <n v="485.26"/>
    <x v="1"/>
    <n v="1"/>
    <s v="Very Poor"/>
  </r>
  <r>
    <s v="e6e43b3d-f6b8-40fe-8201-d846df208ec8"/>
    <x v="18"/>
    <x v="1"/>
    <x v="113"/>
    <x v="4"/>
    <x v="17"/>
    <s v="2024-07-30"/>
    <x v="1"/>
    <x v="2"/>
    <x v="0"/>
    <n v="315.56"/>
    <s v="5% off"/>
    <m/>
    <x v="0"/>
    <x v="1"/>
    <n v="315.56"/>
    <x v="0"/>
    <n v="1"/>
    <s v="Very Poor"/>
  </r>
  <r>
    <s v="06555564-2d79-45b6-8d5d-37404c3a9005"/>
    <x v="31"/>
    <x v="1"/>
    <x v="114"/>
    <x v="2"/>
    <x v="2"/>
    <s v="2024-11-17"/>
    <x v="5"/>
    <x v="1"/>
    <x v="0"/>
    <n v="493.96"/>
    <s v="5% off"/>
    <m/>
    <x v="0"/>
    <x v="0"/>
    <n v="493.96"/>
    <x v="2"/>
    <n v="3"/>
    <s v="Average"/>
  </r>
  <r>
    <s v="e63b9df2-f977-4c56-a00d-1552d14ab715"/>
    <x v="6"/>
    <x v="0"/>
    <x v="115"/>
    <x v="1"/>
    <x v="26"/>
    <s v="2024-10-03"/>
    <x v="3"/>
    <x v="5"/>
    <x v="0"/>
    <n v="775.75"/>
    <s v="15% off"/>
    <m/>
    <x v="0"/>
    <x v="0"/>
    <n v="775.75"/>
    <x v="0"/>
    <n v="4"/>
    <s v="Good"/>
  </r>
  <r>
    <s v="e0606de8-f811-425c-8887-1d8ef5da21e2"/>
    <x v="40"/>
    <x v="1"/>
    <x v="116"/>
    <x v="2"/>
    <x v="24"/>
    <s v="2025-01-18"/>
    <x v="2"/>
    <x v="9"/>
    <x v="1"/>
    <n v="52.44"/>
    <s v="0% off"/>
    <m/>
    <x v="1"/>
    <x v="1"/>
    <n v="52.44"/>
    <x v="1"/>
    <n v="3"/>
    <s v="Average"/>
  </r>
  <r>
    <s v="f3725641-5768-4f5a-901f-1ef70141aa7e"/>
    <x v="28"/>
    <x v="1"/>
    <x v="117"/>
    <x v="2"/>
    <x v="27"/>
    <s v="2024-10-02"/>
    <x v="4"/>
    <x v="5"/>
    <x v="0"/>
    <n v="340.04"/>
    <s v="5% off"/>
    <m/>
    <x v="0"/>
    <x v="0"/>
    <n v="340.04"/>
    <x v="0"/>
    <n v="2"/>
    <s v="Poor"/>
  </r>
  <r>
    <s v="3152bf68-cd30-4335-b8c0-1a8d36684ea1"/>
    <x v="19"/>
    <x v="1"/>
    <x v="118"/>
    <x v="1"/>
    <x v="23"/>
    <s v="2024-07-17"/>
    <x v="4"/>
    <x v="2"/>
    <x v="0"/>
    <n v="362.55"/>
    <s v="5% off"/>
    <m/>
    <x v="0"/>
    <x v="1"/>
    <n v="362.55"/>
    <x v="3"/>
    <n v="3"/>
    <s v="Average"/>
  </r>
  <r>
    <s v="969ad3c9-7008-4398-9c1a-e9a9caa01750"/>
    <x v="7"/>
    <x v="0"/>
    <x v="119"/>
    <x v="5"/>
    <x v="9"/>
    <s v="2024-06-02"/>
    <x v="5"/>
    <x v="11"/>
    <x v="0"/>
    <n v="452.97"/>
    <s v="5% off"/>
    <m/>
    <x v="0"/>
    <x v="1"/>
    <n v="452.97"/>
    <x v="2"/>
    <n v="3"/>
    <s v="Average"/>
  </r>
  <r>
    <s v="f24cff36-97b5-4779-a4b4-10b2f590ea63"/>
    <x v="21"/>
    <x v="0"/>
    <x v="120"/>
    <x v="6"/>
    <x v="13"/>
    <s v="2024-10-12"/>
    <x v="2"/>
    <x v="5"/>
    <x v="0"/>
    <n v="418.55"/>
    <s v="5% off"/>
    <m/>
    <x v="0"/>
    <x v="0"/>
    <n v="418.55"/>
    <x v="1"/>
    <n v="4"/>
    <s v="Good"/>
  </r>
  <r>
    <s v="0f45314a-61d2-4823-9b84-6d7c962548d1"/>
    <x v="33"/>
    <x v="0"/>
    <x v="121"/>
    <x v="5"/>
    <x v="16"/>
    <s v="2024-05-23"/>
    <x v="3"/>
    <x v="4"/>
    <x v="0"/>
    <n v="592.26"/>
    <s v="10% off"/>
    <m/>
    <x v="0"/>
    <x v="0"/>
    <n v="592.26"/>
    <x v="1"/>
    <n v="4"/>
    <s v="Good"/>
  </r>
  <r>
    <s v="67e4272c-616e-4b12-a9d7-1d0c345ded1f"/>
    <x v="19"/>
    <x v="0"/>
    <x v="122"/>
    <x v="0"/>
    <x v="11"/>
    <s v="2024-11-05"/>
    <x v="1"/>
    <x v="1"/>
    <x v="0"/>
    <n v="116.78"/>
    <s v="0% off"/>
    <m/>
    <x v="1"/>
    <x v="0"/>
    <n v="116.78"/>
    <x v="3"/>
    <n v="5"/>
    <s v="Excellent"/>
  </r>
  <r>
    <s v="c239f4e7-1b45-4eb2-bf10-31318a392c8d"/>
    <x v="28"/>
    <x v="0"/>
    <x v="123"/>
    <x v="3"/>
    <x v="3"/>
    <s v="2024-06-11"/>
    <x v="1"/>
    <x v="11"/>
    <x v="0"/>
    <n v="211.46"/>
    <s v="5% off"/>
    <m/>
    <x v="0"/>
    <x v="0"/>
    <n v="211.46"/>
    <x v="0"/>
    <n v="5"/>
    <s v="Excellent"/>
  </r>
  <r>
    <s v="85935260-c93f-4ff2-9055-abb276c377da"/>
    <x v="38"/>
    <x v="0"/>
    <x v="124"/>
    <x v="3"/>
    <x v="19"/>
    <s v="2025-03-06"/>
    <x v="3"/>
    <x v="6"/>
    <x v="1"/>
    <n v="165.68"/>
    <s v="5% off"/>
    <m/>
    <x v="0"/>
    <x v="0"/>
    <n v="165.68"/>
    <x v="0"/>
    <n v="1"/>
    <s v="Very Poor"/>
  </r>
  <r>
    <s v="8ada07c3-4ffe-476c-8c2b-eb6ddfe145fa"/>
    <x v="38"/>
    <x v="1"/>
    <x v="125"/>
    <x v="0"/>
    <x v="11"/>
    <s v="2024-09-03"/>
    <x v="1"/>
    <x v="10"/>
    <x v="0"/>
    <n v="116.78"/>
    <s v="0% off"/>
    <m/>
    <x v="1"/>
    <x v="0"/>
    <n v="116.78"/>
    <x v="2"/>
    <n v="5"/>
    <s v="Excellent"/>
  </r>
  <r>
    <s v="d9cb4af7-ee15-4c12-9c2c-7772800718d5"/>
    <x v="27"/>
    <x v="1"/>
    <x v="126"/>
    <x v="5"/>
    <x v="16"/>
    <s v="2024-09-22"/>
    <x v="5"/>
    <x v="10"/>
    <x v="0"/>
    <n v="592.26"/>
    <s v="10% off"/>
    <m/>
    <x v="0"/>
    <x v="1"/>
    <n v="592.26"/>
    <x v="1"/>
    <n v="4"/>
    <s v="Good"/>
  </r>
  <r>
    <s v="662a8e44-ff40-4616-a050-fc87889c1645"/>
    <x v="27"/>
    <x v="0"/>
    <x v="127"/>
    <x v="3"/>
    <x v="19"/>
    <s v="2024-04-24"/>
    <x v="4"/>
    <x v="0"/>
    <x v="0"/>
    <n v="165.68"/>
    <s v="5% off"/>
    <m/>
    <x v="0"/>
    <x v="1"/>
    <n v="165.68"/>
    <x v="1"/>
    <n v="5"/>
    <s v="Excellent"/>
  </r>
  <r>
    <s v="98fbbe84-af0c-4338-abb7-7f381f6f6eba"/>
    <x v="46"/>
    <x v="1"/>
    <x v="128"/>
    <x v="5"/>
    <x v="16"/>
    <s v="2024-08-20"/>
    <x v="1"/>
    <x v="3"/>
    <x v="0"/>
    <n v="592.26"/>
    <s v="10% off"/>
    <m/>
    <x v="0"/>
    <x v="0"/>
    <n v="592.26"/>
    <x v="0"/>
    <n v="5"/>
    <s v="Excellent"/>
  </r>
  <r>
    <s v="6b335364-3fc6-4a11-adfa-e33780b4c2d5"/>
    <x v="0"/>
    <x v="0"/>
    <x v="129"/>
    <x v="6"/>
    <x v="10"/>
    <s v="2024-07-27"/>
    <x v="2"/>
    <x v="2"/>
    <x v="0"/>
    <n v="782.29"/>
    <s v="15% off"/>
    <m/>
    <x v="0"/>
    <x v="0"/>
    <n v="782.29"/>
    <x v="2"/>
    <n v="5"/>
    <s v="Excellent"/>
  </r>
  <r>
    <s v="e3c011f1-e2f6-4214-ad3e-ff0a54a5b22c"/>
    <x v="14"/>
    <x v="1"/>
    <x v="130"/>
    <x v="2"/>
    <x v="2"/>
    <s v="2025-03-16"/>
    <x v="5"/>
    <x v="6"/>
    <x v="1"/>
    <n v="493.96"/>
    <s v="5% off"/>
    <m/>
    <x v="0"/>
    <x v="1"/>
    <n v="493.96"/>
    <x v="3"/>
    <n v="5"/>
    <s v="Excellent"/>
  </r>
  <r>
    <s v="3c51710e-e8c6-4751-a096-aae4338d7e75"/>
    <x v="1"/>
    <x v="0"/>
    <x v="131"/>
    <x v="3"/>
    <x v="15"/>
    <s v="2024-11-10"/>
    <x v="5"/>
    <x v="1"/>
    <x v="0"/>
    <n v="855.21"/>
    <s v="15% off"/>
    <m/>
    <x v="0"/>
    <x v="1"/>
    <n v="855.21"/>
    <x v="1"/>
    <n v="5"/>
    <s v="Excellent"/>
  </r>
  <r>
    <s v="275288d7-de1e-4121-8448-1400086196e6"/>
    <x v="50"/>
    <x v="0"/>
    <x v="132"/>
    <x v="4"/>
    <x v="4"/>
    <s v="2024-08-30"/>
    <x v="0"/>
    <x v="3"/>
    <x v="0"/>
    <n v="512.94000000000005"/>
    <s v="10% off"/>
    <m/>
    <x v="0"/>
    <x v="1"/>
    <n v="512.94000000000005"/>
    <x v="2"/>
    <n v="3"/>
    <s v="Average"/>
  </r>
  <r>
    <s v="13fa1273-876f-40ec-8d19-fd617828b810"/>
    <x v="30"/>
    <x v="1"/>
    <x v="72"/>
    <x v="6"/>
    <x v="13"/>
    <s v="2024-04-08"/>
    <x v="6"/>
    <x v="0"/>
    <x v="0"/>
    <n v="418.55"/>
    <s v="5% off"/>
    <m/>
    <x v="0"/>
    <x v="1"/>
    <n v="418.55"/>
    <x v="2"/>
    <n v="5"/>
    <s v="Excellent"/>
  </r>
  <r>
    <s v="711e7982-9024-4435-b143-50fd3186bbe0"/>
    <x v="39"/>
    <x v="0"/>
    <x v="75"/>
    <x v="1"/>
    <x v="1"/>
    <s v="2024-06-29"/>
    <x v="2"/>
    <x v="11"/>
    <x v="0"/>
    <n v="67.040000000000006"/>
    <s v="0% off"/>
    <m/>
    <x v="1"/>
    <x v="1"/>
    <n v="67.040000000000006"/>
    <x v="0"/>
    <n v="1"/>
    <s v="Very Poor"/>
  </r>
  <r>
    <s v="e67c1550-2086-407f-b18c-4de7e5d7eb97"/>
    <x v="33"/>
    <x v="1"/>
    <x v="76"/>
    <x v="2"/>
    <x v="2"/>
    <s v="2024-08-04"/>
    <x v="5"/>
    <x v="3"/>
    <x v="0"/>
    <n v="493.96"/>
    <s v="5% off"/>
    <m/>
    <x v="0"/>
    <x v="1"/>
    <n v="493.96"/>
    <x v="0"/>
    <n v="3"/>
    <s v="Average"/>
  </r>
  <r>
    <s v="9ffc72f6-1015-4f45-a72d-afa7fd6982bf"/>
    <x v="3"/>
    <x v="1"/>
    <x v="133"/>
    <x v="6"/>
    <x v="21"/>
    <s v="2024-06-04"/>
    <x v="1"/>
    <x v="11"/>
    <x v="0"/>
    <n v="461.81"/>
    <s v="5% off"/>
    <m/>
    <x v="0"/>
    <x v="1"/>
    <n v="461.81"/>
    <x v="1"/>
    <n v="1"/>
    <s v="Very Poor"/>
  </r>
  <r>
    <s v="1427593f-6d9f-46da-9353-1adac57c6ecd"/>
    <x v="50"/>
    <x v="0"/>
    <x v="134"/>
    <x v="6"/>
    <x v="14"/>
    <s v="2024-12-23"/>
    <x v="6"/>
    <x v="7"/>
    <x v="0"/>
    <n v="965.09"/>
    <s v="20% off"/>
    <m/>
    <x v="0"/>
    <x v="1"/>
    <n v="965.09"/>
    <x v="3"/>
    <n v="3"/>
    <s v="Average"/>
  </r>
  <r>
    <s v="b986c4b4-7b1a-46a1-bbbc-5e7e70cc9fca"/>
    <x v="24"/>
    <x v="0"/>
    <x v="135"/>
    <x v="2"/>
    <x v="2"/>
    <s v="2024-10-11"/>
    <x v="0"/>
    <x v="5"/>
    <x v="0"/>
    <n v="493.96"/>
    <s v="5% off"/>
    <m/>
    <x v="0"/>
    <x v="0"/>
    <n v="493.96"/>
    <x v="0"/>
    <n v="5"/>
    <s v="Excellent"/>
  </r>
  <r>
    <s v="9adba053-61c9-4659-b3d0-cf8f1651d3be"/>
    <x v="26"/>
    <x v="0"/>
    <x v="136"/>
    <x v="2"/>
    <x v="24"/>
    <s v="2024-07-21"/>
    <x v="5"/>
    <x v="2"/>
    <x v="0"/>
    <n v="52.44"/>
    <s v="0% off"/>
    <m/>
    <x v="1"/>
    <x v="1"/>
    <n v="52.44"/>
    <x v="2"/>
    <n v="2"/>
    <s v="Poor"/>
  </r>
  <r>
    <s v="ab2f3cd4-5294-466c-853c-ff6ef755a2e0"/>
    <x v="40"/>
    <x v="1"/>
    <x v="137"/>
    <x v="4"/>
    <x v="20"/>
    <s v="2024-11-06"/>
    <x v="4"/>
    <x v="1"/>
    <x v="0"/>
    <n v="260.77999999999997"/>
    <s v="5% off"/>
    <m/>
    <x v="0"/>
    <x v="0"/>
    <n v="260.77999999999997"/>
    <x v="0"/>
    <n v="2"/>
    <s v="Poor"/>
  </r>
  <r>
    <s v="82ea0a54-370d-4750-bfcb-752e3db9cd0c"/>
    <x v="26"/>
    <x v="0"/>
    <x v="0"/>
    <x v="6"/>
    <x v="21"/>
    <s v="2024-07-28"/>
    <x v="5"/>
    <x v="2"/>
    <x v="0"/>
    <n v="461.81"/>
    <s v="5% off"/>
    <m/>
    <x v="0"/>
    <x v="0"/>
    <n v="461.81"/>
    <x v="3"/>
    <n v="4"/>
    <s v="Good"/>
  </r>
  <r>
    <s v="de4151c5-8470-4025-a960-78bc703103ab"/>
    <x v="0"/>
    <x v="0"/>
    <x v="1"/>
    <x v="0"/>
    <x v="22"/>
    <s v="2024-04-21"/>
    <x v="5"/>
    <x v="0"/>
    <x v="0"/>
    <n v="485.26"/>
    <s v="5% off"/>
    <m/>
    <x v="0"/>
    <x v="0"/>
    <n v="485.26"/>
    <x v="2"/>
    <n v="2"/>
    <s v="Poor"/>
  </r>
  <r>
    <s v="70a15f65-be48-4f80-8fd9-31b9045f3e90"/>
    <x v="27"/>
    <x v="0"/>
    <x v="2"/>
    <x v="5"/>
    <x v="8"/>
    <s v="2025-03-06"/>
    <x v="3"/>
    <x v="6"/>
    <x v="1"/>
    <n v="374.92"/>
    <s v="5% off"/>
    <m/>
    <x v="0"/>
    <x v="1"/>
    <n v="374.92"/>
    <x v="2"/>
    <n v="3"/>
    <s v="Average"/>
  </r>
  <r>
    <s v="a10f2cd8-0a53-46cd-89b9-52f52c78e726"/>
    <x v="22"/>
    <x v="0"/>
    <x v="3"/>
    <x v="4"/>
    <x v="4"/>
    <s v="2025-03-16"/>
    <x v="5"/>
    <x v="6"/>
    <x v="1"/>
    <n v="512.94000000000005"/>
    <s v="10% off"/>
    <m/>
    <x v="0"/>
    <x v="0"/>
    <n v="512.94000000000005"/>
    <x v="2"/>
    <n v="4"/>
    <s v="Good"/>
  </r>
  <r>
    <s v="26d4223b-83bf-4380-aeb5-99a464cf6d25"/>
    <x v="17"/>
    <x v="0"/>
    <x v="4"/>
    <x v="2"/>
    <x v="27"/>
    <s v="2024-05-04"/>
    <x v="2"/>
    <x v="4"/>
    <x v="0"/>
    <n v="340.04"/>
    <s v="5% off"/>
    <m/>
    <x v="0"/>
    <x v="1"/>
    <n v="340.04"/>
    <x v="3"/>
    <n v="4"/>
    <s v="Good"/>
  </r>
  <r>
    <s v="64357d1c-18b1-4618-9ce8-58697e1f7e70"/>
    <x v="24"/>
    <x v="0"/>
    <x v="5"/>
    <x v="3"/>
    <x v="3"/>
    <s v="2024-12-24"/>
    <x v="1"/>
    <x v="7"/>
    <x v="0"/>
    <n v="211.46"/>
    <s v="5% off"/>
    <m/>
    <x v="0"/>
    <x v="1"/>
    <n v="211.46"/>
    <x v="1"/>
    <n v="5"/>
    <s v="Excellent"/>
  </r>
  <r>
    <s v="324ca328-937d-440e-bc60-416a7153d890"/>
    <x v="18"/>
    <x v="0"/>
    <x v="6"/>
    <x v="4"/>
    <x v="5"/>
    <s v="2024-05-13"/>
    <x v="6"/>
    <x v="4"/>
    <x v="0"/>
    <n v="988.77"/>
    <s v="20% off"/>
    <m/>
    <x v="0"/>
    <x v="0"/>
    <n v="988.77"/>
    <x v="2"/>
    <n v="4"/>
    <s v="Good"/>
  </r>
  <r>
    <s v="1b4de54d-8aaf-466f-b517-bc4a799888f4"/>
    <x v="11"/>
    <x v="0"/>
    <x v="7"/>
    <x v="3"/>
    <x v="19"/>
    <s v="2024-07-22"/>
    <x v="6"/>
    <x v="2"/>
    <x v="0"/>
    <n v="165.68"/>
    <s v="5% off"/>
    <m/>
    <x v="0"/>
    <x v="0"/>
    <n v="165.68"/>
    <x v="0"/>
    <n v="1"/>
    <s v="Very Poor"/>
  </r>
  <r>
    <s v="1d3747de-af5a-4bdd-b56e-6afc7e4d9e6a"/>
    <x v="49"/>
    <x v="1"/>
    <x v="8"/>
    <x v="0"/>
    <x v="7"/>
    <s v="2024-06-04"/>
    <x v="1"/>
    <x v="11"/>
    <x v="0"/>
    <n v="78.349999999999994"/>
    <s v="0% off"/>
    <m/>
    <x v="1"/>
    <x v="1"/>
    <n v="78.349999999999994"/>
    <x v="0"/>
    <n v="4"/>
    <s v="Good"/>
  </r>
  <r>
    <s v="847caa2b-44e3-4500-977c-4acea401d2d0"/>
    <x v="41"/>
    <x v="1"/>
    <x v="9"/>
    <x v="2"/>
    <x v="24"/>
    <s v="2025-02-24"/>
    <x v="6"/>
    <x v="8"/>
    <x v="1"/>
    <n v="52.44"/>
    <s v="0% off"/>
    <m/>
    <x v="1"/>
    <x v="0"/>
    <n v="52.44"/>
    <x v="3"/>
    <n v="4"/>
    <s v="Good"/>
  </r>
  <r>
    <s v="1b7a7188-2336-4e5d-be23-05d6ed62a2f9"/>
    <x v="30"/>
    <x v="1"/>
    <x v="10"/>
    <x v="6"/>
    <x v="21"/>
    <s v="2024-06-09"/>
    <x v="5"/>
    <x v="11"/>
    <x v="0"/>
    <n v="461.81"/>
    <s v="5% off"/>
    <m/>
    <x v="0"/>
    <x v="0"/>
    <n v="461.81"/>
    <x v="1"/>
    <n v="1"/>
    <s v="Very Poor"/>
  </r>
  <r>
    <s v="e7b2f79d-4aa0-4a38-8597-56ca9aedd7c0"/>
    <x v="39"/>
    <x v="0"/>
    <x v="11"/>
    <x v="5"/>
    <x v="16"/>
    <s v="2024-05-14"/>
    <x v="1"/>
    <x v="4"/>
    <x v="0"/>
    <n v="592.26"/>
    <s v="10% off"/>
    <m/>
    <x v="0"/>
    <x v="0"/>
    <n v="592.26"/>
    <x v="0"/>
    <n v="3"/>
    <s v="Average"/>
  </r>
  <r>
    <s v="b1867e88-95dc-4f9b-9ded-e80ef59ca3af"/>
    <x v="16"/>
    <x v="0"/>
    <x v="12"/>
    <x v="0"/>
    <x v="22"/>
    <s v="2025-03-13"/>
    <x v="3"/>
    <x v="6"/>
    <x v="1"/>
    <n v="485.26"/>
    <s v="5% off"/>
    <m/>
    <x v="0"/>
    <x v="1"/>
    <n v="485.26"/>
    <x v="2"/>
    <n v="5"/>
    <s v="Excellent"/>
  </r>
  <r>
    <s v="eff7f5d3-4775-4b30-bd43-3afee35e41b6"/>
    <x v="10"/>
    <x v="0"/>
    <x v="13"/>
    <x v="2"/>
    <x v="24"/>
    <s v="2024-11-02"/>
    <x v="2"/>
    <x v="1"/>
    <x v="0"/>
    <n v="52.44"/>
    <s v="0% off"/>
    <m/>
    <x v="1"/>
    <x v="0"/>
    <n v="52.44"/>
    <x v="1"/>
    <n v="1"/>
    <s v="Very Poor"/>
  </r>
  <r>
    <s v="9c516236-5e09-4ff2-bdc9-75433d2bff7b"/>
    <x v="50"/>
    <x v="1"/>
    <x v="14"/>
    <x v="4"/>
    <x v="5"/>
    <s v="2024-07-08"/>
    <x v="6"/>
    <x v="2"/>
    <x v="0"/>
    <n v="988.77"/>
    <s v="20% off"/>
    <m/>
    <x v="0"/>
    <x v="0"/>
    <n v="988.77"/>
    <x v="2"/>
    <n v="3"/>
    <s v="Average"/>
  </r>
  <r>
    <s v="bdfa6cb2-f8a1-4550-b9dd-1ae0eb3e88c3"/>
    <x v="16"/>
    <x v="1"/>
    <x v="15"/>
    <x v="2"/>
    <x v="24"/>
    <s v="2024-12-12"/>
    <x v="3"/>
    <x v="7"/>
    <x v="0"/>
    <n v="52.44"/>
    <s v="0% off"/>
    <m/>
    <x v="1"/>
    <x v="1"/>
    <n v="52.44"/>
    <x v="0"/>
    <n v="3"/>
    <s v="Average"/>
  </r>
  <r>
    <s v="c8e157b5-3068-41a9-bd64-536fe570d51c"/>
    <x v="38"/>
    <x v="0"/>
    <x v="16"/>
    <x v="4"/>
    <x v="5"/>
    <s v="2024-04-04"/>
    <x v="3"/>
    <x v="0"/>
    <x v="0"/>
    <n v="988.77"/>
    <s v="20% off"/>
    <m/>
    <x v="0"/>
    <x v="0"/>
    <n v="988.77"/>
    <x v="2"/>
    <n v="5"/>
    <s v="Excellent"/>
  </r>
  <r>
    <s v="c2f8216a-d2aa-4b3e-832d-a15e4dc81674"/>
    <x v="32"/>
    <x v="0"/>
    <x v="17"/>
    <x v="2"/>
    <x v="18"/>
    <s v="2024-09-10"/>
    <x v="1"/>
    <x v="10"/>
    <x v="0"/>
    <n v="492.1"/>
    <s v="5% off"/>
    <m/>
    <x v="0"/>
    <x v="0"/>
    <n v="492.1"/>
    <x v="1"/>
    <n v="1"/>
    <s v="Very Poor"/>
  </r>
  <r>
    <s v="1e1014a9-bd63-46a4-a636-7e6503b6dbc4"/>
    <x v="33"/>
    <x v="0"/>
    <x v="18"/>
    <x v="0"/>
    <x v="22"/>
    <s v="2024-08-11"/>
    <x v="5"/>
    <x v="3"/>
    <x v="0"/>
    <n v="485.26"/>
    <s v="5% off"/>
    <m/>
    <x v="0"/>
    <x v="1"/>
    <n v="485.26"/>
    <x v="1"/>
    <n v="3"/>
    <s v="Average"/>
  </r>
  <r>
    <s v="7773e1bd-a865-4273-b6b1-5368c978e07c"/>
    <x v="7"/>
    <x v="1"/>
    <x v="19"/>
    <x v="3"/>
    <x v="15"/>
    <s v="2024-04-28"/>
    <x v="5"/>
    <x v="0"/>
    <x v="0"/>
    <n v="855.21"/>
    <s v="15% off"/>
    <m/>
    <x v="0"/>
    <x v="0"/>
    <n v="855.21"/>
    <x v="3"/>
    <n v="4"/>
    <s v="Good"/>
  </r>
  <r>
    <s v="7b55269f-7a47-4778-9871-bce60e5d83d5"/>
    <x v="27"/>
    <x v="0"/>
    <x v="20"/>
    <x v="0"/>
    <x v="11"/>
    <s v="2024-10-16"/>
    <x v="4"/>
    <x v="5"/>
    <x v="0"/>
    <n v="116.78"/>
    <s v="0% off"/>
    <m/>
    <x v="1"/>
    <x v="1"/>
    <n v="116.78"/>
    <x v="0"/>
    <n v="3"/>
    <s v="Average"/>
  </r>
  <r>
    <s v="fa6b44f3-d742-444b-b4aa-3744abbf1bef"/>
    <x v="0"/>
    <x v="1"/>
    <x v="21"/>
    <x v="5"/>
    <x v="9"/>
    <s v="2024-07-16"/>
    <x v="1"/>
    <x v="2"/>
    <x v="0"/>
    <n v="452.97"/>
    <s v="5% off"/>
    <m/>
    <x v="0"/>
    <x v="0"/>
    <n v="452.97"/>
    <x v="2"/>
    <n v="5"/>
    <s v="Excellent"/>
  </r>
  <r>
    <s v="082410e9-431c-4247-9d29-1d494339a978"/>
    <x v="2"/>
    <x v="1"/>
    <x v="22"/>
    <x v="6"/>
    <x v="21"/>
    <s v="2024-10-29"/>
    <x v="1"/>
    <x v="5"/>
    <x v="0"/>
    <n v="461.81"/>
    <s v="5% off"/>
    <m/>
    <x v="0"/>
    <x v="1"/>
    <n v="461.81"/>
    <x v="2"/>
    <n v="5"/>
    <s v="Excellent"/>
  </r>
  <r>
    <s v="339f5a90-2669-43d0-b8fc-30bb79c1f2e2"/>
    <x v="13"/>
    <x v="0"/>
    <x v="23"/>
    <x v="1"/>
    <x v="23"/>
    <s v="2025-03-03"/>
    <x v="6"/>
    <x v="6"/>
    <x v="1"/>
    <n v="362.55"/>
    <s v="5% off"/>
    <m/>
    <x v="0"/>
    <x v="0"/>
    <n v="362.55"/>
    <x v="1"/>
    <n v="3"/>
    <s v="Average"/>
  </r>
  <r>
    <s v="64904ed2-d6c8-4b9f-b441-43ae50868d44"/>
    <x v="11"/>
    <x v="1"/>
    <x v="24"/>
    <x v="2"/>
    <x v="27"/>
    <s v="2024-10-31"/>
    <x v="3"/>
    <x v="5"/>
    <x v="0"/>
    <n v="340.04"/>
    <s v="5% off"/>
    <m/>
    <x v="0"/>
    <x v="1"/>
    <n v="340.04"/>
    <x v="1"/>
    <n v="3"/>
    <s v="Average"/>
  </r>
  <r>
    <s v="727e5885-0f48-4453-9c68-55fe0a588e29"/>
    <x v="16"/>
    <x v="0"/>
    <x v="25"/>
    <x v="1"/>
    <x v="1"/>
    <s v="2024-04-18"/>
    <x v="3"/>
    <x v="0"/>
    <x v="0"/>
    <n v="67.040000000000006"/>
    <s v="0% off"/>
    <m/>
    <x v="1"/>
    <x v="0"/>
    <n v="67.040000000000006"/>
    <x v="1"/>
    <n v="1"/>
    <s v="Very Poor"/>
  </r>
  <r>
    <s v="be18897c-cfa2-49e0-bd8e-170347f183d5"/>
    <x v="33"/>
    <x v="1"/>
    <x v="26"/>
    <x v="6"/>
    <x v="21"/>
    <s v="2024-12-18"/>
    <x v="4"/>
    <x v="7"/>
    <x v="0"/>
    <n v="461.81"/>
    <s v="5% off"/>
    <m/>
    <x v="0"/>
    <x v="0"/>
    <n v="461.81"/>
    <x v="3"/>
    <n v="3"/>
    <s v="Average"/>
  </r>
  <r>
    <s v="eaa483b5-f267-49c3-a134-058d23175873"/>
    <x v="20"/>
    <x v="1"/>
    <x v="27"/>
    <x v="5"/>
    <x v="16"/>
    <s v="2024-12-18"/>
    <x v="4"/>
    <x v="7"/>
    <x v="0"/>
    <n v="592.26"/>
    <s v="10% off"/>
    <m/>
    <x v="0"/>
    <x v="1"/>
    <n v="592.26"/>
    <x v="3"/>
    <n v="3"/>
    <s v="Average"/>
  </r>
  <r>
    <s v="9bb693b1-c5d9-4536-a218-2eca85e14b86"/>
    <x v="2"/>
    <x v="0"/>
    <x v="28"/>
    <x v="3"/>
    <x v="19"/>
    <s v="2024-10-31"/>
    <x v="3"/>
    <x v="5"/>
    <x v="0"/>
    <n v="165.68"/>
    <s v="5% off"/>
    <m/>
    <x v="0"/>
    <x v="1"/>
    <n v="165.68"/>
    <x v="2"/>
    <n v="5"/>
    <s v="Excellent"/>
  </r>
  <r>
    <s v="9f8b73f5-1ba9-4ec6-858f-82bbce738107"/>
    <x v="37"/>
    <x v="0"/>
    <x v="29"/>
    <x v="5"/>
    <x v="16"/>
    <s v="2024-12-27"/>
    <x v="0"/>
    <x v="7"/>
    <x v="0"/>
    <n v="592.26"/>
    <s v="10% off"/>
    <m/>
    <x v="0"/>
    <x v="0"/>
    <n v="592.26"/>
    <x v="3"/>
    <n v="1"/>
    <s v="Very Poor"/>
  </r>
  <r>
    <s v="ef684e65-34e4-4b9e-a50b-bbed06984a73"/>
    <x v="47"/>
    <x v="1"/>
    <x v="30"/>
    <x v="4"/>
    <x v="4"/>
    <s v="2024-05-17"/>
    <x v="0"/>
    <x v="4"/>
    <x v="0"/>
    <n v="512.94000000000005"/>
    <s v="10% off"/>
    <m/>
    <x v="0"/>
    <x v="0"/>
    <n v="512.94000000000005"/>
    <x v="0"/>
    <n v="5"/>
    <s v="Excellent"/>
  </r>
  <r>
    <s v="2e3eaba1-8db1-41a2-a2cb-2251c8849653"/>
    <x v="42"/>
    <x v="1"/>
    <x v="31"/>
    <x v="4"/>
    <x v="17"/>
    <s v="2024-10-03"/>
    <x v="3"/>
    <x v="5"/>
    <x v="0"/>
    <n v="315.56"/>
    <s v="5% off"/>
    <m/>
    <x v="0"/>
    <x v="1"/>
    <n v="315.56"/>
    <x v="3"/>
    <n v="5"/>
    <s v="Excellent"/>
  </r>
  <r>
    <s v="3caae2bd-3a1d-4e5e-8259-9070dac16c38"/>
    <x v="49"/>
    <x v="0"/>
    <x v="32"/>
    <x v="2"/>
    <x v="2"/>
    <s v="2025-03-25"/>
    <x v="1"/>
    <x v="6"/>
    <x v="1"/>
    <n v="493.96"/>
    <s v="5% off"/>
    <m/>
    <x v="0"/>
    <x v="0"/>
    <n v="493.96"/>
    <x v="0"/>
    <n v="5"/>
    <s v="Excellent"/>
  </r>
  <r>
    <s v="9d32bf61-fb51-45fd-828c-fc652d7ff178"/>
    <x v="47"/>
    <x v="1"/>
    <x v="33"/>
    <x v="6"/>
    <x v="14"/>
    <s v="2025-03-11"/>
    <x v="1"/>
    <x v="6"/>
    <x v="1"/>
    <n v="965.09"/>
    <s v="20% off"/>
    <m/>
    <x v="0"/>
    <x v="0"/>
    <n v="965.09"/>
    <x v="1"/>
    <n v="3"/>
    <s v="Average"/>
  </r>
  <r>
    <s v="1ba93adb-3a64-4df7-b66a-f561de48f5d4"/>
    <x v="29"/>
    <x v="0"/>
    <x v="34"/>
    <x v="1"/>
    <x v="23"/>
    <s v="2024-10-13"/>
    <x v="5"/>
    <x v="5"/>
    <x v="0"/>
    <n v="362.55"/>
    <s v="5% off"/>
    <m/>
    <x v="0"/>
    <x v="0"/>
    <n v="362.55"/>
    <x v="1"/>
    <n v="2"/>
    <s v="Poor"/>
  </r>
  <r>
    <s v="8661b978-c63a-4b38-9f31-08f49e71dd69"/>
    <x v="17"/>
    <x v="1"/>
    <x v="35"/>
    <x v="3"/>
    <x v="15"/>
    <s v="2024-07-13"/>
    <x v="2"/>
    <x v="2"/>
    <x v="0"/>
    <n v="855.21"/>
    <s v="15% off"/>
    <m/>
    <x v="0"/>
    <x v="1"/>
    <n v="855.21"/>
    <x v="3"/>
    <n v="5"/>
    <s v="Excellent"/>
  </r>
  <r>
    <s v="44c17c7b-6448-4785-b85b-4fa3bb13cea4"/>
    <x v="14"/>
    <x v="1"/>
    <x v="36"/>
    <x v="5"/>
    <x v="6"/>
    <s v="2025-03-06"/>
    <x v="3"/>
    <x v="6"/>
    <x v="1"/>
    <n v="76.81"/>
    <s v="0% off"/>
    <m/>
    <x v="1"/>
    <x v="0"/>
    <n v="76.81"/>
    <x v="0"/>
    <n v="5"/>
    <s v="Excellent"/>
  </r>
  <r>
    <s v="2bf992c7-f379-4626-be8f-27158b2d68ae"/>
    <x v="44"/>
    <x v="1"/>
    <x v="37"/>
    <x v="4"/>
    <x v="20"/>
    <s v="2025-01-09"/>
    <x v="3"/>
    <x v="9"/>
    <x v="1"/>
    <n v="260.77999999999997"/>
    <s v="5% off"/>
    <m/>
    <x v="0"/>
    <x v="1"/>
    <n v="260.77999999999997"/>
    <x v="2"/>
    <n v="3"/>
    <s v="Average"/>
  </r>
  <r>
    <s v="8f44d8fc-322c-4d57-bf4c-ccacb70699c3"/>
    <x v="50"/>
    <x v="0"/>
    <x v="38"/>
    <x v="1"/>
    <x v="25"/>
    <s v="2024-05-15"/>
    <x v="4"/>
    <x v="4"/>
    <x v="0"/>
    <n v="527.16999999999996"/>
    <s v="10% off"/>
    <m/>
    <x v="0"/>
    <x v="1"/>
    <n v="527.16999999999996"/>
    <x v="2"/>
    <n v="5"/>
    <s v="Excellent"/>
  </r>
  <r>
    <s v="196306ac-2908-4967-bbfa-00bc039505d9"/>
    <x v="44"/>
    <x v="1"/>
    <x v="39"/>
    <x v="3"/>
    <x v="3"/>
    <s v="2024-03-31"/>
    <x v="5"/>
    <x v="6"/>
    <x v="0"/>
    <n v="211.46"/>
    <s v="5% off"/>
    <m/>
    <x v="0"/>
    <x v="1"/>
    <n v="211.46"/>
    <x v="1"/>
    <n v="5"/>
    <s v="Excellent"/>
  </r>
  <r>
    <s v="021b02a4-11f5-43a9-bbfb-e049cd0e2202"/>
    <x v="52"/>
    <x v="0"/>
    <x v="40"/>
    <x v="1"/>
    <x v="26"/>
    <s v="2024-12-22"/>
    <x v="5"/>
    <x v="7"/>
    <x v="0"/>
    <n v="775.75"/>
    <s v="15% off"/>
    <m/>
    <x v="0"/>
    <x v="1"/>
    <n v="775.75"/>
    <x v="3"/>
    <n v="4"/>
    <s v="Good"/>
  </r>
  <r>
    <s v="af25f1a2-88fd-46f7-985d-54c928088852"/>
    <x v="14"/>
    <x v="0"/>
    <x v="41"/>
    <x v="3"/>
    <x v="15"/>
    <s v="2024-10-24"/>
    <x v="3"/>
    <x v="5"/>
    <x v="0"/>
    <n v="855.21"/>
    <s v="15% off"/>
    <m/>
    <x v="0"/>
    <x v="1"/>
    <n v="855.21"/>
    <x v="2"/>
    <n v="3"/>
    <s v="Average"/>
  </r>
  <r>
    <s v="7921cc1e-d1a3-4188-91de-527ce0e6340c"/>
    <x v="21"/>
    <x v="0"/>
    <x v="42"/>
    <x v="4"/>
    <x v="4"/>
    <s v="2024-07-24"/>
    <x v="4"/>
    <x v="2"/>
    <x v="0"/>
    <n v="512.94000000000005"/>
    <s v="10% off"/>
    <m/>
    <x v="0"/>
    <x v="1"/>
    <n v="512.94000000000005"/>
    <x v="3"/>
    <n v="5"/>
    <s v="Excellent"/>
  </r>
  <r>
    <s v="615dd087-6146-4817-a127-95e9d21a205d"/>
    <x v="35"/>
    <x v="0"/>
    <x v="43"/>
    <x v="3"/>
    <x v="19"/>
    <s v="2024-08-09"/>
    <x v="0"/>
    <x v="3"/>
    <x v="0"/>
    <n v="165.68"/>
    <s v="5% off"/>
    <m/>
    <x v="0"/>
    <x v="1"/>
    <n v="165.68"/>
    <x v="0"/>
    <n v="4"/>
    <s v="Good"/>
  </r>
  <r>
    <s v="ed829f4e-24ea-41c0-b1ab-b52f523d596c"/>
    <x v="26"/>
    <x v="0"/>
    <x v="44"/>
    <x v="0"/>
    <x v="7"/>
    <s v="2024-04-06"/>
    <x v="2"/>
    <x v="0"/>
    <x v="0"/>
    <n v="78.349999999999994"/>
    <s v="0% off"/>
    <m/>
    <x v="1"/>
    <x v="1"/>
    <n v="78.349999999999994"/>
    <x v="3"/>
    <n v="1"/>
    <s v="Very Poor"/>
  </r>
  <r>
    <s v="c2d38d86-0849-450e-b20e-7598c76f09f6"/>
    <x v="17"/>
    <x v="1"/>
    <x v="45"/>
    <x v="5"/>
    <x v="16"/>
    <s v="2025-01-01"/>
    <x v="4"/>
    <x v="9"/>
    <x v="1"/>
    <n v="592.26"/>
    <s v="10% off"/>
    <m/>
    <x v="0"/>
    <x v="0"/>
    <n v="592.26"/>
    <x v="2"/>
    <n v="5"/>
    <s v="Excellent"/>
  </r>
  <r>
    <s v="bab8e489-f6e0-4d0e-b77a-a50077b0a0d3"/>
    <x v="26"/>
    <x v="1"/>
    <x v="46"/>
    <x v="1"/>
    <x v="26"/>
    <s v="2025-02-07"/>
    <x v="0"/>
    <x v="8"/>
    <x v="1"/>
    <n v="775.75"/>
    <s v="15% off"/>
    <m/>
    <x v="0"/>
    <x v="0"/>
    <n v="775.75"/>
    <x v="0"/>
    <n v="4"/>
    <s v="Good"/>
  </r>
  <r>
    <s v="fb6c8f06-8709-4f44-8422-42ba9d6d52e4"/>
    <x v="48"/>
    <x v="0"/>
    <x v="47"/>
    <x v="0"/>
    <x v="11"/>
    <s v="2024-11-02"/>
    <x v="2"/>
    <x v="1"/>
    <x v="0"/>
    <n v="116.78"/>
    <s v="0% off"/>
    <m/>
    <x v="1"/>
    <x v="0"/>
    <n v="116.78"/>
    <x v="2"/>
    <n v="5"/>
    <s v="Excellent"/>
  </r>
  <r>
    <s v="eb95fb51-372a-40e1-9329-29720cff644c"/>
    <x v="24"/>
    <x v="1"/>
    <x v="48"/>
    <x v="6"/>
    <x v="13"/>
    <s v="2025-02-15"/>
    <x v="2"/>
    <x v="8"/>
    <x v="1"/>
    <n v="418.55"/>
    <s v="5% off"/>
    <m/>
    <x v="0"/>
    <x v="1"/>
    <n v="418.55"/>
    <x v="0"/>
    <n v="4"/>
    <s v="Good"/>
  </r>
  <r>
    <s v="7f59f2d3-c81a-4e1f-88f1-a6f0722d3d73"/>
    <x v="41"/>
    <x v="1"/>
    <x v="49"/>
    <x v="5"/>
    <x v="16"/>
    <s v="2024-05-16"/>
    <x v="3"/>
    <x v="4"/>
    <x v="0"/>
    <n v="592.26"/>
    <s v="10% off"/>
    <m/>
    <x v="0"/>
    <x v="0"/>
    <n v="592.26"/>
    <x v="2"/>
    <n v="5"/>
    <s v="Excellent"/>
  </r>
  <r>
    <s v="0f246fa4-924e-4bd8-9bde-9edc3b5fd04f"/>
    <x v="52"/>
    <x v="1"/>
    <x v="50"/>
    <x v="4"/>
    <x v="4"/>
    <s v="2024-05-23"/>
    <x v="3"/>
    <x v="4"/>
    <x v="0"/>
    <n v="512.94000000000005"/>
    <s v="10% off"/>
    <m/>
    <x v="0"/>
    <x v="0"/>
    <n v="512.94000000000005"/>
    <x v="1"/>
    <n v="1"/>
    <s v="Very Poor"/>
  </r>
  <r>
    <s v="dba7c9a2-1b9f-43ef-8144-ae9dcd65eda1"/>
    <x v="10"/>
    <x v="0"/>
    <x v="51"/>
    <x v="2"/>
    <x v="24"/>
    <s v="2024-09-27"/>
    <x v="0"/>
    <x v="10"/>
    <x v="0"/>
    <n v="52.44"/>
    <s v="0% off"/>
    <m/>
    <x v="1"/>
    <x v="0"/>
    <n v="52.44"/>
    <x v="2"/>
    <n v="5"/>
    <s v="Excellent"/>
  </r>
  <r>
    <s v="ed2792ee-8d7a-4770-857d-b0f52be6702c"/>
    <x v="12"/>
    <x v="1"/>
    <x v="52"/>
    <x v="5"/>
    <x v="9"/>
    <s v="2024-07-28"/>
    <x v="5"/>
    <x v="2"/>
    <x v="0"/>
    <n v="452.97"/>
    <s v="5% off"/>
    <m/>
    <x v="0"/>
    <x v="0"/>
    <n v="452.97"/>
    <x v="2"/>
    <n v="5"/>
    <s v="Excellent"/>
  </r>
  <r>
    <s v="44f52b01-ae97-4007-bfdf-0e00ba27b339"/>
    <x v="48"/>
    <x v="0"/>
    <x v="53"/>
    <x v="4"/>
    <x v="20"/>
    <s v="2024-07-07"/>
    <x v="5"/>
    <x v="2"/>
    <x v="0"/>
    <n v="260.77999999999997"/>
    <s v="5% off"/>
    <m/>
    <x v="0"/>
    <x v="1"/>
    <n v="260.77999999999997"/>
    <x v="2"/>
    <n v="3"/>
    <s v="Average"/>
  </r>
  <r>
    <s v="34de1dd6-ebde-4ef7-a6b9-72a170758e55"/>
    <x v="24"/>
    <x v="0"/>
    <x v="33"/>
    <x v="3"/>
    <x v="15"/>
    <s v="2024-09-29"/>
    <x v="5"/>
    <x v="10"/>
    <x v="0"/>
    <n v="855.21"/>
    <s v="15% off"/>
    <m/>
    <x v="0"/>
    <x v="1"/>
    <n v="855.21"/>
    <x v="0"/>
    <n v="2"/>
    <s v="Poor"/>
  </r>
  <r>
    <s v="811661ac-531a-48cc-af82-0d67052fff38"/>
    <x v="50"/>
    <x v="1"/>
    <x v="54"/>
    <x v="1"/>
    <x v="25"/>
    <s v="2024-10-23"/>
    <x v="4"/>
    <x v="5"/>
    <x v="0"/>
    <n v="527.16999999999996"/>
    <s v="10% off"/>
    <m/>
    <x v="0"/>
    <x v="1"/>
    <n v="527.16999999999996"/>
    <x v="0"/>
    <n v="2"/>
    <s v="Poor"/>
  </r>
  <r>
    <s v="48e041a8-1076-4b41-aebf-15311624c0f8"/>
    <x v="23"/>
    <x v="0"/>
    <x v="55"/>
    <x v="2"/>
    <x v="27"/>
    <s v="2024-04-20"/>
    <x v="2"/>
    <x v="0"/>
    <x v="0"/>
    <n v="340.04"/>
    <s v="5% off"/>
    <m/>
    <x v="0"/>
    <x v="0"/>
    <n v="340.04"/>
    <x v="2"/>
    <n v="2"/>
    <s v="Poor"/>
  </r>
  <r>
    <s v="d7988ee9-e25f-4a0a-b496-924e934f3749"/>
    <x v="17"/>
    <x v="1"/>
    <x v="56"/>
    <x v="0"/>
    <x v="11"/>
    <s v="2024-10-27"/>
    <x v="5"/>
    <x v="5"/>
    <x v="0"/>
    <n v="116.78"/>
    <s v="0% off"/>
    <m/>
    <x v="1"/>
    <x v="1"/>
    <n v="116.78"/>
    <x v="0"/>
    <n v="4"/>
    <s v="Good"/>
  </r>
  <r>
    <s v="cf95ee77-0cca-4542-9ddc-453e78d0993e"/>
    <x v="27"/>
    <x v="0"/>
    <x v="57"/>
    <x v="2"/>
    <x v="2"/>
    <s v="2024-07-01"/>
    <x v="6"/>
    <x v="2"/>
    <x v="0"/>
    <n v="493.96"/>
    <s v="5% off"/>
    <m/>
    <x v="0"/>
    <x v="1"/>
    <n v="493.96"/>
    <x v="1"/>
    <n v="2"/>
    <s v="Poor"/>
  </r>
  <r>
    <s v="c72888e7-059d-4130-a49f-684a71b0f63f"/>
    <x v="47"/>
    <x v="1"/>
    <x v="58"/>
    <x v="6"/>
    <x v="13"/>
    <s v="2024-10-01"/>
    <x v="1"/>
    <x v="5"/>
    <x v="0"/>
    <n v="418.55"/>
    <s v="5% off"/>
    <m/>
    <x v="0"/>
    <x v="0"/>
    <n v="418.55"/>
    <x v="2"/>
    <n v="1"/>
    <s v="Very Poor"/>
  </r>
  <r>
    <s v="e82a0402-ab88-4f42-bf5b-432bb6e9f512"/>
    <x v="44"/>
    <x v="1"/>
    <x v="59"/>
    <x v="4"/>
    <x v="17"/>
    <s v="2024-11-05"/>
    <x v="1"/>
    <x v="1"/>
    <x v="0"/>
    <n v="315.56"/>
    <s v="5% off"/>
    <m/>
    <x v="0"/>
    <x v="1"/>
    <n v="315.56"/>
    <x v="2"/>
    <n v="1"/>
    <s v="Very Poor"/>
  </r>
  <r>
    <s v="110ff662-c224-45fb-b4a4-798b9ec5ea6d"/>
    <x v="13"/>
    <x v="1"/>
    <x v="60"/>
    <x v="0"/>
    <x v="22"/>
    <s v="2024-04-03"/>
    <x v="4"/>
    <x v="0"/>
    <x v="0"/>
    <n v="485.26"/>
    <s v="5% off"/>
    <m/>
    <x v="0"/>
    <x v="1"/>
    <n v="485.26"/>
    <x v="2"/>
    <n v="3"/>
    <s v="Average"/>
  </r>
  <r>
    <s v="3eda15b1-de23-4523-8a28-a69241a98ab2"/>
    <x v="46"/>
    <x v="0"/>
    <x v="61"/>
    <x v="0"/>
    <x v="11"/>
    <s v="2025-03-15"/>
    <x v="2"/>
    <x v="6"/>
    <x v="1"/>
    <n v="116.78"/>
    <s v="0% off"/>
    <m/>
    <x v="1"/>
    <x v="0"/>
    <n v="116.78"/>
    <x v="2"/>
    <n v="2"/>
    <s v="Poor"/>
  </r>
  <r>
    <s v="61f4d1e8-6470-4697-a3ab-04a425404c1f"/>
    <x v="28"/>
    <x v="1"/>
    <x v="42"/>
    <x v="0"/>
    <x v="7"/>
    <s v="2024-08-20"/>
    <x v="1"/>
    <x v="3"/>
    <x v="0"/>
    <n v="78.349999999999994"/>
    <s v="0% off"/>
    <m/>
    <x v="1"/>
    <x v="0"/>
    <n v="78.349999999999994"/>
    <x v="3"/>
    <n v="1"/>
    <s v="Very Poor"/>
  </r>
  <r>
    <s v="09853af6-18ad-4f58-8ee3-fbd3333cca22"/>
    <x v="3"/>
    <x v="0"/>
    <x v="62"/>
    <x v="5"/>
    <x v="9"/>
    <s v="2024-10-18"/>
    <x v="0"/>
    <x v="5"/>
    <x v="0"/>
    <n v="452.97"/>
    <s v="5% off"/>
    <m/>
    <x v="0"/>
    <x v="0"/>
    <n v="452.97"/>
    <x v="1"/>
    <n v="4"/>
    <s v="Good"/>
  </r>
  <r>
    <s v="502305c2-a849-406e-94dd-526d84fcc7f7"/>
    <x v="9"/>
    <x v="0"/>
    <x v="63"/>
    <x v="2"/>
    <x v="18"/>
    <s v="2024-10-05"/>
    <x v="2"/>
    <x v="5"/>
    <x v="0"/>
    <n v="492.1"/>
    <s v="5% off"/>
    <m/>
    <x v="0"/>
    <x v="1"/>
    <n v="492.1"/>
    <x v="1"/>
    <n v="1"/>
    <s v="Very Poor"/>
  </r>
  <r>
    <s v="e6d3e964-8b10-4ccd-9723-9060cab50d7e"/>
    <x v="14"/>
    <x v="1"/>
    <x v="64"/>
    <x v="5"/>
    <x v="16"/>
    <s v="2024-07-04"/>
    <x v="3"/>
    <x v="2"/>
    <x v="0"/>
    <n v="592.26"/>
    <s v="10% off"/>
    <m/>
    <x v="0"/>
    <x v="1"/>
    <n v="592.26"/>
    <x v="1"/>
    <n v="5"/>
    <s v="Excellent"/>
  </r>
  <r>
    <s v="a3454d20-2ac0-4bc1-bef4-01a109b3b24c"/>
    <x v="30"/>
    <x v="1"/>
    <x v="65"/>
    <x v="5"/>
    <x v="8"/>
    <s v="2024-08-09"/>
    <x v="0"/>
    <x v="3"/>
    <x v="0"/>
    <n v="374.92"/>
    <s v="5% off"/>
    <m/>
    <x v="0"/>
    <x v="0"/>
    <n v="374.92"/>
    <x v="0"/>
    <n v="5"/>
    <s v="Excellent"/>
  </r>
  <r>
    <s v="12ab4780-0cf0-4018-8bf3-1afbcad554de"/>
    <x v="11"/>
    <x v="0"/>
    <x v="66"/>
    <x v="4"/>
    <x v="17"/>
    <s v="2024-06-12"/>
    <x v="4"/>
    <x v="11"/>
    <x v="0"/>
    <n v="315.56"/>
    <s v="5% off"/>
    <m/>
    <x v="0"/>
    <x v="1"/>
    <n v="315.56"/>
    <x v="1"/>
    <n v="3"/>
    <s v="Average"/>
  </r>
  <r>
    <s v="4b901111-cc81-4f2a-8e08-484a94810907"/>
    <x v="50"/>
    <x v="0"/>
    <x v="67"/>
    <x v="5"/>
    <x v="16"/>
    <s v="2024-09-14"/>
    <x v="2"/>
    <x v="10"/>
    <x v="0"/>
    <n v="592.26"/>
    <s v="10% off"/>
    <m/>
    <x v="0"/>
    <x v="1"/>
    <n v="592.26"/>
    <x v="2"/>
    <n v="2"/>
    <s v="Poor"/>
  </r>
  <r>
    <s v="0b714de6-0ea9-4885-a7bb-95fb605cd58b"/>
    <x v="51"/>
    <x v="0"/>
    <x v="68"/>
    <x v="5"/>
    <x v="8"/>
    <s v="2024-11-13"/>
    <x v="4"/>
    <x v="1"/>
    <x v="0"/>
    <n v="374.92"/>
    <s v="5% off"/>
    <m/>
    <x v="0"/>
    <x v="1"/>
    <n v="374.92"/>
    <x v="0"/>
    <n v="2"/>
    <s v="Poor"/>
  </r>
  <r>
    <s v="212e3d48-8cad-4327-9d10-0c23f9eff211"/>
    <x v="48"/>
    <x v="0"/>
    <x v="69"/>
    <x v="1"/>
    <x v="1"/>
    <s v="2024-10-18"/>
    <x v="0"/>
    <x v="5"/>
    <x v="0"/>
    <n v="67.040000000000006"/>
    <s v="0% off"/>
    <m/>
    <x v="1"/>
    <x v="0"/>
    <n v="67.040000000000006"/>
    <x v="1"/>
    <n v="2"/>
    <s v="Poor"/>
  </r>
  <r>
    <s v="320c0ee9-eba9-4eed-8626-2d65d177ff36"/>
    <x v="7"/>
    <x v="1"/>
    <x v="70"/>
    <x v="5"/>
    <x v="16"/>
    <s v="2024-05-12"/>
    <x v="5"/>
    <x v="4"/>
    <x v="0"/>
    <n v="592.26"/>
    <s v="10% off"/>
    <m/>
    <x v="0"/>
    <x v="0"/>
    <n v="592.26"/>
    <x v="1"/>
    <n v="3"/>
    <s v="Average"/>
  </r>
  <r>
    <s v="38ea1c24-b61e-4be0-9622-141738efda0f"/>
    <x v="22"/>
    <x v="0"/>
    <x v="71"/>
    <x v="4"/>
    <x v="17"/>
    <s v="2024-11-07"/>
    <x v="3"/>
    <x v="1"/>
    <x v="0"/>
    <n v="315.56"/>
    <s v="5% off"/>
    <m/>
    <x v="0"/>
    <x v="1"/>
    <n v="315.56"/>
    <x v="3"/>
    <n v="5"/>
    <s v="Excellent"/>
  </r>
  <r>
    <s v="c9c6247b-bdab-4691-8e65-0de76d650141"/>
    <x v="27"/>
    <x v="0"/>
    <x v="72"/>
    <x v="6"/>
    <x v="13"/>
    <s v="2025-01-25"/>
    <x v="2"/>
    <x v="9"/>
    <x v="1"/>
    <n v="418.55"/>
    <s v="5% off"/>
    <m/>
    <x v="0"/>
    <x v="0"/>
    <n v="418.55"/>
    <x v="3"/>
    <n v="4"/>
    <s v="Good"/>
  </r>
  <r>
    <s v="9a119369-b494-4757-9d77-595ed958935a"/>
    <x v="0"/>
    <x v="1"/>
    <x v="73"/>
    <x v="5"/>
    <x v="8"/>
    <s v="2025-02-09"/>
    <x v="5"/>
    <x v="8"/>
    <x v="1"/>
    <n v="374.92"/>
    <s v="5% off"/>
    <m/>
    <x v="0"/>
    <x v="0"/>
    <n v="374.92"/>
    <x v="3"/>
    <n v="5"/>
    <s v="Excellent"/>
  </r>
  <r>
    <s v="69618cd8-c92f-42b2-b077-b71c64b8a37d"/>
    <x v="37"/>
    <x v="0"/>
    <x v="74"/>
    <x v="6"/>
    <x v="10"/>
    <s v="2024-12-01"/>
    <x v="5"/>
    <x v="7"/>
    <x v="0"/>
    <n v="782.29"/>
    <s v="15% off"/>
    <m/>
    <x v="0"/>
    <x v="0"/>
    <n v="782.29"/>
    <x v="0"/>
    <n v="3"/>
    <s v="Average"/>
  </r>
  <r>
    <s v="48469d1b-5d97-441a-9045-c91aac6bf7b1"/>
    <x v="1"/>
    <x v="0"/>
    <x v="75"/>
    <x v="1"/>
    <x v="1"/>
    <s v="2024-08-29"/>
    <x v="3"/>
    <x v="3"/>
    <x v="0"/>
    <n v="67.040000000000006"/>
    <s v="0% off"/>
    <m/>
    <x v="1"/>
    <x v="1"/>
    <n v="67.040000000000006"/>
    <x v="0"/>
    <n v="4"/>
    <s v="Good"/>
  </r>
  <r>
    <s v="79dce005-464d-4fd7-bd08-112dc33cb20f"/>
    <x v="27"/>
    <x v="1"/>
    <x v="76"/>
    <x v="6"/>
    <x v="10"/>
    <s v="2024-09-16"/>
    <x v="6"/>
    <x v="10"/>
    <x v="0"/>
    <n v="782.29"/>
    <s v="15% off"/>
    <m/>
    <x v="0"/>
    <x v="1"/>
    <n v="782.29"/>
    <x v="2"/>
    <n v="2"/>
    <s v="Poor"/>
  </r>
  <r>
    <s v="0aaa07a2-05f7-4cb2-8b6a-1dbe4d66db13"/>
    <x v="43"/>
    <x v="1"/>
    <x v="77"/>
    <x v="1"/>
    <x v="25"/>
    <s v="2024-12-07"/>
    <x v="2"/>
    <x v="7"/>
    <x v="0"/>
    <n v="527.16999999999996"/>
    <s v="10% off"/>
    <m/>
    <x v="0"/>
    <x v="1"/>
    <n v="527.16999999999996"/>
    <x v="2"/>
    <n v="3"/>
    <s v="Average"/>
  </r>
  <r>
    <s v="08d0e29d-1444-4c72-8706-87d1902d5caf"/>
    <x v="10"/>
    <x v="1"/>
    <x v="78"/>
    <x v="4"/>
    <x v="20"/>
    <s v="2024-11-27"/>
    <x v="4"/>
    <x v="1"/>
    <x v="0"/>
    <n v="260.77999999999997"/>
    <s v="5% off"/>
    <m/>
    <x v="0"/>
    <x v="0"/>
    <n v="260.77999999999997"/>
    <x v="2"/>
    <n v="1"/>
    <s v="Very Poor"/>
  </r>
  <r>
    <s v="182bda97-ea97-4a77-b889-6cc4d29f56dd"/>
    <x v="49"/>
    <x v="0"/>
    <x v="79"/>
    <x v="1"/>
    <x v="26"/>
    <s v="2024-05-23"/>
    <x v="3"/>
    <x v="4"/>
    <x v="0"/>
    <n v="775.75"/>
    <s v="15% off"/>
    <m/>
    <x v="0"/>
    <x v="1"/>
    <n v="775.75"/>
    <x v="1"/>
    <n v="1"/>
    <s v="Very Poor"/>
  </r>
  <r>
    <s v="49890e9e-28af-4e85-b5a8-ccdc69a0d837"/>
    <x v="19"/>
    <x v="0"/>
    <x v="80"/>
    <x v="5"/>
    <x v="6"/>
    <s v="2024-12-05"/>
    <x v="3"/>
    <x v="7"/>
    <x v="0"/>
    <n v="76.81"/>
    <s v="0% off"/>
    <m/>
    <x v="1"/>
    <x v="0"/>
    <n v="76.81"/>
    <x v="1"/>
    <n v="2"/>
    <s v="Poor"/>
  </r>
  <r>
    <s v="8ac696ed-d08b-4a4b-83aa-bfcbd1e3845f"/>
    <x v="18"/>
    <x v="1"/>
    <x v="81"/>
    <x v="1"/>
    <x v="26"/>
    <s v="2025-03-10"/>
    <x v="6"/>
    <x v="6"/>
    <x v="1"/>
    <n v="775.75"/>
    <s v="15% off"/>
    <m/>
    <x v="0"/>
    <x v="1"/>
    <n v="775.75"/>
    <x v="2"/>
    <n v="4"/>
    <s v="Good"/>
  </r>
  <r>
    <s v="255c004e-3eff-43da-abb8-1e676fff9d2f"/>
    <x v="0"/>
    <x v="0"/>
    <x v="82"/>
    <x v="3"/>
    <x v="19"/>
    <s v="2025-03-08"/>
    <x v="2"/>
    <x v="6"/>
    <x v="1"/>
    <n v="165.68"/>
    <s v="5% off"/>
    <m/>
    <x v="0"/>
    <x v="1"/>
    <n v="165.68"/>
    <x v="2"/>
    <n v="5"/>
    <s v="Excellent"/>
  </r>
  <r>
    <s v="f3e81aa8-459c-45c5-a724-343ccf6e5dd5"/>
    <x v="44"/>
    <x v="1"/>
    <x v="83"/>
    <x v="3"/>
    <x v="19"/>
    <s v="2024-09-29"/>
    <x v="5"/>
    <x v="10"/>
    <x v="0"/>
    <n v="165.68"/>
    <s v="5% off"/>
    <m/>
    <x v="0"/>
    <x v="1"/>
    <n v="165.68"/>
    <x v="0"/>
    <n v="5"/>
    <s v="Excellent"/>
  </r>
  <r>
    <s v="2441d3be-ed5c-407d-8d89-b77de21d231f"/>
    <x v="42"/>
    <x v="1"/>
    <x v="84"/>
    <x v="2"/>
    <x v="27"/>
    <s v="2024-08-15"/>
    <x v="3"/>
    <x v="3"/>
    <x v="0"/>
    <n v="340.04"/>
    <s v="5% off"/>
    <m/>
    <x v="0"/>
    <x v="1"/>
    <n v="340.04"/>
    <x v="3"/>
    <n v="2"/>
    <s v="Poor"/>
  </r>
  <r>
    <s v="d8855136-a95c-4f30-873e-b6fc2ae46da5"/>
    <x v="47"/>
    <x v="0"/>
    <x v="85"/>
    <x v="3"/>
    <x v="19"/>
    <s v="2025-03-08"/>
    <x v="2"/>
    <x v="6"/>
    <x v="1"/>
    <n v="165.68"/>
    <s v="5% off"/>
    <m/>
    <x v="0"/>
    <x v="0"/>
    <n v="165.68"/>
    <x v="2"/>
    <n v="2"/>
    <s v="Poor"/>
  </r>
  <r>
    <s v="d1ed56bb-4637-4c67-967d-fffbe6632300"/>
    <x v="0"/>
    <x v="1"/>
    <x v="86"/>
    <x v="0"/>
    <x v="22"/>
    <s v="2024-05-20"/>
    <x v="6"/>
    <x v="4"/>
    <x v="0"/>
    <n v="485.26"/>
    <s v="5% off"/>
    <m/>
    <x v="0"/>
    <x v="1"/>
    <n v="485.26"/>
    <x v="2"/>
    <n v="5"/>
    <s v="Excellent"/>
  </r>
  <r>
    <s v="e9d2e3c8-a6f7-44bd-9578-a50e77cbd40f"/>
    <x v="18"/>
    <x v="1"/>
    <x v="87"/>
    <x v="5"/>
    <x v="16"/>
    <s v="2024-10-05"/>
    <x v="2"/>
    <x v="5"/>
    <x v="0"/>
    <n v="592.26"/>
    <s v="10% off"/>
    <m/>
    <x v="0"/>
    <x v="1"/>
    <n v="592.26"/>
    <x v="1"/>
    <n v="1"/>
    <s v="Very Poor"/>
  </r>
  <r>
    <s v="05e7f121-d79b-477e-a51d-4d53f773cdc7"/>
    <x v="20"/>
    <x v="0"/>
    <x v="88"/>
    <x v="3"/>
    <x v="19"/>
    <s v="2025-01-16"/>
    <x v="3"/>
    <x v="9"/>
    <x v="1"/>
    <n v="165.68"/>
    <s v="5% off"/>
    <m/>
    <x v="0"/>
    <x v="0"/>
    <n v="165.68"/>
    <x v="2"/>
    <n v="5"/>
    <s v="Excellent"/>
  </r>
  <r>
    <s v="3372685a-3eec-4344-9868-1fbc012dcde3"/>
    <x v="28"/>
    <x v="1"/>
    <x v="89"/>
    <x v="3"/>
    <x v="19"/>
    <s v="2024-08-22"/>
    <x v="3"/>
    <x v="3"/>
    <x v="0"/>
    <n v="165.68"/>
    <s v="5% off"/>
    <m/>
    <x v="0"/>
    <x v="1"/>
    <n v="165.68"/>
    <x v="3"/>
    <n v="1"/>
    <s v="Very Poor"/>
  </r>
  <r>
    <s v="f052fdbe-3416-462c-bdec-b8ea0eb84a02"/>
    <x v="2"/>
    <x v="0"/>
    <x v="90"/>
    <x v="2"/>
    <x v="27"/>
    <s v="2024-12-01"/>
    <x v="5"/>
    <x v="7"/>
    <x v="0"/>
    <n v="340.04"/>
    <s v="5% off"/>
    <m/>
    <x v="0"/>
    <x v="1"/>
    <n v="340.04"/>
    <x v="0"/>
    <n v="5"/>
    <s v="Excellent"/>
  </r>
  <r>
    <s v="f3ab92ab-45ae-4670-a0f5-d53f3615f560"/>
    <x v="18"/>
    <x v="1"/>
    <x v="91"/>
    <x v="2"/>
    <x v="24"/>
    <s v="2024-05-21"/>
    <x v="1"/>
    <x v="4"/>
    <x v="0"/>
    <n v="52.44"/>
    <s v="0% off"/>
    <m/>
    <x v="1"/>
    <x v="1"/>
    <n v="52.44"/>
    <x v="0"/>
    <n v="1"/>
    <s v="Very Poor"/>
  </r>
  <r>
    <s v="d2f60922-fdff-4c7f-9350-37e1b1f5b524"/>
    <x v="14"/>
    <x v="1"/>
    <x v="92"/>
    <x v="3"/>
    <x v="15"/>
    <s v="2024-05-02"/>
    <x v="3"/>
    <x v="4"/>
    <x v="0"/>
    <n v="855.21"/>
    <s v="15% off"/>
    <m/>
    <x v="0"/>
    <x v="0"/>
    <n v="855.21"/>
    <x v="2"/>
    <n v="3"/>
    <s v="Average"/>
  </r>
  <r>
    <s v="18edf210-2c07-4995-a801-73b3d9042da8"/>
    <x v="41"/>
    <x v="1"/>
    <x v="93"/>
    <x v="0"/>
    <x v="11"/>
    <s v="2025-02-03"/>
    <x v="6"/>
    <x v="8"/>
    <x v="1"/>
    <n v="116.78"/>
    <s v="0% off"/>
    <m/>
    <x v="1"/>
    <x v="1"/>
    <n v="116.78"/>
    <x v="1"/>
    <n v="2"/>
    <s v="Poor"/>
  </r>
  <r>
    <s v="2c5bac1e-73f8-4c6d-9ac6-ca8abc90cf0c"/>
    <x v="22"/>
    <x v="0"/>
    <x v="56"/>
    <x v="5"/>
    <x v="8"/>
    <s v="2024-09-23"/>
    <x v="6"/>
    <x v="10"/>
    <x v="0"/>
    <n v="374.92"/>
    <s v="5% off"/>
    <m/>
    <x v="0"/>
    <x v="1"/>
    <n v="374.92"/>
    <x v="3"/>
    <n v="3"/>
    <s v="Average"/>
  </r>
  <r>
    <s v="b5bbaaed-1ba9-4c05-8c4c-6d7c8c24c9df"/>
    <x v="34"/>
    <x v="0"/>
    <x v="94"/>
    <x v="3"/>
    <x v="19"/>
    <s v="2024-08-29"/>
    <x v="3"/>
    <x v="3"/>
    <x v="0"/>
    <n v="165.68"/>
    <s v="5% off"/>
    <m/>
    <x v="0"/>
    <x v="0"/>
    <n v="165.68"/>
    <x v="0"/>
    <n v="2"/>
    <s v="Poor"/>
  </r>
  <r>
    <s v="e4119631-75d5-4627-8315-2bb3ef028c25"/>
    <x v="41"/>
    <x v="1"/>
    <x v="89"/>
    <x v="3"/>
    <x v="19"/>
    <s v="2024-12-23"/>
    <x v="6"/>
    <x v="7"/>
    <x v="0"/>
    <n v="165.68"/>
    <s v="5% off"/>
    <m/>
    <x v="0"/>
    <x v="1"/>
    <n v="165.68"/>
    <x v="2"/>
    <n v="5"/>
    <s v="Excellent"/>
  </r>
  <r>
    <s v="6d315363-03cb-4896-b664-eb4d66134553"/>
    <x v="2"/>
    <x v="0"/>
    <x v="95"/>
    <x v="5"/>
    <x v="8"/>
    <s v="2024-10-23"/>
    <x v="4"/>
    <x v="5"/>
    <x v="0"/>
    <n v="374.92"/>
    <s v="5% off"/>
    <m/>
    <x v="0"/>
    <x v="0"/>
    <n v="374.92"/>
    <x v="1"/>
    <n v="2"/>
    <s v="Poor"/>
  </r>
  <r>
    <s v="eede46cf-4b69-4fdc-94f1-bdb173e5c827"/>
    <x v="34"/>
    <x v="0"/>
    <x v="96"/>
    <x v="6"/>
    <x v="21"/>
    <s v="2024-10-09"/>
    <x v="4"/>
    <x v="5"/>
    <x v="0"/>
    <n v="461.81"/>
    <s v="5% off"/>
    <m/>
    <x v="0"/>
    <x v="0"/>
    <n v="461.81"/>
    <x v="3"/>
    <n v="2"/>
    <s v="Poor"/>
  </r>
  <r>
    <s v="2d90377f-fd55-4276-bb45-88d14c56d938"/>
    <x v="28"/>
    <x v="1"/>
    <x v="58"/>
    <x v="2"/>
    <x v="27"/>
    <s v="2024-09-09"/>
    <x v="6"/>
    <x v="10"/>
    <x v="0"/>
    <n v="340.04"/>
    <s v="5% off"/>
    <m/>
    <x v="0"/>
    <x v="1"/>
    <n v="340.04"/>
    <x v="2"/>
    <n v="5"/>
    <s v="Excellent"/>
  </r>
  <r>
    <s v="35ecfd96-cd0c-4ea8-b5d7-cfcbde97a46a"/>
    <x v="8"/>
    <x v="1"/>
    <x v="90"/>
    <x v="6"/>
    <x v="14"/>
    <s v="2024-06-24"/>
    <x v="6"/>
    <x v="11"/>
    <x v="0"/>
    <n v="965.09"/>
    <s v="20% off"/>
    <m/>
    <x v="0"/>
    <x v="0"/>
    <n v="965.09"/>
    <x v="3"/>
    <n v="2"/>
    <s v="Poor"/>
  </r>
  <r>
    <s v="172bb0e8-ad37-4b3f-8ba3-ed4f48b84e47"/>
    <x v="50"/>
    <x v="1"/>
    <x v="91"/>
    <x v="1"/>
    <x v="1"/>
    <s v="2024-11-16"/>
    <x v="2"/>
    <x v="1"/>
    <x v="0"/>
    <n v="67.040000000000006"/>
    <s v="0% off"/>
    <m/>
    <x v="1"/>
    <x v="0"/>
    <n v="67.040000000000006"/>
    <x v="2"/>
    <n v="1"/>
    <s v="Very Poor"/>
  </r>
  <r>
    <s v="ae2b24bc-c7db-472a-add5-25c187718b34"/>
    <x v="44"/>
    <x v="0"/>
    <x v="97"/>
    <x v="1"/>
    <x v="25"/>
    <s v="2024-07-09"/>
    <x v="1"/>
    <x v="2"/>
    <x v="0"/>
    <n v="527.16999999999996"/>
    <s v="10% off"/>
    <m/>
    <x v="0"/>
    <x v="1"/>
    <n v="527.16999999999996"/>
    <x v="2"/>
    <n v="5"/>
    <s v="Excellent"/>
  </r>
  <r>
    <s v="a67ac943-1966-4392-afee-e33c5f08d841"/>
    <x v="34"/>
    <x v="0"/>
    <x v="98"/>
    <x v="5"/>
    <x v="16"/>
    <s v="2024-12-12"/>
    <x v="3"/>
    <x v="7"/>
    <x v="0"/>
    <n v="592.26"/>
    <s v="10% off"/>
    <m/>
    <x v="0"/>
    <x v="0"/>
    <n v="592.26"/>
    <x v="0"/>
    <n v="1"/>
    <s v="Very Poor"/>
  </r>
  <r>
    <s v="5de3d5d1-07e4-45f0-b8f8-f894e414c1bd"/>
    <x v="20"/>
    <x v="0"/>
    <x v="99"/>
    <x v="6"/>
    <x v="13"/>
    <s v="2025-01-21"/>
    <x v="1"/>
    <x v="9"/>
    <x v="1"/>
    <n v="418.55"/>
    <s v="5% off"/>
    <m/>
    <x v="0"/>
    <x v="1"/>
    <n v="418.55"/>
    <x v="3"/>
    <n v="3"/>
    <s v="Average"/>
  </r>
  <r>
    <s v="6438c70e-2b0f-4071-a421-8ce8427ee2c3"/>
    <x v="0"/>
    <x v="0"/>
    <x v="100"/>
    <x v="6"/>
    <x v="13"/>
    <s v="2025-01-04"/>
    <x v="2"/>
    <x v="9"/>
    <x v="1"/>
    <n v="418.55"/>
    <s v="5% off"/>
    <m/>
    <x v="0"/>
    <x v="0"/>
    <n v="418.55"/>
    <x v="1"/>
    <n v="3"/>
    <s v="Average"/>
  </r>
  <r>
    <s v="63ecc4ec-3cd6-40c5-a6d7-980d8eb1ae11"/>
    <x v="8"/>
    <x v="1"/>
    <x v="101"/>
    <x v="3"/>
    <x v="15"/>
    <s v="2024-05-07"/>
    <x v="1"/>
    <x v="4"/>
    <x v="0"/>
    <n v="855.21"/>
    <s v="15% off"/>
    <m/>
    <x v="0"/>
    <x v="1"/>
    <n v="855.21"/>
    <x v="1"/>
    <n v="1"/>
    <s v="Very Poor"/>
  </r>
  <r>
    <s v="377a6d8e-882a-40d3-a696-3dda454c8c97"/>
    <x v="7"/>
    <x v="0"/>
    <x v="102"/>
    <x v="1"/>
    <x v="25"/>
    <s v="2025-03-05"/>
    <x v="4"/>
    <x v="6"/>
    <x v="1"/>
    <n v="527.16999999999996"/>
    <s v="10% off"/>
    <m/>
    <x v="0"/>
    <x v="1"/>
    <n v="527.16999999999996"/>
    <x v="1"/>
    <n v="4"/>
    <s v="Good"/>
  </r>
  <r>
    <s v="ecda7396-7850-4eef-bfe7-d78bcd383397"/>
    <x v="29"/>
    <x v="1"/>
    <x v="103"/>
    <x v="0"/>
    <x v="0"/>
    <s v="2024-11-02"/>
    <x v="2"/>
    <x v="1"/>
    <x v="0"/>
    <n v="697.86"/>
    <s v="10% off"/>
    <m/>
    <x v="0"/>
    <x v="0"/>
    <n v="697.86"/>
    <x v="2"/>
    <n v="3"/>
    <s v="Average"/>
  </r>
  <r>
    <s v="9715a7f0-72ac-4b53-8394-42494038ea03"/>
    <x v="10"/>
    <x v="1"/>
    <x v="104"/>
    <x v="3"/>
    <x v="12"/>
    <s v="2024-07-06"/>
    <x v="2"/>
    <x v="2"/>
    <x v="0"/>
    <n v="270.41000000000003"/>
    <s v="5% off"/>
    <m/>
    <x v="0"/>
    <x v="0"/>
    <n v="270.41000000000003"/>
    <x v="2"/>
    <n v="2"/>
    <s v="Poor"/>
  </r>
  <r>
    <s v="9f8ea564-85ca-4610-8445-24a1beb1e46a"/>
    <x v="51"/>
    <x v="0"/>
    <x v="105"/>
    <x v="2"/>
    <x v="27"/>
    <s v="2024-09-10"/>
    <x v="1"/>
    <x v="10"/>
    <x v="0"/>
    <n v="340.04"/>
    <s v="5% off"/>
    <m/>
    <x v="0"/>
    <x v="1"/>
    <n v="340.04"/>
    <x v="2"/>
    <n v="3"/>
    <s v="Average"/>
  </r>
  <r>
    <s v="43bc24f3-5f44-45a3-9cfc-9a16fc187bf9"/>
    <x v="17"/>
    <x v="0"/>
    <x v="106"/>
    <x v="0"/>
    <x v="0"/>
    <s v="2024-07-14"/>
    <x v="5"/>
    <x v="2"/>
    <x v="0"/>
    <n v="697.86"/>
    <s v="10% off"/>
    <m/>
    <x v="0"/>
    <x v="1"/>
    <n v="697.86"/>
    <x v="2"/>
    <n v="4"/>
    <s v="Good"/>
  </r>
  <r>
    <s v="97d9d4bf-9ca1-4eaa-abe4-d3eccc615862"/>
    <x v="17"/>
    <x v="0"/>
    <x v="89"/>
    <x v="4"/>
    <x v="5"/>
    <s v="2024-06-29"/>
    <x v="2"/>
    <x v="11"/>
    <x v="0"/>
    <n v="988.77"/>
    <s v="20% off"/>
    <m/>
    <x v="0"/>
    <x v="1"/>
    <n v="988.77"/>
    <x v="1"/>
    <n v="1"/>
    <s v="Very Poor"/>
  </r>
  <r>
    <s v="ede89753-4180-4e4b-8e84-49553e4d38f1"/>
    <x v="43"/>
    <x v="1"/>
    <x v="107"/>
    <x v="6"/>
    <x v="13"/>
    <s v="2025-02-04"/>
    <x v="1"/>
    <x v="8"/>
    <x v="1"/>
    <n v="418.55"/>
    <s v="5% off"/>
    <m/>
    <x v="0"/>
    <x v="1"/>
    <n v="418.55"/>
    <x v="0"/>
    <n v="3"/>
    <s v="Average"/>
  </r>
  <r>
    <s v="87848f9c-b1f4-48b3-955c-d75662d18566"/>
    <x v="45"/>
    <x v="1"/>
    <x v="108"/>
    <x v="4"/>
    <x v="4"/>
    <s v="2024-09-07"/>
    <x v="2"/>
    <x v="10"/>
    <x v="0"/>
    <n v="512.94000000000005"/>
    <s v="10% off"/>
    <m/>
    <x v="0"/>
    <x v="0"/>
    <n v="512.94000000000005"/>
    <x v="3"/>
    <n v="4"/>
    <s v="Good"/>
  </r>
  <r>
    <s v="d006ad81-e119-41c4-9455-dd80bcb2c031"/>
    <x v="18"/>
    <x v="1"/>
    <x v="109"/>
    <x v="6"/>
    <x v="13"/>
    <s v="2025-02-26"/>
    <x v="4"/>
    <x v="8"/>
    <x v="1"/>
    <n v="418.55"/>
    <s v="5% off"/>
    <m/>
    <x v="0"/>
    <x v="1"/>
    <n v="418.55"/>
    <x v="3"/>
    <n v="4"/>
    <s v="Good"/>
  </r>
  <r>
    <s v="850868e4-a4a4-4585-b701-f0c4c94ad86c"/>
    <x v="2"/>
    <x v="0"/>
    <x v="110"/>
    <x v="0"/>
    <x v="7"/>
    <s v="2024-07-16"/>
    <x v="1"/>
    <x v="2"/>
    <x v="0"/>
    <n v="78.349999999999994"/>
    <s v="0% off"/>
    <m/>
    <x v="1"/>
    <x v="0"/>
    <n v="78.349999999999994"/>
    <x v="1"/>
    <n v="4"/>
    <s v="Good"/>
  </r>
  <r>
    <s v="534e0509-98fc-4452-9579-ffbaac903a08"/>
    <x v="50"/>
    <x v="0"/>
    <x v="111"/>
    <x v="3"/>
    <x v="3"/>
    <s v="2025-01-18"/>
    <x v="2"/>
    <x v="9"/>
    <x v="1"/>
    <n v="211.46"/>
    <s v="5% off"/>
    <m/>
    <x v="0"/>
    <x v="0"/>
    <n v="211.46"/>
    <x v="2"/>
    <n v="4"/>
    <s v="Good"/>
  </r>
  <r>
    <s v="33da1355-d562-4938-8f40-7fe55d648fdc"/>
    <x v="24"/>
    <x v="1"/>
    <x v="59"/>
    <x v="0"/>
    <x v="0"/>
    <s v="2025-01-02"/>
    <x v="3"/>
    <x v="9"/>
    <x v="1"/>
    <n v="697.86"/>
    <s v="10% off"/>
    <m/>
    <x v="0"/>
    <x v="1"/>
    <n v="697.86"/>
    <x v="3"/>
    <n v="2"/>
    <s v="Poor"/>
  </r>
  <r>
    <s v="6a7a3e26-5f61-422d-a351-bf1d0ea27b58"/>
    <x v="49"/>
    <x v="0"/>
    <x v="112"/>
    <x v="4"/>
    <x v="20"/>
    <s v="2024-06-25"/>
    <x v="1"/>
    <x v="11"/>
    <x v="0"/>
    <n v="260.77999999999997"/>
    <s v="5% off"/>
    <m/>
    <x v="0"/>
    <x v="1"/>
    <n v="260.77999999999997"/>
    <x v="1"/>
    <n v="4"/>
    <s v="Good"/>
  </r>
  <r>
    <s v="d60d227c-b610-4e6c-9d59-dbccf041ccc2"/>
    <x v="49"/>
    <x v="1"/>
    <x v="113"/>
    <x v="1"/>
    <x v="25"/>
    <s v="2025-02-27"/>
    <x v="3"/>
    <x v="8"/>
    <x v="1"/>
    <n v="527.16999999999996"/>
    <s v="10% off"/>
    <m/>
    <x v="0"/>
    <x v="1"/>
    <n v="527.16999999999996"/>
    <x v="0"/>
    <n v="3"/>
    <s v="Average"/>
  </r>
  <r>
    <s v="4fded67e-8e5c-4045-b736-67a565ba9f61"/>
    <x v="40"/>
    <x v="0"/>
    <x v="114"/>
    <x v="6"/>
    <x v="21"/>
    <s v="2024-05-07"/>
    <x v="1"/>
    <x v="4"/>
    <x v="0"/>
    <n v="461.81"/>
    <s v="5% off"/>
    <m/>
    <x v="0"/>
    <x v="1"/>
    <n v="461.81"/>
    <x v="3"/>
    <n v="4"/>
    <s v="Good"/>
  </r>
  <r>
    <s v="23b5b111-96d0-4365-bcee-3af9e902a21c"/>
    <x v="15"/>
    <x v="1"/>
    <x v="115"/>
    <x v="1"/>
    <x v="1"/>
    <s v="2024-12-09"/>
    <x v="6"/>
    <x v="7"/>
    <x v="0"/>
    <n v="67.040000000000006"/>
    <s v="0% off"/>
    <m/>
    <x v="1"/>
    <x v="0"/>
    <n v="67.040000000000006"/>
    <x v="3"/>
    <n v="2"/>
    <s v="Poor"/>
  </r>
  <r>
    <s v="b25fb347-5ef9-43ea-8a76-b13cd0abfe2a"/>
    <x v="52"/>
    <x v="0"/>
    <x v="116"/>
    <x v="3"/>
    <x v="15"/>
    <s v="2024-07-14"/>
    <x v="5"/>
    <x v="2"/>
    <x v="0"/>
    <n v="855.21"/>
    <s v="15% off"/>
    <m/>
    <x v="0"/>
    <x v="0"/>
    <n v="855.21"/>
    <x v="0"/>
    <n v="4"/>
    <s v="Good"/>
  </r>
  <r>
    <s v="0dee275a-26f3-4718-ace5-075b6ee14d49"/>
    <x v="5"/>
    <x v="1"/>
    <x v="117"/>
    <x v="3"/>
    <x v="12"/>
    <s v="2024-07-11"/>
    <x v="3"/>
    <x v="2"/>
    <x v="0"/>
    <n v="270.41000000000003"/>
    <s v="5% off"/>
    <m/>
    <x v="0"/>
    <x v="0"/>
    <n v="270.41000000000003"/>
    <x v="3"/>
    <n v="3"/>
    <s v="Average"/>
  </r>
  <r>
    <s v="3f6a663a-ef55-4d21-984a-f7e810367f30"/>
    <x v="25"/>
    <x v="0"/>
    <x v="118"/>
    <x v="1"/>
    <x v="1"/>
    <s v="2024-09-26"/>
    <x v="3"/>
    <x v="10"/>
    <x v="0"/>
    <n v="67.040000000000006"/>
    <s v="0% off"/>
    <m/>
    <x v="1"/>
    <x v="1"/>
    <n v="67.040000000000006"/>
    <x v="0"/>
    <n v="1"/>
    <s v="Very Poor"/>
  </r>
  <r>
    <s v="e9e83fbc-53eb-4484-ba19-9a78a84950bc"/>
    <x v="33"/>
    <x v="1"/>
    <x v="119"/>
    <x v="0"/>
    <x v="0"/>
    <s v="2024-06-13"/>
    <x v="3"/>
    <x v="11"/>
    <x v="0"/>
    <n v="697.86"/>
    <s v="10% off"/>
    <m/>
    <x v="0"/>
    <x v="0"/>
    <n v="697.86"/>
    <x v="0"/>
    <n v="4"/>
    <s v="Good"/>
  </r>
  <r>
    <s v="2784b5d7-33af-4d2f-b553-5275f2d860cf"/>
    <x v="38"/>
    <x v="0"/>
    <x v="120"/>
    <x v="2"/>
    <x v="18"/>
    <s v="2024-04-27"/>
    <x v="2"/>
    <x v="0"/>
    <x v="0"/>
    <n v="492.1"/>
    <s v="5% off"/>
    <m/>
    <x v="0"/>
    <x v="1"/>
    <n v="492.1"/>
    <x v="0"/>
    <n v="3"/>
    <s v="Average"/>
  </r>
  <r>
    <s v="131fe7e4-9ace-4cd6-a224-09d6e854c880"/>
    <x v="29"/>
    <x v="0"/>
    <x v="121"/>
    <x v="6"/>
    <x v="13"/>
    <s v="2024-08-18"/>
    <x v="5"/>
    <x v="3"/>
    <x v="0"/>
    <n v="418.55"/>
    <s v="5% off"/>
    <m/>
    <x v="0"/>
    <x v="0"/>
    <n v="418.55"/>
    <x v="1"/>
    <n v="1"/>
    <s v="Very Poor"/>
  </r>
  <r>
    <s v="d529abe9-37d1-4c31-b311-d8c25d3608d6"/>
    <x v="47"/>
    <x v="1"/>
    <x v="122"/>
    <x v="4"/>
    <x v="17"/>
    <s v="2024-06-14"/>
    <x v="0"/>
    <x v="11"/>
    <x v="0"/>
    <n v="315.56"/>
    <s v="5% off"/>
    <m/>
    <x v="0"/>
    <x v="0"/>
    <n v="315.56"/>
    <x v="0"/>
    <n v="5"/>
    <s v="Excellent"/>
  </r>
  <r>
    <s v="88779ae3-7f08-4225-b342-84e9c2c80577"/>
    <x v="8"/>
    <x v="0"/>
    <x v="123"/>
    <x v="5"/>
    <x v="9"/>
    <s v="2024-11-05"/>
    <x v="1"/>
    <x v="1"/>
    <x v="0"/>
    <n v="452.97"/>
    <s v="5% off"/>
    <m/>
    <x v="0"/>
    <x v="0"/>
    <n v="452.97"/>
    <x v="0"/>
    <n v="2"/>
    <s v="Poor"/>
  </r>
  <r>
    <s v="e37188c4-ee3d-417b-a717-b020f54ddbba"/>
    <x v="24"/>
    <x v="0"/>
    <x v="124"/>
    <x v="2"/>
    <x v="24"/>
    <s v="2024-10-14"/>
    <x v="6"/>
    <x v="5"/>
    <x v="0"/>
    <n v="52.44"/>
    <s v="0% off"/>
    <m/>
    <x v="1"/>
    <x v="1"/>
    <n v="52.44"/>
    <x v="3"/>
    <n v="4"/>
    <s v="Good"/>
  </r>
  <r>
    <s v="f3e64cf7-c4fb-4b8a-a908-f7eb237ca40b"/>
    <x v="41"/>
    <x v="0"/>
    <x v="125"/>
    <x v="1"/>
    <x v="23"/>
    <s v="2024-11-18"/>
    <x v="6"/>
    <x v="1"/>
    <x v="0"/>
    <n v="362.55"/>
    <s v="5% off"/>
    <m/>
    <x v="0"/>
    <x v="1"/>
    <n v="362.55"/>
    <x v="2"/>
    <n v="4"/>
    <s v="Good"/>
  </r>
  <r>
    <s v="9aa8e939-302f-449d-987b-cf1f27b2fe98"/>
    <x v="17"/>
    <x v="1"/>
    <x v="126"/>
    <x v="6"/>
    <x v="13"/>
    <s v="2024-12-23"/>
    <x v="6"/>
    <x v="7"/>
    <x v="0"/>
    <n v="418.55"/>
    <s v="5% off"/>
    <m/>
    <x v="0"/>
    <x v="0"/>
    <n v="418.55"/>
    <x v="0"/>
    <n v="4"/>
    <s v="Good"/>
  </r>
  <r>
    <s v="bf5cab5d-7729-4b59-be6d-3c86ee214289"/>
    <x v="18"/>
    <x v="1"/>
    <x v="127"/>
    <x v="1"/>
    <x v="23"/>
    <s v="2024-07-04"/>
    <x v="3"/>
    <x v="2"/>
    <x v="0"/>
    <n v="362.55"/>
    <s v="5% off"/>
    <m/>
    <x v="0"/>
    <x v="1"/>
    <n v="362.55"/>
    <x v="2"/>
    <n v="4"/>
    <s v="Good"/>
  </r>
  <r>
    <s v="e168d6cf-a0b1-41bb-80c1-0ee172b668ba"/>
    <x v="23"/>
    <x v="0"/>
    <x v="128"/>
    <x v="1"/>
    <x v="23"/>
    <s v="2024-04-14"/>
    <x v="5"/>
    <x v="0"/>
    <x v="0"/>
    <n v="362.55"/>
    <s v="5% off"/>
    <m/>
    <x v="0"/>
    <x v="1"/>
    <n v="362.55"/>
    <x v="1"/>
    <n v="5"/>
    <s v="Excellent"/>
  </r>
  <r>
    <s v="a1007f17-9ac0-4cab-b24f-0c133dec98c6"/>
    <x v="11"/>
    <x v="1"/>
    <x v="129"/>
    <x v="4"/>
    <x v="4"/>
    <s v="2024-09-30"/>
    <x v="6"/>
    <x v="10"/>
    <x v="0"/>
    <n v="512.94000000000005"/>
    <s v="10% off"/>
    <m/>
    <x v="0"/>
    <x v="1"/>
    <n v="512.94000000000005"/>
    <x v="3"/>
    <n v="5"/>
    <s v="Excellent"/>
  </r>
  <r>
    <s v="ad6c137f-640f-4a22-8b0a-9b5c231c2b76"/>
    <x v="29"/>
    <x v="0"/>
    <x v="130"/>
    <x v="4"/>
    <x v="4"/>
    <s v="2024-06-24"/>
    <x v="6"/>
    <x v="11"/>
    <x v="0"/>
    <n v="512.94000000000005"/>
    <s v="10% off"/>
    <m/>
    <x v="0"/>
    <x v="1"/>
    <n v="512.94000000000005"/>
    <x v="3"/>
    <n v="5"/>
    <s v="Excellent"/>
  </r>
  <r>
    <s v="1e765650-a72b-4f69-8739-1f85e4f54c15"/>
    <x v="5"/>
    <x v="0"/>
    <x v="131"/>
    <x v="3"/>
    <x v="15"/>
    <s v="2025-01-10"/>
    <x v="0"/>
    <x v="9"/>
    <x v="1"/>
    <n v="855.21"/>
    <s v="15% off"/>
    <m/>
    <x v="0"/>
    <x v="1"/>
    <n v="855.21"/>
    <x v="0"/>
    <n v="4"/>
    <s v="Good"/>
  </r>
  <r>
    <s v="57b14f0f-f784-449c-b0d1-054aa9b26d64"/>
    <x v="27"/>
    <x v="1"/>
    <x v="132"/>
    <x v="6"/>
    <x v="21"/>
    <s v="2024-10-03"/>
    <x v="3"/>
    <x v="5"/>
    <x v="0"/>
    <n v="461.81"/>
    <s v="5% off"/>
    <m/>
    <x v="0"/>
    <x v="0"/>
    <n v="461.81"/>
    <x v="1"/>
    <n v="2"/>
    <s v="Poor"/>
  </r>
  <r>
    <s v="d480cdbf-ac4d-42e7-82b4-e5e5b5f82fc1"/>
    <x v="6"/>
    <x v="1"/>
    <x v="72"/>
    <x v="1"/>
    <x v="23"/>
    <s v="2024-04-18"/>
    <x v="3"/>
    <x v="0"/>
    <x v="0"/>
    <n v="362.55"/>
    <s v="5% off"/>
    <m/>
    <x v="0"/>
    <x v="1"/>
    <n v="362.55"/>
    <x v="1"/>
    <n v="4"/>
    <s v="Good"/>
  </r>
  <r>
    <s v="9a02321c-bf60-474f-8156-d384ae46472c"/>
    <x v="14"/>
    <x v="1"/>
    <x v="75"/>
    <x v="6"/>
    <x v="13"/>
    <s v="2024-11-23"/>
    <x v="2"/>
    <x v="1"/>
    <x v="0"/>
    <n v="418.55"/>
    <s v="5% off"/>
    <m/>
    <x v="0"/>
    <x v="0"/>
    <n v="418.55"/>
    <x v="1"/>
    <n v="5"/>
    <s v="Excellent"/>
  </r>
  <r>
    <s v="82b64a9d-d4de-4713-8a7f-849fb0d1c03a"/>
    <x v="1"/>
    <x v="0"/>
    <x v="76"/>
    <x v="6"/>
    <x v="10"/>
    <s v="2025-02-10"/>
    <x v="6"/>
    <x v="8"/>
    <x v="1"/>
    <n v="782.29"/>
    <s v="15% off"/>
    <m/>
    <x v="0"/>
    <x v="0"/>
    <n v="782.29"/>
    <x v="0"/>
    <n v="3"/>
    <s v="Average"/>
  </r>
  <r>
    <s v="1ee9e9c7-7b57-4c57-8e8b-f99a177faddd"/>
    <x v="38"/>
    <x v="0"/>
    <x v="133"/>
    <x v="3"/>
    <x v="19"/>
    <s v="2024-11-05"/>
    <x v="1"/>
    <x v="1"/>
    <x v="0"/>
    <n v="165.68"/>
    <s v="5% off"/>
    <m/>
    <x v="0"/>
    <x v="0"/>
    <n v="165.68"/>
    <x v="1"/>
    <n v="4"/>
    <s v="Good"/>
  </r>
  <r>
    <s v="80b6987f-03f0-4296-ba23-0f2a3b823df9"/>
    <x v="7"/>
    <x v="1"/>
    <x v="134"/>
    <x v="0"/>
    <x v="22"/>
    <s v="2025-01-08"/>
    <x v="4"/>
    <x v="9"/>
    <x v="1"/>
    <n v="485.26"/>
    <s v="5% off"/>
    <m/>
    <x v="0"/>
    <x v="0"/>
    <n v="485.26"/>
    <x v="0"/>
    <n v="2"/>
    <s v="Poor"/>
  </r>
  <r>
    <s v="8e126fba-dd31-4e9c-a8ee-7ccbf091e1a5"/>
    <x v="2"/>
    <x v="0"/>
    <x v="135"/>
    <x v="1"/>
    <x v="26"/>
    <s v="2024-12-20"/>
    <x v="0"/>
    <x v="7"/>
    <x v="0"/>
    <n v="775.75"/>
    <s v="15% off"/>
    <m/>
    <x v="0"/>
    <x v="1"/>
    <n v="775.75"/>
    <x v="1"/>
    <n v="4"/>
    <s v="Good"/>
  </r>
  <r>
    <s v="8f0a092f-70a5-434b-9acf-f0b81934133d"/>
    <x v="19"/>
    <x v="0"/>
    <x v="136"/>
    <x v="1"/>
    <x v="23"/>
    <s v="2024-03-29"/>
    <x v="0"/>
    <x v="6"/>
    <x v="0"/>
    <n v="362.55"/>
    <s v="5% off"/>
    <m/>
    <x v="0"/>
    <x v="1"/>
    <n v="362.55"/>
    <x v="2"/>
    <n v="4"/>
    <s v="Good"/>
  </r>
  <r>
    <s v="b0a3b4cc-b8d3-4e7e-b418-8e614abb4c9b"/>
    <x v="39"/>
    <x v="1"/>
    <x v="137"/>
    <x v="0"/>
    <x v="0"/>
    <s v="2024-12-26"/>
    <x v="3"/>
    <x v="7"/>
    <x v="0"/>
    <n v="697.86"/>
    <s v="10% off"/>
    <m/>
    <x v="0"/>
    <x v="1"/>
    <n v="697.86"/>
    <x v="3"/>
    <n v="5"/>
    <s v="Excellent"/>
  </r>
  <r>
    <s v="57805f8e-7d38-476e-b5cc-98a9a6ef64c0"/>
    <x v="19"/>
    <x v="1"/>
    <x v="0"/>
    <x v="0"/>
    <x v="22"/>
    <s v="2024-04-09"/>
    <x v="1"/>
    <x v="0"/>
    <x v="0"/>
    <n v="485.26"/>
    <s v="5% off"/>
    <m/>
    <x v="0"/>
    <x v="0"/>
    <n v="485.26"/>
    <x v="1"/>
    <n v="1"/>
    <s v="Very Poor"/>
  </r>
  <r>
    <s v="4ed5968e-1693-44fa-bf21-a71ab6458efc"/>
    <x v="38"/>
    <x v="0"/>
    <x v="1"/>
    <x v="5"/>
    <x v="8"/>
    <s v="2024-09-17"/>
    <x v="1"/>
    <x v="10"/>
    <x v="0"/>
    <n v="374.92"/>
    <s v="5% off"/>
    <m/>
    <x v="0"/>
    <x v="1"/>
    <n v="374.92"/>
    <x v="0"/>
    <n v="1"/>
    <s v="Very Poor"/>
  </r>
  <r>
    <s v="bcac98ba-61b2-498d-8a2e-04e7bef3b36f"/>
    <x v="23"/>
    <x v="0"/>
    <x v="2"/>
    <x v="0"/>
    <x v="22"/>
    <s v="2024-05-09"/>
    <x v="3"/>
    <x v="4"/>
    <x v="0"/>
    <n v="485.26"/>
    <s v="5% off"/>
    <m/>
    <x v="0"/>
    <x v="0"/>
    <n v="485.26"/>
    <x v="3"/>
    <n v="3"/>
    <s v="Average"/>
  </r>
  <r>
    <s v="19a97a0b-f891-4b70-980a-129312d7d159"/>
    <x v="30"/>
    <x v="0"/>
    <x v="3"/>
    <x v="3"/>
    <x v="12"/>
    <s v="2025-01-13"/>
    <x v="6"/>
    <x v="9"/>
    <x v="1"/>
    <n v="270.41000000000003"/>
    <s v="5% off"/>
    <m/>
    <x v="0"/>
    <x v="0"/>
    <n v="270.41000000000003"/>
    <x v="1"/>
    <n v="4"/>
    <s v="Good"/>
  </r>
  <r>
    <s v="c1e338b2-dbb5-46e5-8de4-4e022daaaa99"/>
    <x v="28"/>
    <x v="1"/>
    <x v="4"/>
    <x v="2"/>
    <x v="27"/>
    <s v="2024-11-24"/>
    <x v="5"/>
    <x v="1"/>
    <x v="0"/>
    <n v="340.04"/>
    <s v="5% off"/>
    <m/>
    <x v="0"/>
    <x v="1"/>
    <n v="340.04"/>
    <x v="3"/>
    <n v="4"/>
    <s v="Good"/>
  </r>
  <r>
    <s v="9ddee744-09fd-446f-81d8-996b49480a04"/>
    <x v="32"/>
    <x v="1"/>
    <x v="5"/>
    <x v="5"/>
    <x v="6"/>
    <s v="2024-04-28"/>
    <x v="5"/>
    <x v="0"/>
    <x v="0"/>
    <n v="76.81"/>
    <s v="0% off"/>
    <m/>
    <x v="1"/>
    <x v="1"/>
    <n v="76.81"/>
    <x v="1"/>
    <n v="2"/>
    <s v="Poor"/>
  </r>
  <r>
    <s v="2ec69202-5e0e-4d7c-8b44-8b5b1867932a"/>
    <x v="33"/>
    <x v="1"/>
    <x v="6"/>
    <x v="2"/>
    <x v="2"/>
    <s v="2024-11-21"/>
    <x v="3"/>
    <x v="1"/>
    <x v="0"/>
    <n v="493.96"/>
    <s v="5% off"/>
    <m/>
    <x v="0"/>
    <x v="0"/>
    <n v="493.96"/>
    <x v="0"/>
    <n v="5"/>
    <s v="Excellent"/>
  </r>
  <r>
    <s v="47681490-dc40-46d2-b81c-3d78e5009045"/>
    <x v="29"/>
    <x v="1"/>
    <x v="7"/>
    <x v="2"/>
    <x v="24"/>
    <s v="2025-03-20"/>
    <x v="3"/>
    <x v="6"/>
    <x v="1"/>
    <n v="52.44"/>
    <s v="0% off"/>
    <m/>
    <x v="1"/>
    <x v="1"/>
    <n v="52.44"/>
    <x v="0"/>
    <n v="4"/>
    <s v="Good"/>
  </r>
  <r>
    <s v="e61be2e8-60ae-4337-8085-c86ca4309273"/>
    <x v="12"/>
    <x v="0"/>
    <x v="8"/>
    <x v="1"/>
    <x v="23"/>
    <s v="2024-06-05"/>
    <x v="4"/>
    <x v="11"/>
    <x v="0"/>
    <n v="362.55"/>
    <s v="5% off"/>
    <m/>
    <x v="0"/>
    <x v="1"/>
    <n v="362.55"/>
    <x v="3"/>
    <n v="5"/>
    <s v="Excellent"/>
  </r>
  <r>
    <s v="59529f25-2323-4b0c-bff2-1527cf8faf04"/>
    <x v="23"/>
    <x v="0"/>
    <x v="9"/>
    <x v="0"/>
    <x v="22"/>
    <s v="2024-04-07"/>
    <x v="5"/>
    <x v="0"/>
    <x v="0"/>
    <n v="485.26"/>
    <s v="5% off"/>
    <m/>
    <x v="0"/>
    <x v="1"/>
    <n v="485.26"/>
    <x v="0"/>
    <n v="1"/>
    <s v="Very Poor"/>
  </r>
  <r>
    <s v="cc07fcd5-e7c2-4c49-a8b1-be11651b1957"/>
    <x v="27"/>
    <x v="1"/>
    <x v="10"/>
    <x v="4"/>
    <x v="4"/>
    <s v="2024-09-28"/>
    <x v="2"/>
    <x v="10"/>
    <x v="0"/>
    <n v="512.94000000000005"/>
    <s v="10% off"/>
    <m/>
    <x v="0"/>
    <x v="0"/>
    <n v="512.94000000000005"/>
    <x v="0"/>
    <n v="1"/>
    <s v="Very Poor"/>
  </r>
  <r>
    <s v="322cfae5-70b7-4f61-9932-115504efff3b"/>
    <x v="28"/>
    <x v="0"/>
    <x v="11"/>
    <x v="4"/>
    <x v="17"/>
    <s v="2025-03-27"/>
    <x v="3"/>
    <x v="6"/>
    <x v="1"/>
    <n v="315.56"/>
    <s v="5% off"/>
    <m/>
    <x v="0"/>
    <x v="0"/>
    <n v="315.56"/>
    <x v="0"/>
    <n v="4"/>
    <s v="Good"/>
  </r>
  <r>
    <s v="b3b32225-0bca-4ef3-9cde-b9aa56516596"/>
    <x v="27"/>
    <x v="0"/>
    <x v="12"/>
    <x v="0"/>
    <x v="11"/>
    <s v="2024-07-08"/>
    <x v="6"/>
    <x v="2"/>
    <x v="0"/>
    <n v="116.78"/>
    <s v="0% off"/>
    <m/>
    <x v="1"/>
    <x v="0"/>
    <n v="116.78"/>
    <x v="3"/>
    <n v="5"/>
    <s v="Excellent"/>
  </r>
  <r>
    <s v="994a69fc-6a00-4d5a-96fb-c441c3ced3b1"/>
    <x v="24"/>
    <x v="0"/>
    <x v="13"/>
    <x v="2"/>
    <x v="2"/>
    <s v="2025-01-18"/>
    <x v="2"/>
    <x v="9"/>
    <x v="1"/>
    <n v="493.96"/>
    <s v="5% off"/>
    <m/>
    <x v="0"/>
    <x v="1"/>
    <n v="493.96"/>
    <x v="0"/>
    <n v="2"/>
    <s v="Poor"/>
  </r>
  <r>
    <s v="40bee019-e784-4217-a9dd-d8585195abfa"/>
    <x v="20"/>
    <x v="0"/>
    <x v="14"/>
    <x v="5"/>
    <x v="8"/>
    <s v="2024-07-01"/>
    <x v="6"/>
    <x v="2"/>
    <x v="0"/>
    <n v="374.92"/>
    <s v="5% off"/>
    <m/>
    <x v="0"/>
    <x v="1"/>
    <n v="374.92"/>
    <x v="0"/>
    <n v="3"/>
    <s v="Average"/>
  </r>
  <r>
    <s v="fe26ff4d-e3a7-44c5-9002-5db03180e8c3"/>
    <x v="47"/>
    <x v="1"/>
    <x v="15"/>
    <x v="0"/>
    <x v="22"/>
    <s v="2024-07-31"/>
    <x v="4"/>
    <x v="2"/>
    <x v="0"/>
    <n v="485.26"/>
    <s v="5% off"/>
    <m/>
    <x v="0"/>
    <x v="0"/>
    <n v="485.26"/>
    <x v="1"/>
    <n v="5"/>
    <s v="Excellent"/>
  </r>
  <r>
    <s v="f3efe597-a0dc-4fd0-a351-713e83650a84"/>
    <x v="9"/>
    <x v="0"/>
    <x v="16"/>
    <x v="5"/>
    <x v="16"/>
    <s v="2024-12-24"/>
    <x v="1"/>
    <x v="7"/>
    <x v="0"/>
    <n v="592.26"/>
    <s v="10% off"/>
    <m/>
    <x v="0"/>
    <x v="0"/>
    <n v="592.26"/>
    <x v="3"/>
    <n v="2"/>
    <s v="Poor"/>
  </r>
  <r>
    <s v="dfcbba17-ae5f-42a5-a797-273629d078bf"/>
    <x v="33"/>
    <x v="1"/>
    <x v="17"/>
    <x v="5"/>
    <x v="16"/>
    <s v="2025-03-09"/>
    <x v="5"/>
    <x v="6"/>
    <x v="1"/>
    <n v="592.26"/>
    <s v="10% off"/>
    <m/>
    <x v="0"/>
    <x v="1"/>
    <n v="592.26"/>
    <x v="3"/>
    <n v="4"/>
    <s v="Good"/>
  </r>
  <r>
    <s v="5b274c6c-1d0a-4518-8217-53d77b22d17a"/>
    <x v="8"/>
    <x v="1"/>
    <x v="18"/>
    <x v="0"/>
    <x v="11"/>
    <s v="2024-10-09"/>
    <x v="4"/>
    <x v="5"/>
    <x v="0"/>
    <n v="116.78"/>
    <s v="0% off"/>
    <m/>
    <x v="1"/>
    <x v="1"/>
    <n v="116.78"/>
    <x v="3"/>
    <n v="5"/>
    <s v="Excellent"/>
  </r>
  <r>
    <s v="758e35a0-f042-4e97-9a20-5cac50fe814f"/>
    <x v="43"/>
    <x v="1"/>
    <x v="19"/>
    <x v="4"/>
    <x v="20"/>
    <s v="2024-06-15"/>
    <x v="2"/>
    <x v="11"/>
    <x v="0"/>
    <n v="260.77999999999997"/>
    <s v="5% off"/>
    <m/>
    <x v="0"/>
    <x v="1"/>
    <n v="260.77999999999997"/>
    <x v="1"/>
    <n v="5"/>
    <s v="Excellent"/>
  </r>
  <r>
    <s v="93ee429f-b987-4c9f-9297-ea99ea7fd01b"/>
    <x v="27"/>
    <x v="1"/>
    <x v="20"/>
    <x v="3"/>
    <x v="12"/>
    <s v="2025-01-05"/>
    <x v="5"/>
    <x v="9"/>
    <x v="1"/>
    <n v="270.41000000000003"/>
    <s v="5% off"/>
    <m/>
    <x v="0"/>
    <x v="1"/>
    <n v="270.41000000000003"/>
    <x v="2"/>
    <n v="5"/>
    <s v="Excellent"/>
  </r>
  <r>
    <s v="7c50e876-840a-4a17-8bdc-30427ec9020c"/>
    <x v="12"/>
    <x v="0"/>
    <x v="21"/>
    <x v="5"/>
    <x v="9"/>
    <s v="2024-12-12"/>
    <x v="3"/>
    <x v="7"/>
    <x v="0"/>
    <n v="452.97"/>
    <s v="5% off"/>
    <m/>
    <x v="0"/>
    <x v="1"/>
    <n v="452.97"/>
    <x v="0"/>
    <n v="3"/>
    <s v="Average"/>
  </r>
  <r>
    <s v="d491e063-2fb6-47c0-8ec5-d05a96d340ed"/>
    <x v="51"/>
    <x v="1"/>
    <x v="22"/>
    <x v="1"/>
    <x v="25"/>
    <s v="2024-11-06"/>
    <x v="4"/>
    <x v="1"/>
    <x v="0"/>
    <n v="527.16999999999996"/>
    <s v="10% off"/>
    <m/>
    <x v="0"/>
    <x v="0"/>
    <n v="527.16999999999996"/>
    <x v="3"/>
    <n v="1"/>
    <s v="Very Poor"/>
  </r>
  <r>
    <s v="d1aac396-f802-478e-a467-c370f6f83567"/>
    <x v="32"/>
    <x v="0"/>
    <x v="23"/>
    <x v="4"/>
    <x v="5"/>
    <s v="2024-10-07"/>
    <x v="6"/>
    <x v="5"/>
    <x v="0"/>
    <n v="988.77"/>
    <s v="20% off"/>
    <m/>
    <x v="0"/>
    <x v="1"/>
    <n v="988.77"/>
    <x v="1"/>
    <n v="1"/>
    <s v="Very Poor"/>
  </r>
  <r>
    <s v="32bdd78f-710a-4af5-94b6-4be2a4e27d78"/>
    <x v="0"/>
    <x v="0"/>
    <x v="24"/>
    <x v="6"/>
    <x v="13"/>
    <s v="2025-01-02"/>
    <x v="3"/>
    <x v="9"/>
    <x v="1"/>
    <n v="418.55"/>
    <s v="5% off"/>
    <m/>
    <x v="0"/>
    <x v="0"/>
    <n v="418.55"/>
    <x v="2"/>
    <n v="2"/>
    <s v="Poor"/>
  </r>
  <r>
    <s v="7135f892-a199-4882-801d-8cc03fd868e2"/>
    <x v="35"/>
    <x v="1"/>
    <x v="25"/>
    <x v="6"/>
    <x v="10"/>
    <s v="2024-09-21"/>
    <x v="2"/>
    <x v="10"/>
    <x v="0"/>
    <n v="782.29"/>
    <s v="15% off"/>
    <m/>
    <x v="0"/>
    <x v="0"/>
    <n v="782.29"/>
    <x v="2"/>
    <n v="3"/>
    <s v="Average"/>
  </r>
  <r>
    <s v="bf722536-66cc-4176-bbd7-c10140764eb0"/>
    <x v="36"/>
    <x v="1"/>
    <x v="26"/>
    <x v="5"/>
    <x v="9"/>
    <s v="2024-07-24"/>
    <x v="4"/>
    <x v="2"/>
    <x v="0"/>
    <n v="452.97"/>
    <s v="5% off"/>
    <m/>
    <x v="0"/>
    <x v="0"/>
    <n v="452.97"/>
    <x v="0"/>
    <n v="1"/>
    <s v="Very Poor"/>
  </r>
  <r>
    <s v="03d86218-9936-4329-9b78-d7bfe0cbf021"/>
    <x v="11"/>
    <x v="1"/>
    <x v="27"/>
    <x v="6"/>
    <x v="13"/>
    <s v="2024-11-15"/>
    <x v="0"/>
    <x v="1"/>
    <x v="0"/>
    <n v="418.55"/>
    <s v="5% off"/>
    <m/>
    <x v="0"/>
    <x v="1"/>
    <n v="418.55"/>
    <x v="0"/>
    <n v="3"/>
    <s v="Average"/>
  </r>
  <r>
    <s v="2783ded0-2d7d-40f1-b058-227506842b51"/>
    <x v="20"/>
    <x v="0"/>
    <x v="28"/>
    <x v="2"/>
    <x v="27"/>
    <s v="2024-10-25"/>
    <x v="0"/>
    <x v="5"/>
    <x v="0"/>
    <n v="340.04"/>
    <s v="5% off"/>
    <m/>
    <x v="0"/>
    <x v="1"/>
    <n v="340.04"/>
    <x v="0"/>
    <n v="1"/>
    <s v="Very Poor"/>
  </r>
  <r>
    <s v="8d36c86a-18d6-48c3-bacc-cf6b376a9af9"/>
    <x v="45"/>
    <x v="0"/>
    <x v="29"/>
    <x v="4"/>
    <x v="4"/>
    <s v="2024-11-01"/>
    <x v="0"/>
    <x v="1"/>
    <x v="0"/>
    <n v="512.94000000000005"/>
    <s v="10% off"/>
    <m/>
    <x v="0"/>
    <x v="0"/>
    <n v="512.94000000000005"/>
    <x v="3"/>
    <n v="4"/>
    <s v="Good"/>
  </r>
  <r>
    <s v="1dc40986-ac97-4976-808b-beac05f1e502"/>
    <x v="45"/>
    <x v="1"/>
    <x v="30"/>
    <x v="1"/>
    <x v="23"/>
    <s v="2024-06-29"/>
    <x v="2"/>
    <x v="11"/>
    <x v="0"/>
    <n v="362.55"/>
    <s v="5% off"/>
    <m/>
    <x v="0"/>
    <x v="0"/>
    <n v="362.55"/>
    <x v="0"/>
    <n v="2"/>
    <s v="Poor"/>
  </r>
  <r>
    <s v="38e26e93-ef2f-4e78-a52b-e04efd7e4849"/>
    <x v="1"/>
    <x v="1"/>
    <x v="31"/>
    <x v="4"/>
    <x v="5"/>
    <s v="2024-12-25"/>
    <x v="4"/>
    <x v="7"/>
    <x v="0"/>
    <n v="988.77"/>
    <s v="20% off"/>
    <m/>
    <x v="0"/>
    <x v="0"/>
    <n v="988.77"/>
    <x v="2"/>
    <n v="4"/>
    <s v="Good"/>
  </r>
  <r>
    <s v="c4120cdb-dcc8-491a-83d6-689654bf00c4"/>
    <x v="40"/>
    <x v="1"/>
    <x v="32"/>
    <x v="1"/>
    <x v="25"/>
    <s v="2025-01-24"/>
    <x v="0"/>
    <x v="9"/>
    <x v="1"/>
    <n v="527.16999999999996"/>
    <s v="10% off"/>
    <m/>
    <x v="0"/>
    <x v="0"/>
    <n v="527.16999999999996"/>
    <x v="3"/>
    <n v="4"/>
    <s v="Good"/>
  </r>
  <r>
    <s v="d3a050ab-f997-4325-9dc6-a1b531fe13c2"/>
    <x v="25"/>
    <x v="1"/>
    <x v="33"/>
    <x v="6"/>
    <x v="13"/>
    <s v="2024-11-25"/>
    <x v="6"/>
    <x v="1"/>
    <x v="0"/>
    <n v="418.55"/>
    <s v="5% off"/>
    <m/>
    <x v="0"/>
    <x v="0"/>
    <n v="418.55"/>
    <x v="3"/>
    <n v="1"/>
    <s v="Very Poor"/>
  </r>
  <r>
    <s v="9693c420-5b97-41de-bbd3-4f49a6116c35"/>
    <x v="17"/>
    <x v="0"/>
    <x v="34"/>
    <x v="2"/>
    <x v="27"/>
    <s v="2024-06-15"/>
    <x v="2"/>
    <x v="11"/>
    <x v="0"/>
    <n v="340.04"/>
    <s v="5% off"/>
    <m/>
    <x v="0"/>
    <x v="0"/>
    <n v="340.04"/>
    <x v="0"/>
    <n v="2"/>
    <s v="Poor"/>
  </r>
  <r>
    <s v="481cdb66-e272-4704-80a3-fc54b76e0d07"/>
    <x v="13"/>
    <x v="0"/>
    <x v="35"/>
    <x v="0"/>
    <x v="22"/>
    <s v="2024-08-19"/>
    <x v="6"/>
    <x v="3"/>
    <x v="0"/>
    <n v="485.26"/>
    <s v="5% off"/>
    <m/>
    <x v="0"/>
    <x v="1"/>
    <n v="485.26"/>
    <x v="3"/>
    <n v="5"/>
    <s v="Excellent"/>
  </r>
  <r>
    <s v="8ef2fd22-a6af-4517-845d-0396eb29480b"/>
    <x v="43"/>
    <x v="0"/>
    <x v="36"/>
    <x v="2"/>
    <x v="27"/>
    <s v="2025-02-28"/>
    <x v="0"/>
    <x v="8"/>
    <x v="1"/>
    <n v="340.04"/>
    <s v="5% off"/>
    <m/>
    <x v="0"/>
    <x v="1"/>
    <n v="340.04"/>
    <x v="2"/>
    <n v="1"/>
    <s v="Very Poor"/>
  </r>
  <r>
    <s v="caf16aee-341b-4bb1-b934-55d330c9aa24"/>
    <x v="4"/>
    <x v="0"/>
    <x v="37"/>
    <x v="4"/>
    <x v="5"/>
    <s v="2024-06-15"/>
    <x v="2"/>
    <x v="11"/>
    <x v="0"/>
    <n v="988.77"/>
    <s v="20% off"/>
    <m/>
    <x v="0"/>
    <x v="0"/>
    <n v="988.77"/>
    <x v="2"/>
    <n v="3"/>
    <s v="Average"/>
  </r>
  <r>
    <s v="b7e1eeb6-c17b-42ae-bd61-e62bfbccf96e"/>
    <x v="11"/>
    <x v="1"/>
    <x v="38"/>
    <x v="5"/>
    <x v="8"/>
    <s v="2024-10-02"/>
    <x v="4"/>
    <x v="5"/>
    <x v="0"/>
    <n v="374.92"/>
    <s v="5% off"/>
    <m/>
    <x v="0"/>
    <x v="0"/>
    <n v="374.92"/>
    <x v="0"/>
    <n v="4"/>
    <s v="Good"/>
  </r>
  <r>
    <s v="996a9904-d6ba-4c7f-82d5-62b6703a4ae4"/>
    <x v="52"/>
    <x v="0"/>
    <x v="39"/>
    <x v="1"/>
    <x v="26"/>
    <s v="2025-01-05"/>
    <x v="5"/>
    <x v="9"/>
    <x v="1"/>
    <n v="775.75"/>
    <s v="15% off"/>
    <m/>
    <x v="0"/>
    <x v="1"/>
    <n v="775.75"/>
    <x v="1"/>
    <n v="1"/>
    <s v="Very Poor"/>
  </r>
  <r>
    <s v="f372bc12-c70f-4444-bdda-c9c880224e76"/>
    <x v="25"/>
    <x v="0"/>
    <x v="40"/>
    <x v="1"/>
    <x v="23"/>
    <s v="2025-03-10"/>
    <x v="6"/>
    <x v="6"/>
    <x v="1"/>
    <n v="362.55"/>
    <s v="5% off"/>
    <m/>
    <x v="0"/>
    <x v="0"/>
    <n v="362.55"/>
    <x v="2"/>
    <n v="3"/>
    <s v="Average"/>
  </r>
  <r>
    <s v="91a43278-b6ab-4922-9856-b0dcfd595b15"/>
    <x v="46"/>
    <x v="1"/>
    <x v="41"/>
    <x v="5"/>
    <x v="16"/>
    <s v="2024-07-12"/>
    <x v="0"/>
    <x v="2"/>
    <x v="0"/>
    <n v="592.26"/>
    <s v="10% off"/>
    <m/>
    <x v="0"/>
    <x v="1"/>
    <n v="592.26"/>
    <x v="2"/>
    <n v="1"/>
    <s v="Very Poor"/>
  </r>
  <r>
    <s v="51f338a6-227c-4888-932b-64b463d7a3bc"/>
    <x v="35"/>
    <x v="1"/>
    <x v="42"/>
    <x v="1"/>
    <x v="1"/>
    <s v="2024-09-19"/>
    <x v="3"/>
    <x v="10"/>
    <x v="0"/>
    <n v="67.040000000000006"/>
    <s v="0% off"/>
    <m/>
    <x v="1"/>
    <x v="0"/>
    <n v="67.040000000000006"/>
    <x v="3"/>
    <n v="2"/>
    <s v="Poor"/>
  </r>
  <r>
    <s v="93214b4a-728b-4999-8cb1-11f0a8980f4b"/>
    <x v="12"/>
    <x v="1"/>
    <x v="43"/>
    <x v="4"/>
    <x v="20"/>
    <s v="2025-01-12"/>
    <x v="5"/>
    <x v="9"/>
    <x v="1"/>
    <n v="260.77999999999997"/>
    <s v="5% off"/>
    <m/>
    <x v="0"/>
    <x v="0"/>
    <n v="260.77999999999997"/>
    <x v="2"/>
    <n v="4"/>
    <s v="Good"/>
  </r>
  <r>
    <s v="3268bf95-017b-4d7a-8cd0-8df7f8724e59"/>
    <x v="14"/>
    <x v="1"/>
    <x v="44"/>
    <x v="1"/>
    <x v="23"/>
    <s v="2024-05-25"/>
    <x v="2"/>
    <x v="4"/>
    <x v="0"/>
    <n v="362.55"/>
    <s v="5% off"/>
    <m/>
    <x v="0"/>
    <x v="1"/>
    <n v="362.55"/>
    <x v="0"/>
    <n v="4"/>
    <s v="Good"/>
  </r>
  <r>
    <s v="ba204917-5495-4d87-bc40-ece6ca721df7"/>
    <x v="17"/>
    <x v="0"/>
    <x v="45"/>
    <x v="1"/>
    <x v="1"/>
    <s v="2024-10-14"/>
    <x v="6"/>
    <x v="5"/>
    <x v="0"/>
    <n v="67.040000000000006"/>
    <s v="0% off"/>
    <m/>
    <x v="1"/>
    <x v="0"/>
    <n v="67.040000000000006"/>
    <x v="3"/>
    <n v="3"/>
    <s v="Average"/>
  </r>
  <r>
    <s v="58a7d456-9734-4620-b2c6-95b3f69805b9"/>
    <x v="31"/>
    <x v="1"/>
    <x v="46"/>
    <x v="3"/>
    <x v="19"/>
    <s v="2024-12-14"/>
    <x v="2"/>
    <x v="7"/>
    <x v="0"/>
    <n v="165.68"/>
    <s v="5% off"/>
    <m/>
    <x v="0"/>
    <x v="1"/>
    <n v="165.68"/>
    <x v="3"/>
    <n v="4"/>
    <s v="Good"/>
  </r>
  <r>
    <s v="c3276e01-ee33-45d2-b4b1-a88554f48a51"/>
    <x v="0"/>
    <x v="0"/>
    <x v="47"/>
    <x v="2"/>
    <x v="27"/>
    <s v="2024-04-09"/>
    <x v="1"/>
    <x v="0"/>
    <x v="0"/>
    <n v="340.04"/>
    <s v="5% off"/>
    <m/>
    <x v="0"/>
    <x v="1"/>
    <n v="340.04"/>
    <x v="0"/>
    <n v="3"/>
    <s v="Average"/>
  </r>
  <r>
    <s v="26020d70-e193-4d17-9886-24b3b0502c6d"/>
    <x v="9"/>
    <x v="1"/>
    <x v="48"/>
    <x v="4"/>
    <x v="17"/>
    <s v="2025-03-26"/>
    <x v="4"/>
    <x v="6"/>
    <x v="1"/>
    <n v="315.56"/>
    <s v="5% off"/>
    <m/>
    <x v="0"/>
    <x v="0"/>
    <n v="315.56"/>
    <x v="1"/>
    <n v="4"/>
    <s v="Good"/>
  </r>
  <r>
    <s v="b5975f8e-757d-41b5-9675-1780f4fb7c56"/>
    <x v="13"/>
    <x v="1"/>
    <x v="49"/>
    <x v="1"/>
    <x v="1"/>
    <s v="2024-10-03"/>
    <x v="3"/>
    <x v="5"/>
    <x v="0"/>
    <n v="67.040000000000006"/>
    <s v="0% off"/>
    <m/>
    <x v="1"/>
    <x v="0"/>
    <n v="67.040000000000006"/>
    <x v="1"/>
    <n v="3"/>
    <s v="Average"/>
  </r>
  <r>
    <s v="d9f8fbd9-4361-42dd-a6fb-211bf0e7ecac"/>
    <x v="28"/>
    <x v="1"/>
    <x v="50"/>
    <x v="4"/>
    <x v="4"/>
    <s v="2024-06-13"/>
    <x v="3"/>
    <x v="11"/>
    <x v="0"/>
    <n v="512.94000000000005"/>
    <s v="10% off"/>
    <m/>
    <x v="0"/>
    <x v="0"/>
    <n v="512.94000000000005"/>
    <x v="1"/>
    <n v="3"/>
    <s v="Average"/>
  </r>
  <r>
    <s v="1799e394-a391-45f6-b96e-888954e3dc39"/>
    <x v="38"/>
    <x v="0"/>
    <x v="51"/>
    <x v="3"/>
    <x v="12"/>
    <s v="2024-05-05"/>
    <x v="5"/>
    <x v="4"/>
    <x v="0"/>
    <n v="270.41000000000003"/>
    <s v="5% off"/>
    <m/>
    <x v="0"/>
    <x v="0"/>
    <n v="270.41000000000003"/>
    <x v="0"/>
    <n v="2"/>
    <s v="Poor"/>
  </r>
  <r>
    <s v="a72bb2aa-737e-4580-8e76-b158c832621f"/>
    <x v="28"/>
    <x v="0"/>
    <x v="52"/>
    <x v="3"/>
    <x v="12"/>
    <s v="2024-09-06"/>
    <x v="0"/>
    <x v="10"/>
    <x v="0"/>
    <n v="270.41000000000003"/>
    <s v="5% off"/>
    <m/>
    <x v="0"/>
    <x v="1"/>
    <n v="270.41000000000003"/>
    <x v="2"/>
    <n v="3"/>
    <s v="Average"/>
  </r>
  <r>
    <s v="b99e7a69-2548-49b9-b012-af72461debbd"/>
    <x v="52"/>
    <x v="1"/>
    <x v="53"/>
    <x v="0"/>
    <x v="11"/>
    <s v="2024-05-12"/>
    <x v="5"/>
    <x v="4"/>
    <x v="0"/>
    <n v="116.78"/>
    <s v="0% off"/>
    <m/>
    <x v="1"/>
    <x v="0"/>
    <n v="116.78"/>
    <x v="1"/>
    <n v="1"/>
    <s v="Very Poor"/>
  </r>
  <r>
    <s v="394ede79-4964-4291-b068-67109b5c0764"/>
    <x v="22"/>
    <x v="0"/>
    <x v="33"/>
    <x v="2"/>
    <x v="24"/>
    <s v="2024-04-16"/>
    <x v="1"/>
    <x v="0"/>
    <x v="0"/>
    <n v="52.44"/>
    <s v="0% off"/>
    <m/>
    <x v="1"/>
    <x v="1"/>
    <n v="52.44"/>
    <x v="2"/>
    <n v="1"/>
    <s v="Very Poor"/>
  </r>
  <r>
    <s v="7d21404a-2cba-46f6-b946-091c79b4a9cd"/>
    <x v="0"/>
    <x v="1"/>
    <x v="54"/>
    <x v="3"/>
    <x v="15"/>
    <s v="2024-04-01"/>
    <x v="6"/>
    <x v="0"/>
    <x v="0"/>
    <n v="855.21"/>
    <s v="15% off"/>
    <m/>
    <x v="0"/>
    <x v="0"/>
    <n v="855.21"/>
    <x v="0"/>
    <n v="1"/>
    <s v="Very Poor"/>
  </r>
  <r>
    <s v="3d7ebe48-252d-4b95-a67f-2b7fc276d749"/>
    <x v="19"/>
    <x v="1"/>
    <x v="55"/>
    <x v="2"/>
    <x v="18"/>
    <s v="2024-12-16"/>
    <x v="6"/>
    <x v="7"/>
    <x v="0"/>
    <n v="492.1"/>
    <s v="5% off"/>
    <m/>
    <x v="0"/>
    <x v="1"/>
    <n v="492.1"/>
    <x v="3"/>
    <n v="3"/>
    <s v="Average"/>
  </r>
  <r>
    <s v="b1889075-45b5-441b-ad1f-16dd668a95e3"/>
    <x v="17"/>
    <x v="1"/>
    <x v="56"/>
    <x v="4"/>
    <x v="5"/>
    <s v="2024-11-25"/>
    <x v="6"/>
    <x v="1"/>
    <x v="0"/>
    <n v="988.77"/>
    <s v="20% off"/>
    <m/>
    <x v="0"/>
    <x v="0"/>
    <n v="988.77"/>
    <x v="2"/>
    <n v="2"/>
    <s v="Poor"/>
  </r>
  <r>
    <s v="737c4458-2a03-4628-a912-8caca8ab7a07"/>
    <x v="46"/>
    <x v="1"/>
    <x v="57"/>
    <x v="4"/>
    <x v="5"/>
    <s v="2024-10-30"/>
    <x v="4"/>
    <x v="5"/>
    <x v="0"/>
    <n v="988.77"/>
    <s v="20% off"/>
    <m/>
    <x v="0"/>
    <x v="1"/>
    <n v="988.77"/>
    <x v="2"/>
    <n v="4"/>
    <s v="Good"/>
  </r>
  <r>
    <s v="a3fbdf99-27dd-4c8d-9671-22340063b6c9"/>
    <x v="27"/>
    <x v="1"/>
    <x v="58"/>
    <x v="1"/>
    <x v="25"/>
    <s v="2024-12-01"/>
    <x v="5"/>
    <x v="7"/>
    <x v="0"/>
    <n v="527.16999999999996"/>
    <s v="10% off"/>
    <m/>
    <x v="0"/>
    <x v="1"/>
    <n v="527.16999999999996"/>
    <x v="3"/>
    <n v="5"/>
    <s v="Excellent"/>
  </r>
  <r>
    <s v="9ad1cc58-6ae5-4a12-b43a-c72e3d11b4b0"/>
    <x v="30"/>
    <x v="0"/>
    <x v="59"/>
    <x v="5"/>
    <x v="6"/>
    <s v="2024-04-04"/>
    <x v="3"/>
    <x v="0"/>
    <x v="0"/>
    <n v="76.81"/>
    <s v="0% off"/>
    <m/>
    <x v="1"/>
    <x v="1"/>
    <n v="76.81"/>
    <x v="3"/>
    <n v="3"/>
    <s v="Average"/>
  </r>
  <r>
    <s v="e7934717-655e-4240-b5f8-0733d19fa112"/>
    <x v="4"/>
    <x v="1"/>
    <x v="60"/>
    <x v="3"/>
    <x v="15"/>
    <s v="2024-06-27"/>
    <x v="3"/>
    <x v="11"/>
    <x v="0"/>
    <n v="855.21"/>
    <s v="15% off"/>
    <m/>
    <x v="0"/>
    <x v="1"/>
    <n v="855.21"/>
    <x v="3"/>
    <n v="3"/>
    <s v="Average"/>
  </r>
  <r>
    <s v="e70c6987-1b2a-4a9a-bab5-0129419d4781"/>
    <x v="30"/>
    <x v="0"/>
    <x v="61"/>
    <x v="2"/>
    <x v="2"/>
    <s v="2024-07-30"/>
    <x v="1"/>
    <x v="2"/>
    <x v="0"/>
    <n v="493.96"/>
    <s v="5% off"/>
    <m/>
    <x v="0"/>
    <x v="1"/>
    <n v="493.96"/>
    <x v="2"/>
    <n v="1"/>
    <s v="Very Poor"/>
  </r>
  <r>
    <s v="502eb5da-0218-4418-b1d8-37c33b4e5704"/>
    <x v="35"/>
    <x v="0"/>
    <x v="42"/>
    <x v="4"/>
    <x v="17"/>
    <s v="2025-01-08"/>
    <x v="4"/>
    <x v="9"/>
    <x v="1"/>
    <n v="315.56"/>
    <s v="5% off"/>
    <m/>
    <x v="0"/>
    <x v="0"/>
    <n v="315.56"/>
    <x v="0"/>
    <n v="5"/>
    <s v="Excellent"/>
  </r>
  <r>
    <s v="fd9959de-ee33-42a8-a6d9-4aa8bb8dc905"/>
    <x v="41"/>
    <x v="0"/>
    <x v="62"/>
    <x v="1"/>
    <x v="26"/>
    <s v="2025-01-24"/>
    <x v="0"/>
    <x v="9"/>
    <x v="1"/>
    <n v="775.75"/>
    <s v="15% off"/>
    <m/>
    <x v="0"/>
    <x v="1"/>
    <n v="775.75"/>
    <x v="1"/>
    <n v="2"/>
    <s v="Poor"/>
  </r>
  <r>
    <s v="87d75eac-c43c-4e06-aea0-f44219ffd164"/>
    <x v="31"/>
    <x v="1"/>
    <x v="63"/>
    <x v="6"/>
    <x v="10"/>
    <s v="2025-03-24"/>
    <x v="6"/>
    <x v="6"/>
    <x v="1"/>
    <n v="782.29"/>
    <s v="15% off"/>
    <m/>
    <x v="0"/>
    <x v="0"/>
    <n v="782.29"/>
    <x v="1"/>
    <n v="3"/>
    <s v="Average"/>
  </r>
  <r>
    <s v="ae1d4ef1-6d3e-4b79-a17b-3810b49b3218"/>
    <x v="28"/>
    <x v="0"/>
    <x v="64"/>
    <x v="4"/>
    <x v="4"/>
    <s v="2024-04-04"/>
    <x v="3"/>
    <x v="0"/>
    <x v="0"/>
    <n v="512.94000000000005"/>
    <s v="10% off"/>
    <m/>
    <x v="0"/>
    <x v="0"/>
    <n v="512.94000000000005"/>
    <x v="0"/>
    <n v="4"/>
    <s v="Good"/>
  </r>
  <r>
    <s v="cf50f2d5-1143-4b19-ba46-cf03f7ed3ffb"/>
    <x v="3"/>
    <x v="0"/>
    <x v="65"/>
    <x v="4"/>
    <x v="5"/>
    <s v="2024-07-02"/>
    <x v="1"/>
    <x v="2"/>
    <x v="0"/>
    <n v="988.77"/>
    <s v="20% off"/>
    <m/>
    <x v="0"/>
    <x v="1"/>
    <n v="988.77"/>
    <x v="3"/>
    <n v="4"/>
    <s v="Good"/>
  </r>
  <r>
    <s v="4ad10184-c78b-4337-a4d8-334ab4e15da8"/>
    <x v="43"/>
    <x v="0"/>
    <x v="66"/>
    <x v="1"/>
    <x v="26"/>
    <s v="2024-06-01"/>
    <x v="2"/>
    <x v="11"/>
    <x v="0"/>
    <n v="775.75"/>
    <s v="15% off"/>
    <m/>
    <x v="0"/>
    <x v="1"/>
    <n v="775.75"/>
    <x v="3"/>
    <n v="2"/>
    <s v="Poor"/>
  </r>
  <r>
    <s v="c4d3ca22-1f63-4b64-910e-587a9ca6d0fb"/>
    <x v="33"/>
    <x v="1"/>
    <x v="67"/>
    <x v="1"/>
    <x v="1"/>
    <s v="2024-12-09"/>
    <x v="6"/>
    <x v="7"/>
    <x v="0"/>
    <n v="67.040000000000006"/>
    <s v="0% off"/>
    <m/>
    <x v="1"/>
    <x v="0"/>
    <n v="67.040000000000006"/>
    <x v="2"/>
    <n v="4"/>
    <s v="Good"/>
  </r>
  <r>
    <s v="a5169906-28df-48dd-b9d5-3fd2dd5a21e7"/>
    <x v="36"/>
    <x v="0"/>
    <x v="68"/>
    <x v="0"/>
    <x v="22"/>
    <s v="2025-03-05"/>
    <x v="4"/>
    <x v="6"/>
    <x v="1"/>
    <n v="485.26"/>
    <s v="5% off"/>
    <m/>
    <x v="0"/>
    <x v="0"/>
    <n v="485.26"/>
    <x v="1"/>
    <n v="2"/>
    <s v="Poor"/>
  </r>
  <r>
    <s v="a06958c3-b1de-48e2-80e9-b18d9e99bf13"/>
    <x v="25"/>
    <x v="0"/>
    <x v="69"/>
    <x v="6"/>
    <x v="10"/>
    <s v="2024-06-30"/>
    <x v="5"/>
    <x v="11"/>
    <x v="0"/>
    <n v="782.29"/>
    <s v="15% off"/>
    <m/>
    <x v="0"/>
    <x v="0"/>
    <n v="782.29"/>
    <x v="3"/>
    <n v="5"/>
    <s v="Excellent"/>
  </r>
  <r>
    <s v="01a61f14-4b39-402c-b867-da87496f2c83"/>
    <x v="27"/>
    <x v="0"/>
    <x v="70"/>
    <x v="1"/>
    <x v="1"/>
    <s v="2024-08-14"/>
    <x v="4"/>
    <x v="3"/>
    <x v="0"/>
    <n v="67.040000000000006"/>
    <s v="0% off"/>
    <m/>
    <x v="1"/>
    <x v="1"/>
    <n v="67.040000000000006"/>
    <x v="2"/>
    <n v="1"/>
    <s v="Very Poor"/>
  </r>
  <r>
    <s v="b156b057-60f6-42e5-9dca-45060e327732"/>
    <x v="22"/>
    <x v="0"/>
    <x v="71"/>
    <x v="1"/>
    <x v="25"/>
    <s v="2024-05-17"/>
    <x v="0"/>
    <x v="4"/>
    <x v="0"/>
    <n v="527.16999999999996"/>
    <s v="10% off"/>
    <m/>
    <x v="0"/>
    <x v="1"/>
    <n v="527.16999999999996"/>
    <x v="3"/>
    <n v="2"/>
    <s v="Poor"/>
  </r>
  <r>
    <s v="ad11544f-92df-45fb-b485-6fa50ae76bae"/>
    <x v="11"/>
    <x v="1"/>
    <x v="72"/>
    <x v="6"/>
    <x v="14"/>
    <s v="2024-12-08"/>
    <x v="5"/>
    <x v="7"/>
    <x v="0"/>
    <n v="965.09"/>
    <s v="20% off"/>
    <m/>
    <x v="0"/>
    <x v="0"/>
    <n v="965.09"/>
    <x v="1"/>
    <n v="2"/>
    <s v="Poor"/>
  </r>
  <r>
    <s v="7d208c78-ea6a-4795-b7f4-af7c5d448954"/>
    <x v="25"/>
    <x v="1"/>
    <x v="73"/>
    <x v="2"/>
    <x v="2"/>
    <s v="2024-11-04"/>
    <x v="6"/>
    <x v="1"/>
    <x v="0"/>
    <n v="493.96"/>
    <s v="5% off"/>
    <m/>
    <x v="0"/>
    <x v="0"/>
    <n v="493.96"/>
    <x v="3"/>
    <n v="2"/>
    <s v="Poor"/>
  </r>
  <r>
    <s v="e3cf16c1-c1ca-4b85-9535-5eecceaccfeb"/>
    <x v="13"/>
    <x v="0"/>
    <x v="74"/>
    <x v="1"/>
    <x v="25"/>
    <s v="2024-08-26"/>
    <x v="6"/>
    <x v="3"/>
    <x v="0"/>
    <n v="527.16999999999996"/>
    <s v="10% off"/>
    <m/>
    <x v="0"/>
    <x v="1"/>
    <n v="527.16999999999996"/>
    <x v="3"/>
    <n v="1"/>
    <s v="Very Poor"/>
  </r>
  <r>
    <s v="d1e408a6-1e74-4219-95c1-e9b89320d8eb"/>
    <x v="40"/>
    <x v="0"/>
    <x v="75"/>
    <x v="5"/>
    <x v="16"/>
    <s v="2025-02-24"/>
    <x v="6"/>
    <x v="8"/>
    <x v="1"/>
    <n v="592.26"/>
    <s v="10% off"/>
    <m/>
    <x v="0"/>
    <x v="0"/>
    <n v="592.26"/>
    <x v="0"/>
    <n v="2"/>
    <s v="Poor"/>
  </r>
  <r>
    <s v="b815b541-2579-4efc-8962-3801e1e14d83"/>
    <x v="14"/>
    <x v="0"/>
    <x v="76"/>
    <x v="0"/>
    <x v="22"/>
    <s v="2024-03-30"/>
    <x v="2"/>
    <x v="6"/>
    <x v="0"/>
    <n v="485.26"/>
    <s v="5% off"/>
    <m/>
    <x v="0"/>
    <x v="1"/>
    <n v="485.26"/>
    <x v="2"/>
    <n v="1"/>
    <s v="Very Poor"/>
  </r>
  <r>
    <s v="005ec596-c7a2-4762-ab33-212b4f80e867"/>
    <x v="36"/>
    <x v="0"/>
    <x v="77"/>
    <x v="4"/>
    <x v="17"/>
    <s v="2024-06-27"/>
    <x v="3"/>
    <x v="11"/>
    <x v="0"/>
    <n v="315.56"/>
    <s v="5% off"/>
    <m/>
    <x v="0"/>
    <x v="1"/>
    <n v="315.56"/>
    <x v="3"/>
    <n v="1"/>
    <s v="Very Poor"/>
  </r>
  <r>
    <s v="260f1c69-3fc5-401c-a2c1-dfe997412f32"/>
    <x v="13"/>
    <x v="0"/>
    <x v="78"/>
    <x v="1"/>
    <x v="26"/>
    <s v="2024-11-17"/>
    <x v="5"/>
    <x v="1"/>
    <x v="0"/>
    <n v="775.75"/>
    <s v="15% off"/>
    <m/>
    <x v="0"/>
    <x v="0"/>
    <n v="775.75"/>
    <x v="0"/>
    <n v="3"/>
    <s v="Average"/>
  </r>
  <r>
    <s v="e487fa20-3037-4ed5-a29d-c80aac0339e5"/>
    <x v="47"/>
    <x v="1"/>
    <x v="79"/>
    <x v="4"/>
    <x v="5"/>
    <s v="2024-06-17"/>
    <x v="6"/>
    <x v="11"/>
    <x v="0"/>
    <n v="988.77"/>
    <s v="20% off"/>
    <m/>
    <x v="0"/>
    <x v="1"/>
    <n v="988.77"/>
    <x v="2"/>
    <n v="3"/>
    <s v="Average"/>
  </r>
  <r>
    <s v="790934e6-3fc9-44cd-815a-4556e71c533b"/>
    <x v="16"/>
    <x v="1"/>
    <x v="80"/>
    <x v="4"/>
    <x v="4"/>
    <s v="2024-12-30"/>
    <x v="6"/>
    <x v="7"/>
    <x v="0"/>
    <n v="512.94000000000005"/>
    <s v="10% off"/>
    <m/>
    <x v="0"/>
    <x v="0"/>
    <n v="512.94000000000005"/>
    <x v="1"/>
    <n v="2"/>
    <s v="Poor"/>
  </r>
  <r>
    <s v="45b62ae8-c4fe-4fe2-9c26-5eec8ee27526"/>
    <x v="26"/>
    <x v="0"/>
    <x v="81"/>
    <x v="1"/>
    <x v="26"/>
    <s v="2024-08-05"/>
    <x v="6"/>
    <x v="3"/>
    <x v="0"/>
    <n v="775.75"/>
    <s v="15% off"/>
    <m/>
    <x v="0"/>
    <x v="1"/>
    <n v="775.75"/>
    <x v="1"/>
    <n v="2"/>
    <s v="Poor"/>
  </r>
  <r>
    <s v="06b4681e-07b9-405f-b697-d07cde14dce2"/>
    <x v="52"/>
    <x v="1"/>
    <x v="82"/>
    <x v="3"/>
    <x v="19"/>
    <s v="2024-04-21"/>
    <x v="5"/>
    <x v="0"/>
    <x v="0"/>
    <n v="165.68"/>
    <s v="5% off"/>
    <m/>
    <x v="0"/>
    <x v="0"/>
    <n v="165.68"/>
    <x v="3"/>
    <n v="5"/>
    <s v="Excellent"/>
  </r>
  <r>
    <s v="28ab55a6-cba6-444e-80f3-6c491a44ae04"/>
    <x v="32"/>
    <x v="0"/>
    <x v="83"/>
    <x v="3"/>
    <x v="19"/>
    <s v="2024-09-01"/>
    <x v="5"/>
    <x v="10"/>
    <x v="0"/>
    <n v="165.68"/>
    <s v="5% off"/>
    <m/>
    <x v="0"/>
    <x v="1"/>
    <n v="165.68"/>
    <x v="2"/>
    <n v="2"/>
    <s v="Poor"/>
  </r>
  <r>
    <s v="8a0b5c1c-594f-4a02-9b9e-e7ddc02a9e59"/>
    <x v="19"/>
    <x v="1"/>
    <x v="84"/>
    <x v="2"/>
    <x v="27"/>
    <s v="2024-04-01"/>
    <x v="6"/>
    <x v="0"/>
    <x v="0"/>
    <n v="340.04"/>
    <s v="5% off"/>
    <m/>
    <x v="0"/>
    <x v="0"/>
    <n v="340.04"/>
    <x v="0"/>
    <n v="2"/>
    <s v="Poor"/>
  </r>
  <r>
    <s v="e3266c30-32a3-464f-8126-49ea9342a8d5"/>
    <x v="26"/>
    <x v="1"/>
    <x v="85"/>
    <x v="0"/>
    <x v="22"/>
    <s v="2024-05-24"/>
    <x v="0"/>
    <x v="4"/>
    <x v="0"/>
    <n v="485.26"/>
    <s v="5% off"/>
    <m/>
    <x v="0"/>
    <x v="1"/>
    <n v="485.26"/>
    <x v="3"/>
    <n v="5"/>
    <s v="Excellent"/>
  </r>
  <r>
    <s v="b9de6a76-e4cd-4a13-bb4b-adf0d697bbd9"/>
    <x v="2"/>
    <x v="0"/>
    <x v="86"/>
    <x v="6"/>
    <x v="10"/>
    <s v="2025-01-20"/>
    <x v="6"/>
    <x v="9"/>
    <x v="1"/>
    <n v="782.29"/>
    <s v="15% off"/>
    <m/>
    <x v="0"/>
    <x v="1"/>
    <n v="782.29"/>
    <x v="2"/>
    <n v="4"/>
    <s v="Good"/>
  </r>
  <r>
    <s v="e967c565-db4b-43b8-ad96-8077adae2e20"/>
    <x v="35"/>
    <x v="0"/>
    <x v="87"/>
    <x v="5"/>
    <x v="9"/>
    <s v="2025-03-16"/>
    <x v="5"/>
    <x v="6"/>
    <x v="1"/>
    <n v="452.97"/>
    <s v="5% off"/>
    <m/>
    <x v="0"/>
    <x v="0"/>
    <n v="452.97"/>
    <x v="1"/>
    <n v="3"/>
    <s v="Average"/>
  </r>
  <r>
    <s v="931d3596-1632-45da-9f93-728d0047fce0"/>
    <x v="14"/>
    <x v="0"/>
    <x v="88"/>
    <x v="0"/>
    <x v="22"/>
    <s v="2024-09-23"/>
    <x v="6"/>
    <x v="10"/>
    <x v="0"/>
    <n v="485.26"/>
    <s v="5% off"/>
    <m/>
    <x v="0"/>
    <x v="1"/>
    <n v="485.26"/>
    <x v="0"/>
    <n v="1"/>
    <s v="Very Poor"/>
  </r>
  <r>
    <s v="3a942d10-8459-422d-844b-9b9e9aa96a9f"/>
    <x v="26"/>
    <x v="0"/>
    <x v="89"/>
    <x v="5"/>
    <x v="16"/>
    <s v="2024-11-05"/>
    <x v="1"/>
    <x v="1"/>
    <x v="0"/>
    <n v="592.26"/>
    <s v="10% off"/>
    <m/>
    <x v="0"/>
    <x v="0"/>
    <n v="592.26"/>
    <x v="1"/>
    <n v="1"/>
    <s v="Very Poor"/>
  </r>
  <r>
    <s v="54ddf7be-da7a-4e09-bf17-da0bbeb331e3"/>
    <x v="13"/>
    <x v="0"/>
    <x v="90"/>
    <x v="2"/>
    <x v="27"/>
    <s v="2024-06-14"/>
    <x v="0"/>
    <x v="11"/>
    <x v="0"/>
    <n v="340.04"/>
    <s v="5% off"/>
    <m/>
    <x v="0"/>
    <x v="1"/>
    <n v="340.04"/>
    <x v="0"/>
    <n v="5"/>
    <s v="Excellent"/>
  </r>
  <r>
    <s v="a099616d-2511-487c-b738-a4893b8ed6cf"/>
    <x v="13"/>
    <x v="1"/>
    <x v="91"/>
    <x v="6"/>
    <x v="13"/>
    <s v="2025-01-01"/>
    <x v="4"/>
    <x v="9"/>
    <x v="1"/>
    <n v="418.55"/>
    <s v="5% off"/>
    <m/>
    <x v="0"/>
    <x v="1"/>
    <n v="418.55"/>
    <x v="2"/>
    <n v="4"/>
    <s v="Good"/>
  </r>
  <r>
    <s v="d93e39ae-14a0-4164-b8c3-cb8ce1f76553"/>
    <x v="17"/>
    <x v="1"/>
    <x v="92"/>
    <x v="5"/>
    <x v="6"/>
    <s v="2024-05-13"/>
    <x v="6"/>
    <x v="4"/>
    <x v="0"/>
    <n v="76.81"/>
    <s v="0% off"/>
    <m/>
    <x v="1"/>
    <x v="1"/>
    <n v="76.81"/>
    <x v="0"/>
    <n v="2"/>
    <s v="Poor"/>
  </r>
  <r>
    <s v="d5c180ea-3068-4721-b529-68ba8f7876d3"/>
    <x v="31"/>
    <x v="1"/>
    <x v="93"/>
    <x v="4"/>
    <x v="17"/>
    <s v="2025-01-17"/>
    <x v="0"/>
    <x v="9"/>
    <x v="1"/>
    <n v="315.56"/>
    <s v="5% off"/>
    <m/>
    <x v="0"/>
    <x v="1"/>
    <n v="315.56"/>
    <x v="2"/>
    <n v="1"/>
    <s v="Very Poor"/>
  </r>
  <r>
    <s v="845c3b73-f419-4f7a-8153-421b83835886"/>
    <x v="21"/>
    <x v="0"/>
    <x v="56"/>
    <x v="6"/>
    <x v="10"/>
    <s v="2024-08-29"/>
    <x v="3"/>
    <x v="3"/>
    <x v="0"/>
    <n v="782.29"/>
    <s v="15% off"/>
    <m/>
    <x v="0"/>
    <x v="0"/>
    <n v="782.29"/>
    <x v="1"/>
    <n v="1"/>
    <s v="Very Poor"/>
  </r>
  <r>
    <s v="10186963-4595-4599-9a54-004aab10aecd"/>
    <x v="17"/>
    <x v="0"/>
    <x v="94"/>
    <x v="6"/>
    <x v="13"/>
    <s v="2024-10-27"/>
    <x v="5"/>
    <x v="5"/>
    <x v="0"/>
    <n v="418.55"/>
    <s v="5% off"/>
    <m/>
    <x v="0"/>
    <x v="0"/>
    <n v="418.55"/>
    <x v="1"/>
    <n v="4"/>
    <s v="Good"/>
  </r>
  <r>
    <s v="c30a099a-6736-4d54-a123-a85208850c38"/>
    <x v="23"/>
    <x v="1"/>
    <x v="89"/>
    <x v="4"/>
    <x v="17"/>
    <s v="2024-10-20"/>
    <x v="5"/>
    <x v="5"/>
    <x v="0"/>
    <n v="315.56"/>
    <s v="5% off"/>
    <m/>
    <x v="0"/>
    <x v="0"/>
    <n v="315.56"/>
    <x v="2"/>
    <n v="5"/>
    <s v="Excellent"/>
  </r>
  <r>
    <s v="e143c07c-027f-4801-a8e6-72e69eea4fb2"/>
    <x v="52"/>
    <x v="0"/>
    <x v="95"/>
    <x v="6"/>
    <x v="14"/>
    <s v="2024-06-03"/>
    <x v="6"/>
    <x v="11"/>
    <x v="0"/>
    <n v="965.09"/>
    <s v="20% off"/>
    <m/>
    <x v="0"/>
    <x v="1"/>
    <n v="965.09"/>
    <x v="2"/>
    <n v="5"/>
    <s v="Excellent"/>
  </r>
  <r>
    <s v="0b49eb0f-6d2e-4420-a9c6-9ded98ff6f9b"/>
    <x v="37"/>
    <x v="1"/>
    <x v="96"/>
    <x v="5"/>
    <x v="6"/>
    <s v="2024-04-06"/>
    <x v="2"/>
    <x v="0"/>
    <x v="0"/>
    <n v="76.81"/>
    <s v="0% off"/>
    <m/>
    <x v="1"/>
    <x v="1"/>
    <n v="76.81"/>
    <x v="2"/>
    <n v="3"/>
    <s v="Average"/>
  </r>
  <r>
    <s v="1acdcb12-af74-43c4-b615-c8c19c556ac1"/>
    <x v="14"/>
    <x v="0"/>
    <x v="58"/>
    <x v="1"/>
    <x v="26"/>
    <s v="2024-04-28"/>
    <x v="5"/>
    <x v="0"/>
    <x v="0"/>
    <n v="775.75"/>
    <s v="15% off"/>
    <m/>
    <x v="0"/>
    <x v="0"/>
    <n v="775.75"/>
    <x v="2"/>
    <n v="4"/>
    <s v="Good"/>
  </r>
  <r>
    <s v="6889ec4f-cd5e-40c7-9cb0-de34503006fd"/>
    <x v="18"/>
    <x v="0"/>
    <x v="90"/>
    <x v="3"/>
    <x v="12"/>
    <s v="2025-01-01"/>
    <x v="4"/>
    <x v="9"/>
    <x v="1"/>
    <n v="270.41000000000003"/>
    <s v="5% off"/>
    <m/>
    <x v="0"/>
    <x v="0"/>
    <n v="270.41000000000003"/>
    <x v="0"/>
    <n v="1"/>
    <s v="Very Poor"/>
  </r>
  <r>
    <s v="de98cae5-5360-41bb-a7e1-5d63aadf7dca"/>
    <x v="25"/>
    <x v="1"/>
    <x v="91"/>
    <x v="5"/>
    <x v="16"/>
    <s v="2025-02-28"/>
    <x v="0"/>
    <x v="8"/>
    <x v="1"/>
    <n v="592.26"/>
    <s v="10% off"/>
    <m/>
    <x v="0"/>
    <x v="0"/>
    <n v="592.26"/>
    <x v="3"/>
    <n v="4"/>
    <s v="Good"/>
  </r>
  <r>
    <s v="c43f1319-7954-48df-965b-e16e28ccd074"/>
    <x v="51"/>
    <x v="1"/>
    <x v="97"/>
    <x v="2"/>
    <x v="24"/>
    <s v="2024-07-28"/>
    <x v="5"/>
    <x v="2"/>
    <x v="0"/>
    <n v="52.44"/>
    <s v="0% off"/>
    <m/>
    <x v="1"/>
    <x v="0"/>
    <n v="52.44"/>
    <x v="2"/>
    <n v="5"/>
    <s v="Excellent"/>
  </r>
  <r>
    <s v="4ce371c4-94f9-4d31-94c5-13c1e0f772f0"/>
    <x v="11"/>
    <x v="0"/>
    <x v="98"/>
    <x v="3"/>
    <x v="3"/>
    <s v="2024-04-29"/>
    <x v="6"/>
    <x v="0"/>
    <x v="0"/>
    <n v="211.46"/>
    <s v="5% off"/>
    <m/>
    <x v="0"/>
    <x v="0"/>
    <n v="211.46"/>
    <x v="0"/>
    <n v="2"/>
    <s v="Poor"/>
  </r>
  <r>
    <s v="d73fe6e8-f262-40bd-9572-10638929d288"/>
    <x v="51"/>
    <x v="0"/>
    <x v="99"/>
    <x v="6"/>
    <x v="13"/>
    <s v="2024-07-29"/>
    <x v="6"/>
    <x v="2"/>
    <x v="0"/>
    <n v="418.55"/>
    <s v="5% off"/>
    <m/>
    <x v="0"/>
    <x v="0"/>
    <n v="418.55"/>
    <x v="3"/>
    <n v="4"/>
    <s v="Good"/>
  </r>
  <r>
    <s v="4fc46972-15e3-4c40-874f-375688497355"/>
    <x v="19"/>
    <x v="1"/>
    <x v="100"/>
    <x v="0"/>
    <x v="0"/>
    <s v="2025-02-23"/>
    <x v="5"/>
    <x v="8"/>
    <x v="1"/>
    <n v="697.86"/>
    <s v="10% off"/>
    <m/>
    <x v="0"/>
    <x v="1"/>
    <n v="697.86"/>
    <x v="0"/>
    <n v="4"/>
    <s v="Good"/>
  </r>
  <r>
    <s v="804ecf48-3697-468d-8028-054f36c4ead8"/>
    <x v="34"/>
    <x v="0"/>
    <x v="101"/>
    <x v="6"/>
    <x v="13"/>
    <s v="2024-05-08"/>
    <x v="4"/>
    <x v="4"/>
    <x v="0"/>
    <n v="418.55"/>
    <s v="5% off"/>
    <m/>
    <x v="0"/>
    <x v="0"/>
    <n v="418.55"/>
    <x v="2"/>
    <n v="1"/>
    <s v="Very Poor"/>
  </r>
  <r>
    <s v="e04263f5-add4-4b42-9e5c-b357fa96703f"/>
    <x v="47"/>
    <x v="0"/>
    <x v="102"/>
    <x v="4"/>
    <x v="20"/>
    <s v="2024-11-21"/>
    <x v="3"/>
    <x v="1"/>
    <x v="0"/>
    <n v="260.77999999999997"/>
    <s v="5% off"/>
    <m/>
    <x v="0"/>
    <x v="1"/>
    <n v="260.77999999999997"/>
    <x v="0"/>
    <n v="2"/>
    <s v="Poor"/>
  </r>
  <r>
    <s v="86401f9e-2a02-4d8c-b8e6-9529229e0fae"/>
    <x v="34"/>
    <x v="0"/>
    <x v="103"/>
    <x v="6"/>
    <x v="21"/>
    <s v="2025-01-12"/>
    <x v="5"/>
    <x v="9"/>
    <x v="1"/>
    <n v="461.81"/>
    <s v="5% off"/>
    <m/>
    <x v="0"/>
    <x v="0"/>
    <n v="461.81"/>
    <x v="2"/>
    <n v="1"/>
    <s v="Very Poor"/>
  </r>
  <r>
    <s v="0a36699d-9c36-4324-b86c-b5c776dc68e4"/>
    <x v="11"/>
    <x v="1"/>
    <x v="104"/>
    <x v="5"/>
    <x v="8"/>
    <s v="2024-12-18"/>
    <x v="4"/>
    <x v="7"/>
    <x v="0"/>
    <n v="374.92"/>
    <s v="5% off"/>
    <m/>
    <x v="0"/>
    <x v="0"/>
    <n v="374.92"/>
    <x v="2"/>
    <n v="2"/>
    <s v="Poor"/>
  </r>
  <r>
    <s v="d50ade50-62fd-492f-9efd-d33dbb5d42b4"/>
    <x v="43"/>
    <x v="0"/>
    <x v="105"/>
    <x v="2"/>
    <x v="18"/>
    <s v="2024-12-27"/>
    <x v="0"/>
    <x v="7"/>
    <x v="0"/>
    <n v="492.1"/>
    <s v="5% off"/>
    <m/>
    <x v="0"/>
    <x v="0"/>
    <n v="492.1"/>
    <x v="1"/>
    <n v="3"/>
    <s v="Average"/>
  </r>
  <r>
    <s v="970bb081-942c-4a72-a986-7180f007f6a2"/>
    <x v="43"/>
    <x v="1"/>
    <x v="106"/>
    <x v="3"/>
    <x v="19"/>
    <s v="2024-08-02"/>
    <x v="0"/>
    <x v="3"/>
    <x v="0"/>
    <n v="165.68"/>
    <s v="5% off"/>
    <m/>
    <x v="0"/>
    <x v="0"/>
    <n v="165.68"/>
    <x v="3"/>
    <n v="4"/>
    <s v="Good"/>
  </r>
  <r>
    <s v="2b187bf4-4b45-4103-b92e-4fa50f6d2714"/>
    <x v="5"/>
    <x v="1"/>
    <x v="89"/>
    <x v="3"/>
    <x v="3"/>
    <s v="2025-03-23"/>
    <x v="5"/>
    <x v="6"/>
    <x v="1"/>
    <n v="211.46"/>
    <s v="5% off"/>
    <m/>
    <x v="0"/>
    <x v="1"/>
    <n v="211.46"/>
    <x v="0"/>
    <n v="4"/>
    <s v="Good"/>
  </r>
  <r>
    <s v="2408ad72-de2e-4674-8910-59847aba31d0"/>
    <x v="9"/>
    <x v="1"/>
    <x v="107"/>
    <x v="5"/>
    <x v="6"/>
    <s v="2024-11-23"/>
    <x v="2"/>
    <x v="1"/>
    <x v="0"/>
    <n v="76.81"/>
    <s v="0% off"/>
    <m/>
    <x v="1"/>
    <x v="1"/>
    <n v="76.81"/>
    <x v="1"/>
    <n v="1"/>
    <s v="Very Poor"/>
  </r>
  <r>
    <s v="f0e6e794-4d03-42c1-9e74-4e6e68c53797"/>
    <x v="48"/>
    <x v="1"/>
    <x v="108"/>
    <x v="6"/>
    <x v="13"/>
    <s v="2024-08-16"/>
    <x v="0"/>
    <x v="3"/>
    <x v="0"/>
    <n v="418.55"/>
    <s v="5% off"/>
    <m/>
    <x v="0"/>
    <x v="1"/>
    <n v="418.55"/>
    <x v="0"/>
    <n v="2"/>
    <s v="Poor"/>
  </r>
  <r>
    <s v="c81ece99-ab3b-4232-bb11-eca23cde5b10"/>
    <x v="25"/>
    <x v="0"/>
    <x v="109"/>
    <x v="6"/>
    <x v="13"/>
    <s v="2024-05-08"/>
    <x v="4"/>
    <x v="4"/>
    <x v="0"/>
    <n v="418.55"/>
    <s v="5% off"/>
    <m/>
    <x v="0"/>
    <x v="0"/>
    <n v="418.55"/>
    <x v="2"/>
    <n v="3"/>
    <s v="Average"/>
  </r>
  <r>
    <s v="05b879ee-dd3c-4ffd-a78f-3c68865ba488"/>
    <x v="12"/>
    <x v="1"/>
    <x v="110"/>
    <x v="1"/>
    <x v="25"/>
    <s v="2025-02-10"/>
    <x v="6"/>
    <x v="8"/>
    <x v="1"/>
    <n v="527.16999999999996"/>
    <s v="10% off"/>
    <m/>
    <x v="0"/>
    <x v="1"/>
    <n v="527.16999999999996"/>
    <x v="3"/>
    <n v="1"/>
    <s v="Very Poor"/>
  </r>
  <r>
    <s v="6c4281c9-a44b-4644-a8cf-4ee5033ebcf3"/>
    <x v="13"/>
    <x v="0"/>
    <x v="111"/>
    <x v="6"/>
    <x v="21"/>
    <s v="2025-03-04"/>
    <x v="1"/>
    <x v="6"/>
    <x v="1"/>
    <n v="461.81"/>
    <s v="5% off"/>
    <m/>
    <x v="0"/>
    <x v="0"/>
    <n v="461.81"/>
    <x v="2"/>
    <n v="2"/>
    <s v="Poor"/>
  </r>
  <r>
    <s v="8254c628-96eb-43f6-944f-73dae6dfabcf"/>
    <x v="19"/>
    <x v="0"/>
    <x v="59"/>
    <x v="2"/>
    <x v="24"/>
    <s v="2024-12-24"/>
    <x v="1"/>
    <x v="7"/>
    <x v="0"/>
    <n v="52.44"/>
    <s v="0% off"/>
    <m/>
    <x v="1"/>
    <x v="1"/>
    <n v="52.44"/>
    <x v="2"/>
    <n v="1"/>
    <s v="Very Poor"/>
  </r>
  <r>
    <s v="3173c9ba-8ffc-4f84-80f3-b0066879ff82"/>
    <x v="11"/>
    <x v="1"/>
    <x v="112"/>
    <x v="5"/>
    <x v="6"/>
    <s v="2025-03-20"/>
    <x v="3"/>
    <x v="6"/>
    <x v="1"/>
    <n v="76.81"/>
    <s v="0% off"/>
    <m/>
    <x v="1"/>
    <x v="0"/>
    <n v="76.81"/>
    <x v="1"/>
    <n v="2"/>
    <s v="Poor"/>
  </r>
  <r>
    <s v="d9fbd18d-ff8d-4edc-b875-3e1c4cfd797b"/>
    <x v="51"/>
    <x v="1"/>
    <x v="113"/>
    <x v="2"/>
    <x v="2"/>
    <s v="2025-01-28"/>
    <x v="1"/>
    <x v="9"/>
    <x v="1"/>
    <n v="493.96"/>
    <s v="5% off"/>
    <m/>
    <x v="0"/>
    <x v="1"/>
    <n v="493.96"/>
    <x v="3"/>
    <n v="2"/>
    <s v="Poor"/>
  </r>
  <r>
    <s v="13c60d9e-cb77-49df-8f81-cb58326b6d5b"/>
    <x v="28"/>
    <x v="0"/>
    <x v="114"/>
    <x v="3"/>
    <x v="15"/>
    <s v="2025-01-22"/>
    <x v="4"/>
    <x v="9"/>
    <x v="1"/>
    <n v="855.21"/>
    <s v="15% off"/>
    <m/>
    <x v="0"/>
    <x v="1"/>
    <n v="855.21"/>
    <x v="1"/>
    <n v="5"/>
    <s v="Excellent"/>
  </r>
  <r>
    <s v="a9bffa7d-1cae-4af9-834f-c400f16f63be"/>
    <x v="12"/>
    <x v="0"/>
    <x v="115"/>
    <x v="3"/>
    <x v="3"/>
    <s v="2024-07-13"/>
    <x v="2"/>
    <x v="2"/>
    <x v="0"/>
    <n v="211.46"/>
    <s v="5% off"/>
    <m/>
    <x v="0"/>
    <x v="1"/>
    <n v="211.46"/>
    <x v="3"/>
    <n v="2"/>
    <s v="Poor"/>
  </r>
  <r>
    <s v="0ee9bdbe-0115-44a9-ac7f-6bba0a5e23d6"/>
    <x v="0"/>
    <x v="1"/>
    <x v="116"/>
    <x v="0"/>
    <x v="7"/>
    <s v="2025-01-04"/>
    <x v="2"/>
    <x v="9"/>
    <x v="1"/>
    <n v="78.349999999999994"/>
    <s v="0% off"/>
    <m/>
    <x v="1"/>
    <x v="1"/>
    <n v="78.349999999999994"/>
    <x v="3"/>
    <n v="4"/>
    <s v="Good"/>
  </r>
  <r>
    <s v="27a620ed-262c-4742-9944-47bbdf1a9cbc"/>
    <x v="5"/>
    <x v="1"/>
    <x v="117"/>
    <x v="5"/>
    <x v="6"/>
    <s v="2024-11-06"/>
    <x v="4"/>
    <x v="1"/>
    <x v="0"/>
    <n v="76.81"/>
    <s v="0% off"/>
    <m/>
    <x v="1"/>
    <x v="0"/>
    <n v="76.81"/>
    <x v="2"/>
    <n v="1"/>
    <s v="Very Poor"/>
  </r>
  <r>
    <s v="eef25d5c-b16c-4392-b6dd-74d6e16081a1"/>
    <x v="17"/>
    <x v="0"/>
    <x v="118"/>
    <x v="2"/>
    <x v="2"/>
    <s v="2024-11-06"/>
    <x v="4"/>
    <x v="1"/>
    <x v="0"/>
    <n v="493.96"/>
    <s v="5% off"/>
    <m/>
    <x v="0"/>
    <x v="1"/>
    <n v="493.96"/>
    <x v="2"/>
    <n v="4"/>
    <s v="Good"/>
  </r>
  <r>
    <s v="22a5c901-a5e6-42fe-84a8-70a92de76a86"/>
    <x v="49"/>
    <x v="1"/>
    <x v="119"/>
    <x v="0"/>
    <x v="22"/>
    <s v="2024-11-13"/>
    <x v="4"/>
    <x v="1"/>
    <x v="0"/>
    <n v="485.26"/>
    <s v="5% off"/>
    <m/>
    <x v="0"/>
    <x v="1"/>
    <n v="485.26"/>
    <x v="2"/>
    <n v="5"/>
    <s v="Excellent"/>
  </r>
  <r>
    <s v="3a47326f-9de5-47cb-b60e-9b2bd6aa450e"/>
    <x v="1"/>
    <x v="1"/>
    <x v="120"/>
    <x v="5"/>
    <x v="6"/>
    <s v="2024-12-10"/>
    <x v="1"/>
    <x v="7"/>
    <x v="0"/>
    <n v="76.81"/>
    <s v="0% off"/>
    <m/>
    <x v="1"/>
    <x v="1"/>
    <n v="76.81"/>
    <x v="0"/>
    <n v="5"/>
    <s v="Excellent"/>
  </r>
  <r>
    <s v="ffd35fa2-57ea-4fbc-831f-d442e7b9c6c5"/>
    <x v="12"/>
    <x v="0"/>
    <x v="121"/>
    <x v="6"/>
    <x v="13"/>
    <s v="2024-04-08"/>
    <x v="6"/>
    <x v="0"/>
    <x v="0"/>
    <n v="418.55"/>
    <s v="5% off"/>
    <m/>
    <x v="0"/>
    <x v="1"/>
    <n v="418.55"/>
    <x v="2"/>
    <n v="3"/>
    <s v="Average"/>
  </r>
  <r>
    <s v="c4ce6f76-7743-4fba-a8d6-a4abe2ca15c7"/>
    <x v="1"/>
    <x v="0"/>
    <x v="122"/>
    <x v="5"/>
    <x v="8"/>
    <s v="2024-04-27"/>
    <x v="2"/>
    <x v="0"/>
    <x v="0"/>
    <n v="374.92"/>
    <s v="5% off"/>
    <m/>
    <x v="0"/>
    <x v="0"/>
    <n v="374.92"/>
    <x v="0"/>
    <n v="1"/>
    <s v="Very Poor"/>
  </r>
  <r>
    <s v="53f49e42-6a92-4b9f-818f-f996336fd867"/>
    <x v="44"/>
    <x v="1"/>
    <x v="123"/>
    <x v="6"/>
    <x v="14"/>
    <s v="2024-06-04"/>
    <x v="1"/>
    <x v="11"/>
    <x v="0"/>
    <n v="965.09"/>
    <s v="20% off"/>
    <m/>
    <x v="0"/>
    <x v="0"/>
    <n v="965.09"/>
    <x v="2"/>
    <n v="1"/>
    <s v="Very Poor"/>
  </r>
  <r>
    <s v="fe20aa55-f5e6-4cde-8208-c33b26cba012"/>
    <x v="7"/>
    <x v="1"/>
    <x v="124"/>
    <x v="1"/>
    <x v="26"/>
    <s v="2024-10-23"/>
    <x v="4"/>
    <x v="5"/>
    <x v="0"/>
    <n v="775.75"/>
    <s v="15% off"/>
    <m/>
    <x v="0"/>
    <x v="0"/>
    <n v="775.75"/>
    <x v="1"/>
    <n v="5"/>
    <s v="Excellent"/>
  </r>
  <r>
    <s v="269f7d7a-7a1b-4fcd-859e-59072375e361"/>
    <x v="28"/>
    <x v="0"/>
    <x v="125"/>
    <x v="5"/>
    <x v="16"/>
    <s v="2024-07-19"/>
    <x v="0"/>
    <x v="2"/>
    <x v="0"/>
    <n v="592.26"/>
    <s v="10% off"/>
    <m/>
    <x v="0"/>
    <x v="0"/>
    <n v="592.26"/>
    <x v="0"/>
    <n v="5"/>
    <s v="Excellent"/>
  </r>
  <r>
    <s v="dd7d7c60-6a32-45ef-90aa-1c3a352e6b18"/>
    <x v="1"/>
    <x v="0"/>
    <x v="126"/>
    <x v="4"/>
    <x v="5"/>
    <s v="2024-08-18"/>
    <x v="5"/>
    <x v="3"/>
    <x v="0"/>
    <n v="988.77"/>
    <s v="20% off"/>
    <m/>
    <x v="0"/>
    <x v="0"/>
    <n v="988.77"/>
    <x v="2"/>
    <n v="2"/>
    <s v="Poor"/>
  </r>
  <r>
    <s v="bf5fbbe1-3551-4289-bec8-8b30368cb8c9"/>
    <x v="17"/>
    <x v="1"/>
    <x v="127"/>
    <x v="3"/>
    <x v="15"/>
    <s v="2024-12-01"/>
    <x v="5"/>
    <x v="7"/>
    <x v="0"/>
    <n v="855.21"/>
    <s v="15% off"/>
    <m/>
    <x v="0"/>
    <x v="1"/>
    <n v="855.21"/>
    <x v="2"/>
    <n v="1"/>
    <s v="Very Poor"/>
  </r>
  <r>
    <s v="3d6d1266-a244-43a7-a0d1-250c68435d18"/>
    <x v="10"/>
    <x v="1"/>
    <x v="128"/>
    <x v="5"/>
    <x v="16"/>
    <s v="2025-01-08"/>
    <x v="4"/>
    <x v="9"/>
    <x v="1"/>
    <n v="592.26"/>
    <s v="10% off"/>
    <m/>
    <x v="0"/>
    <x v="0"/>
    <n v="592.26"/>
    <x v="3"/>
    <n v="3"/>
    <s v="Average"/>
  </r>
  <r>
    <s v="e326d3c5-e171-4d54-957a-bf88088c8a84"/>
    <x v="46"/>
    <x v="1"/>
    <x v="129"/>
    <x v="3"/>
    <x v="12"/>
    <s v="2025-02-11"/>
    <x v="1"/>
    <x v="8"/>
    <x v="1"/>
    <n v="270.41000000000003"/>
    <s v="5% off"/>
    <m/>
    <x v="0"/>
    <x v="1"/>
    <n v="270.41000000000003"/>
    <x v="3"/>
    <n v="2"/>
    <s v="Poor"/>
  </r>
  <r>
    <s v="d97705a1-6584-4d0a-bf4e-032b6362f6be"/>
    <x v="31"/>
    <x v="0"/>
    <x v="130"/>
    <x v="6"/>
    <x v="14"/>
    <s v="2025-03-05"/>
    <x v="4"/>
    <x v="6"/>
    <x v="1"/>
    <n v="965.09"/>
    <s v="20% off"/>
    <m/>
    <x v="0"/>
    <x v="0"/>
    <n v="965.09"/>
    <x v="1"/>
    <n v="5"/>
    <s v="Excellent"/>
  </r>
  <r>
    <s v="af27ffa8-cb4c-4219-afc3-57651dcc9d1c"/>
    <x v="24"/>
    <x v="1"/>
    <x v="131"/>
    <x v="5"/>
    <x v="6"/>
    <s v="2025-03-23"/>
    <x v="5"/>
    <x v="6"/>
    <x v="1"/>
    <n v="76.81"/>
    <s v="0% off"/>
    <m/>
    <x v="1"/>
    <x v="0"/>
    <n v="76.81"/>
    <x v="3"/>
    <n v="4"/>
    <s v="Good"/>
  </r>
  <r>
    <s v="e3a04c61-c631-4229-88b7-3e8d50763ce8"/>
    <x v="2"/>
    <x v="1"/>
    <x v="132"/>
    <x v="4"/>
    <x v="4"/>
    <s v="2024-09-23"/>
    <x v="6"/>
    <x v="10"/>
    <x v="0"/>
    <n v="512.94000000000005"/>
    <s v="10% off"/>
    <m/>
    <x v="0"/>
    <x v="0"/>
    <n v="512.94000000000005"/>
    <x v="3"/>
    <n v="5"/>
    <s v="Excellent"/>
  </r>
  <r>
    <s v="6670ec9b-d576-43d9-8879-c8f09611f3ae"/>
    <x v="14"/>
    <x v="1"/>
    <x v="72"/>
    <x v="3"/>
    <x v="19"/>
    <s v="2024-07-08"/>
    <x v="6"/>
    <x v="2"/>
    <x v="0"/>
    <n v="165.68"/>
    <s v="5% off"/>
    <m/>
    <x v="0"/>
    <x v="0"/>
    <n v="165.68"/>
    <x v="1"/>
    <n v="2"/>
    <s v="Poor"/>
  </r>
  <r>
    <s v="dc5e8e61-9015-4547-89d3-b3ec92ded2be"/>
    <x v="10"/>
    <x v="1"/>
    <x v="75"/>
    <x v="0"/>
    <x v="22"/>
    <s v="2024-10-05"/>
    <x v="2"/>
    <x v="5"/>
    <x v="0"/>
    <n v="485.26"/>
    <s v="5% off"/>
    <m/>
    <x v="0"/>
    <x v="0"/>
    <n v="485.26"/>
    <x v="2"/>
    <n v="3"/>
    <s v="Average"/>
  </r>
  <r>
    <s v="ba1056e9-e21b-4677-81ce-d56cda3994ab"/>
    <x v="29"/>
    <x v="1"/>
    <x v="76"/>
    <x v="2"/>
    <x v="24"/>
    <s v="2024-12-17"/>
    <x v="1"/>
    <x v="7"/>
    <x v="0"/>
    <n v="52.44"/>
    <s v="0% off"/>
    <m/>
    <x v="1"/>
    <x v="1"/>
    <n v="52.44"/>
    <x v="3"/>
    <n v="1"/>
    <s v="Very Poor"/>
  </r>
  <r>
    <s v="a0b6dd63-1342-4893-8129-0bc0f756314c"/>
    <x v="29"/>
    <x v="0"/>
    <x v="133"/>
    <x v="3"/>
    <x v="15"/>
    <s v="2024-06-30"/>
    <x v="5"/>
    <x v="11"/>
    <x v="0"/>
    <n v="855.21"/>
    <s v="15% off"/>
    <m/>
    <x v="0"/>
    <x v="1"/>
    <n v="855.21"/>
    <x v="2"/>
    <n v="2"/>
    <s v="Poor"/>
  </r>
  <r>
    <s v="db101288-a1f4-42e9-8493-a7e75a4ce4fa"/>
    <x v="15"/>
    <x v="1"/>
    <x v="134"/>
    <x v="0"/>
    <x v="0"/>
    <s v="2024-07-28"/>
    <x v="5"/>
    <x v="2"/>
    <x v="0"/>
    <n v="697.86"/>
    <s v="10% off"/>
    <m/>
    <x v="0"/>
    <x v="1"/>
    <n v="697.86"/>
    <x v="2"/>
    <n v="1"/>
    <s v="Very Poor"/>
  </r>
  <r>
    <s v="3aecfba7-f911-459b-bfbb-a40d6f81acf1"/>
    <x v="33"/>
    <x v="0"/>
    <x v="135"/>
    <x v="2"/>
    <x v="2"/>
    <s v="2024-10-14"/>
    <x v="6"/>
    <x v="5"/>
    <x v="0"/>
    <n v="493.96"/>
    <s v="5% off"/>
    <m/>
    <x v="0"/>
    <x v="0"/>
    <n v="493.96"/>
    <x v="1"/>
    <n v="2"/>
    <s v="Poor"/>
  </r>
  <r>
    <s v="7dee2479-1275-4509-9a4f-f80cc249b8cd"/>
    <x v="50"/>
    <x v="1"/>
    <x v="136"/>
    <x v="0"/>
    <x v="11"/>
    <s v="2024-08-08"/>
    <x v="3"/>
    <x v="3"/>
    <x v="0"/>
    <n v="116.78"/>
    <s v="0% off"/>
    <m/>
    <x v="1"/>
    <x v="1"/>
    <n v="116.78"/>
    <x v="2"/>
    <n v="5"/>
    <s v="Excellent"/>
  </r>
  <r>
    <s v="20f40c73-4ecc-4c10-b410-70fb061125a9"/>
    <x v="39"/>
    <x v="0"/>
    <x v="137"/>
    <x v="6"/>
    <x v="14"/>
    <s v="2024-09-08"/>
    <x v="5"/>
    <x v="10"/>
    <x v="0"/>
    <n v="965.09"/>
    <s v="20% off"/>
    <m/>
    <x v="0"/>
    <x v="1"/>
    <n v="965.09"/>
    <x v="3"/>
    <n v="1"/>
    <s v="Very Poor"/>
  </r>
  <r>
    <s v="d98fdcad-25a1-4406-a49b-978119c2deaa"/>
    <x v="31"/>
    <x v="0"/>
    <x v="0"/>
    <x v="1"/>
    <x v="23"/>
    <s v="2025-02-11"/>
    <x v="1"/>
    <x v="8"/>
    <x v="1"/>
    <n v="362.55"/>
    <s v="5% off"/>
    <m/>
    <x v="0"/>
    <x v="0"/>
    <n v="362.55"/>
    <x v="2"/>
    <n v="1"/>
    <s v="Very Poor"/>
  </r>
  <r>
    <s v="8c149f93-92ad-462f-a7d8-a210853edce9"/>
    <x v="31"/>
    <x v="1"/>
    <x v="1"/>
    <x v="5"/>
    <x v="6"/>
    <s v="2025-03-11"/>
    <x v="1"/>
    <x v="6"/>
    <x v="1"/>
    <n v="76.81"/>
    <s v="0% off"/>
    <m/>
    <x v="1"/>
    <x v="1"/>
    <n v="76.81"/>
    <x v="1"/>
    <n v="4"/>
    <s v="Good"/>
  </r>
  <r>
    <s v="ea8b53f8-0bc2-4f97-830d-b58df0b3716c"/>
    <x v="34"/>
    <x v="1"/>
    <x v="2"/>
    <x v="2"/>
    <x v="27"/>
    <s v="2025-03-23"/>
    <x v="5"/>
    <x v="6"/>
    <x v="1"/>
    <n v="340.04"/>
    <s v="5% off"/>
    <m/>
    <x v="0"/>
    <x v="0"/>
    <n v="340.04"/>
    <x v="3"/>
    <n v="5"/>
    <s v="Excellent"/>
  </r>
  <r>
    <s v="f8d898e9-bfe2-4d41-915d-e08aa2d8c1ef"/>
    <x v="44"/>
    <x v="1"/>
    <x v="3"/>
    <x v="1"/>
    <x v="25"/>
    <s v="2024-10-10"/>
    <x v="3"/>
    <x v="5"/>
    <x v="0"/>
    <n v="527.16999999999996"/>
    <s v="10% off"/>
    <m/>
    <x v="0"/>
    <x v="0"/>
    <n v="527.16999999999996"/>
    <x v="3"/>
    <n v="3"/>
    <s v="Average"/>
  </r>
  <r>
    <s v="4f9c696d-06d4-4a87-a0e8-a8b88160c0b5"/>
    <x v="47"/>
    <x v="1"/>
    <x v="4"/>
    <x v="2"/>
    <x v="2"/>
    <s v="2024-05-29"/>
    <x v="4"/>
    <x v="4"/>
    <x v="0"/>
    <n v="493.96"/>
    <s v="5% off"/>
    <m/>
    <x v="0"/>
    <x v="1"/>
    <n v="493.96"/>
    <x v="2"/>
    <n v="3"/>
    <s v="Average"/>
  </r>
  <r>
    <s v="a9a50c8a-018e-4dd6-95b4-ca14c04da38d"/>
    <x v="49"/>
    <x v="1"/>
    <x v="5"/>
    <x v="0"/>
    <x v="22"/>
    <s v="2025-02-01"/>
    <x v="2"/>
    <x v="8"/>
    <x v="1"/>
    <n v="485.26"/>
    <s v="5% off"/>
    <m/>
    <x v="0"/>
    <x v="1"/>
    <n v="485.26"/>
    <x v="3"/>
    <n v="5"/>
    <s v="Excellent"/>
  </r>
  <r>
    <s v="43ffa3f3-dadd-487f-adba-11a7b27ad53f"/>
    <x v="42"/>
    <x v="1"/>
    <x v="6"/>
    <x v="2"/>
    <x v="2"/>
    <s v="2024-06-02"/>
    <x v="5"/>
    <x v="11"/>
    <x v="0"/>
    <n v="493.96"/>
    <s v="5% off"/>
    <m/>
    <x v="0"/>
    <x v="0"/>
    <n v="493.96"/>
    <x v="2"/>
    <n v="2"/>
    <s v="Poor"/>
  </r>
  <r>
    <s v="9812c53a-f6cf-4333-8040-8115260be734"/>
    <x v="24"/>
    <x v="0"/>
    <x v="7"/>
    <x v="2"/>
    <x v="24"/>
    <s v="2025-03-27"/>
    <x v="3"/>
    <x v="6"/>
    <x v="1"/>
    <n v="52.44"/>
    <s v="0% off"/>
    <m/>
    <x v="1"/>
    <x v="1"/>
    <n v="52.44"/>
    <x v="1"/>
    <n v="4"/>
    <s v="Good"/>
  </r>
  <r>
    <s v="b91224b5-4381-406f-8e35-edebf72f6b44"/>
    <x v="33"/>
    <x v="1"/>
    <x v="8"/>
    <x v="6"/>
    <x v="13"/>
    <s v="2025-02-09"/>
    <x v="5"/>
    <x v="8"/>
    <x v="1"/>
    <n v="418.55"/>
    <s v="5% off"/>
    <m/>
    <x v="0"/>
    <x v="0"/>
    <n v="418.55"/>
    <x v="3"/>
    <n v="4"/>
    <s v="Good"/>
  </r>
  <r>
    <s v="2c890421-c9e6-48fb-97da-37aabab5e776"/>
    <x v="48"/>
    <x v="1"/>
    <x v="9"/>
    <x v="2"/>
    <x v="27"/>
    <s v="2024-06-27"/>
    <x v="3"/>
    <x v="11"/>
    <x v="0"/>
    <n v="340.04"/>
    <s v="5% off"/>
    <m/>
    <x v="0"/>
    <x v="0"/>
    <n v="340.04"/>
    <x v="3"/>
    <n v="2"/>
    <s v="Poor"/>
  </r>
  <r>
    <s v="968cc432-e064-4cbe-963e-a8d3ff4ae9fd"/>
    <x v="8"/>
    <x v="0"/>
    <x v="10"/>
    <x v="0"/>
    <x v="11"/>
    <s v="2024-11-04"/>
    <x v="6"/>
    <x v="1"/>
    <x v="0"/>
    <n v="116.78"/>
    <s v="0% off"/>
    <m/>
    <x v="1"/>
    <x v="1"/>
    <n v="116.78"/>
    <x v="2"/>
    <n v="3"/>
    <s v="Average"/>
  </r>
  <r>
    <s v="23eb0bdb-303a-433d-a8a7-f81af0920bbf"/>
    <x v="27"/>
    <x v="1"/>
    <x v="11"/>
    <x v="2"/>
    <x v="24"/>
    <s v="2024-07-28"/>
    <x v="5"/>
    <x v="2"/>
    <x v="0"/>
    <n v="52.44"/>
    <s v="0% off"/>
    <m/>
    <x v="1"/>
    <x v="0"/>
    <n v="52.44"/>
    <x v="0"/>
    <n v="2"/>
    <s v="Poor"/>
  </r>
  <r>
    <s v="0b218bf3-46c8-4b84-a512-456b24dc1e47"/>
    <x v="45"/>
    <x v="0"/>
    <x v="12"/>
    <x v="3"/>
    <x v="15"/>
    <s v="2024-04-04"/>
    <x v="3"/>
    <x v="0"/>
    <x v="0"/>
    <n v="855.21"/>
    <s v="15% off"/>
    <m/>
    <x v="0"/>
    <x v="0"/>
    <n v="855.21"/>
    <x v="1"/>
    <n v="2"/>
    <s v="Poor"/>
  </r>
  <r>
    <s v="4adbaf60-7bbc-422e-ba2a-706a7837bff2"/>
    <x v="10"/>
    <x v="1"/>
    <x v="13"/>
    <x v="6"/>
    <x v="13"/>
    <s v="2024-05-26"/>
    <x v="5"/>
    <x v="4"/>
    <x v="0"/>
    <n v="418.55"/>
    <s v="5% off"/>
    <m/>
    <x v="0"/>
    <x v="0"/>
    <n v="418.55"/>
    <x v="3"/>
    <n v="3"/>
    <s v="Average"/>
  </r>
  <r>
    <s v="36aefa3e-2915-47fd-886b-fd7e930ee8a7"/>
    <x v="35"/>
    <x v="1"/>
    <x v="14"/>
    <x v="6"/>
    <x v="10"/>
    <s v="2024-07-11"/>
    <x v="3"/>
    <x v="2"/>
    <x v="0"/>
    <n v="782.29"/>
    <s v="15% off"/>
    <m/>
    <x v="0"/>
    <x v="0"/>
    <n v="782.29"/>
    <x v="3"/>
    <n v="4"/>
    <s v="Good"/>
  </r>
  <r>
    <s v="38f6e6d7-7987-4352-b4a8-9476336c1d6e"/>
    <x v="31"/>
    <x v="1"/>
    <x v="15"/>
    <x v="1"/>
    <x v="26"/>
    <s v="2024-07-29"/>
    <x v="6"/>
    <x v="2"/>
    <x v="0"/>
    <n v="775.75"/>
    <s v="15% off"/>
    <m/>
    <x v="0"/>
    <x v="1"/>
    <n v="775.75"/>
    <x v="0"/>
    <n v="1"/>
    <s v="Very Poor"/>
  </r>
  <r>
    <s v="d0411fb1-de35-4082-b1b1-0bf6db98c78e"/>
    <x v="20"/>
    <x v="0"/>
    <x v="16"/>
    <x v="3"/>
    <x v="15"/>
    <s v="2025-03-05"/>
    <x v="4"/>
    <x v="6"/>
    <x v="1"/>
    <n v="855.21"/>
    <s v="15% off"/>
    <m/>
    <x v="0"/>
    <x v="0"/>
    <n v="855.21"/>
    <x v="3"/>
    <n v="3"/>
    <s v="Average"/>
  </r>
  <r>
    <s v="f69fc960-333f-409e-8b0f-f74deadaa7c3"/>
    <x v="18"/>
    <x v="1"/>
    <x v="17"/>
    <x v="5"/>
    <x v="16"/>
    <s v="2025-03-02"/>
    <x v="5"/>
    <x v="6"/>
    <x v="1"/>
    <n v="592.26"/>
    <s v="10% off"/>
    <m/>
    <x v="0"/>
    <x v="0"/>
    <n v="592.26"/>
    <x v="2"/>
    <n v="2"/>
    <s v="Poor"/>
  </r>
  <r>
    <s v="b927d119-c8b3-4078-80dc-d018a1175677"/>
    <x v="31"/>
    <x v="0"/>
    <x v="18"/>
    <x v="4"/>
    <x v="5"/>
    <s v="2025-03-23"/>
    <x v="5"/>
    <x v="6"/>
    <x v="1"/>
    <n v="988.77"/>
    <s v="20% off"/>
    <m/>
    <x v="0"/>
    <x v="1"/>
    <n v="988.77"/>
    <x v="0"/>
    <n v="3"/>
    <s v="Average"/>
  </r>
  <r>
    <s v="78e2cd47-30eb-4965-8815-4ccc5669ea7c"/>
    <x v="33"/>
    <x v="0"/>
    <x v="19"/>
    <x v="4"/>
    <x v="17"/>
    <s v="2024-10-06"/>
    <x v="5"/>
    <x v="5"/>
    <x v="0"/>
    <n v="315.56"/>
    <s v="5% off"/>
    <m/>
    <x v="0"/>
    <x v="1"/>
    <n v="315.56"/>
    <x v="0"/>
    <n v="5"/>
    <s v="Excellent"/>
  </r>
  <r>
    <s v="4ccf9a87-6b82-4ee8-b3c0-ebea89bb82f6"/>
    <x v="41"/>
    <x v="0"/>
    <x v="20"/>
    <x v="1"/>
    <x v="26"/>
    <s v="2024-07-20"/>
    <x v="2"/>
    <x v="2"/>
    <x v="0"/>
    <n v="775.75"/>
    <s v="15% off"/>
    <m/>
    <x v="0"/>
    <x v="1"/>
    <n v="775.75"/>
    <x v="2"/>
    <n v="1"/>
    <s v="Very Poor"/>
  </r>
  <r>
    <s v="116786ec-c8d0-4864-ac51-f316d4bd1440"/>
    <x v="35"/>
    <x v="1"/>
    <x v="21"/>
    <x v="3"/>
    <x v="15"/>
    <s v="2024-12-25"/>
    <x v="4"/>
    <x v="7"/>
    <x v="0"/>
    <n v="855.21"/>
    <s v="15% off"/>
    <m/>
    <x v="0"/>
    <x v="0"/>
    <n v="855.21"/>
    <x v="0"/>
    <n v="1"/>
    <s v="Very Poor"/>
  </r>
  <r>
    <s v="166f4e73-d8e9-4e04-988c-bd0f45bf2df8"/>
    <x v="2"/>
    <x v="1"/>
    <x v="22"/>
    <x v="1"/>
    <x v="25"/>
    <s v="2025-01-05"/>
    <x v="5"/>
    <x v="9"/>
    <x v="1"/>
    <n v="527.16999999999996"/>
    <s v="10% off"/>
    <m/>
    <x v="0"/>
    <x v="0"/>
    <n v="527.16999999999996"/>
    <x v="3"/>
    <n v="2"/>
    <s v="Poor"/>
  </r>
  <r>
    <s v="04d4369b-5ab8-4086-a02b-ebc6206dbb6c"/>
    <x v="39"/>
    <x v="0"/>
    <x v="23"/>
    <x v="2"/>
    <x v="27"/>
    <s v="2024-06-16"/>
    <x v="5"/>
    <x v="11"/>
    <x v="0"/>
    <n v="340.04"/>
    <s v="5% off"/>
    <m/>
    <x v="0"/>
    <x v="1"/>
    <n v="340.04"/>
    <x v="3"/>
    <n v="4"/>
    <s v="Good"/>
  </r>
  <r>
    <s v="1b84cc22-3b97-4996-86d4-e7d145ece46b"/>
    <x v="52"/>
    <x v="0"/>
    <x v="24"/>
    <x v="0"/>
    <x v="7"/>
    <s v="2024-08-13"/>
    <x v="1"/>
    <x v="3"/>
    <x v="0"/>
    <n v="78.349999999999994"/>
    <s v="0% off"/>
    <m/>
    <x v="1"/>
    <x v="0"/>
    <n v="78.349999999999994"/>
    <x v="2"/>
    <n v="3"/>
    <s v="Average"/>
  </r>
  <r>
    <s v="4ede80fe-f948-4b3c-8a96-20fd56fb2f77"/>
    <x v="40"/>
    <x v="1"/>
    <x v="25"/>
    <x v="3"/>
    <x v="15"/>
    <s v="2025-02-01"/>
    <x v="2"/>
    <x v="8"/>
    <x v="1"/>
    <n v="855.21"/>
    <s v="15% off"/>
    <m/>
    <x v="0"/>
    <x v="1"/>
    <n v="855.21"/>
    <x v="1"/>
    <n v="3"/>
    <s v="Average"/>
  </r>
  <r>
    <s v="ba47330f-d2a6-460e-8e8d-6c4af9ff07f2"/>
    <x v="10"/>
    <x v="1"/>
    <x v="26"/>
    <x v="5"/>
    <x v="16"/>
    <s v="2024-04-22"/>
    <x v="6"/>
    <x v="0"/>
    <x v="0"/>
    <n v="592.26"/>
    <s v="10% off"/>
    <m/>
    <x v="0"/>
    <x v="0"/>
    <n v="592.26"/>
    <x v="0"/>
    <n v="5"/>
    <s v="Excellent"/>
  </r>
  <r>
    <s v="0575694e-0fd4-4fc5-b849-c60636c44829"/>
    <x v="21"/>
    <x v="0"/>
    <x v="27"/>
    <x v="0"/>
    <x v="7"/>
    <s v="2024-05-04"/>
    <x v="2"/>
    <x v="4"/>
    <x v="0"/>
    <n v="78.349999999999994"/>
    <s v="0% off"/>
    <m/>
    <x v="1"/>
    <x v="0"/>
    <n v="78.349999999999994"/>
    <x v="3"/>
    <n v="1"/>
    <s v="Very Poor"/>
  </r>
  <r>
    <s v="64e79630-6f55-46c8-8db6-2a85c75995c8"/>
    <x v="18"/>
    <x v="1"/>
    <x v="28"/>
    <x v="4"/>
    <x v="17"/>
    <s v="2024-05-27"/>
    <x v="6"/>
    <x v="4"/>
    <x v="0"/>
    <n v="315.56"/>
    <s v="5% off"/>
    <m/>
    <x v="0"/>
    <x v="0"/>
    <n v="315.56"/>
    <x v="3"/>
    <n v="1"/>
    <s v="Very Poor"/>
  </r>
  <r>
    <s v="5727ca15-7e3e-4e6d-bb32-a4909971e3b3"/>
    <x v="40"/>
    <x v="1"/>
    <x v="29"/>
    <x v="1"/>
    <x v="26"/>
    <s v="2024-08-24"/>
    <x v="2"/>
    <x v="3"/>
    <x v="0"/>
    <n v="775.75"/>
    <s v="15% off"/>
    <m/>
    <x v="0"/>
    <x v="0"/>
    <n v="775.75"/>
    <x v="1"/>
    <n v="2"/>
    <s v="Poor"/>
  </r>
  <r>
    <s v="cdd28a2b-48c4-476f-a67e-30884791249b"/>
    <x v="7"/>
    <x v="0"/>
    <x v="30"/>
    <x v="4"/>
    <x v="20"/>
    <s v="2024-07-25"/>
    <x v="3"/>
    <x v="2"/>
    <x v="0"/>
    <n v="260.77999999999997"/>
    <s v="5% off"/>
    <m/>
    <x v="0"/>
    <x v="1"/>
    <n v="260.77999999999997"/>
    <x v="0"/>
    <n v="5"/>
    <s v="Excellent"/>
  </r>
  <r>
    <s v="a54002ba-e1b3-4d35-84c1-6ff4db15c754"/>
    <x v="40"/>
    <x v="1"/>
    <x v="31"/>
    <x v="4"/>
    <x v="20"/>
    <s v="2025-01-27"/>
    <x v="6"/>
    <x v="9"/>
    <x v="1"/>
    <n v="260.77999999999997"/>
    <s v="5% off"/>
    <m/>
    <x v="0"/>
    <x v="1"/>
    <n v="260.77999999999997"/>
    <x v="1"/>
    <n v="4"/>
    <s v="Good"/>
  </r>
  <r>
    <s v="903cf362-9296-4dcc-bc62-cc28e5c0d9bd"/>
    <x v="15"/>
    <x v="0"/>
    <x v="32"/>
    <x v="5"/>
    <x v="8"/>
    <s v="2024-05-27"/>
    <x v="6"/>
    <x v="4"/>
    <x v="0"/>
    <n v="374.92"/>
    <s v="5% off"/>
    <m/>
    <x v="0"/>
    <x v="0"/>
    <n v="374.92"/>
    <x v="3"/>
    <n v="4"/>
    <s v="Good"/>
  </r>
  <r>
    <s v="8e891420-77c4-4771-be26-47abb7e6b41e"/>
    <x v="4"/>
    <x v="0"/>
    <x v="33"/>
    <x v="6"/>
    <x v="21"/>
    <s v="2025-02-17"/>
    <x v="6"/>
    <x v="8"/>
    <x v="1"/>
    <n v="461.81"/>
    <s v="5% off"/>
    <m/>
    <x v="0"/>
    <x v="1"/>
    <n v="461.81"/>
    <x v="3"/>
    <n v="3"/>
    <s v="Average"/>
  </r>
  <r>
    <s v="046817d8-9e82-4b28-8a12-dd08fd4796f1"/>
    <x v="23"/>
    <x v="1"/>
    <x v="34"/>
    <x v="2"/>
    <x v="24"/>
    <s v="2024-08-17"/>
    <x v="2"/>
    <x v="3"/>
    <x v="0"/>
    <n v="52.44"/>
    <s v="0% off"/>
    <m/>
    <x v="1"/>
    <x v="0"/>
    <n v="52.44"/>
    <x v="1"/>
    <n v="2"/>
    <s v="Poor"/>
  </r>
  <r>
    <s v="c39a7597-9302-43d4-8ab8-bfe2765d793a"/>
    <x v="5"/>
    <x v="0"/>
    <x v="35"/>
    <x v="4"/>
    <x v="5"/>
    <s v="2025-03-27"/>
    <x v="3"/>
    <x v="6"/>
    <x v="1"/>
    <n v="988.77"/>
    <s v="20% off"/>
    <m/>
    <x v="0"/>
    <x v="1"/>
    <n v="988.77"/>
    <x v="0"/>
    <n v="4"/>
    <s v="Good"/>
  </r>
  <r>
    <s v="7022de78-2596-4ba2-81ba-ee1b89da2ceb"/>
    <x v="28"/>
    <x v="0"/>
    <x v="36"/>
    <x v="2"/>
    <x v="24"/>
    <s v="2024-12-25"/>
    <x v="4"/>
    <x v="7"/>
    <x v="0"/>
    <n v="52.44"/>
    <s v="0% off"/>
    <m/>
    <x v="1"/>
    <x v="0"/>
    <n v="52.44"/>
    <x v="3"/>
    <n v="5"/>
    <s v="Excellent"/>
  </r>
  <r>
    <s v="1d6e5422-342d-4098-b79c-512220026b91"/>
    <x v="43"/>
    <x v="0"/>
    <x v="37"/>
    <x v="1"/>
    <x v="26"/>
    <s v="2024-11-26"/>
    <x v="1"/>
    <x v="1"/>
    <x v="0"/>
    <n v="775.75"/>
    <s v="15% off"/>
    <m/>
    <x v="0"/>
    <x v="1"/>
    <n v="775.75"/>
    <x v="0"/>
    <n v="2"/>
    <s v="Poor"/>
  </r>
  <r>
    <s v="858d753e-0f78-44e5-80b5-4762b78fcf31"/>
    <x v="52"/>
    <x v="1"/>
    <x v="38"/>
    <x v="0"/>
    <x v="7"/>
    <s v="2024-04-12"/>
    <x v="0"/>
    <x v="0"/>
    <x v="0"/>
    <n v="78.349999999999994"/>
    <s v="0% off"/>
    <m/>
    <x v="1"/>
    <x v="1"/>
    <n v="78.349999999999994"/>
    <x v="1"/>
    <n v="2"/>
    <s v="Poor"/>
  </r>
  <r>
    <s v="3d4c2084-905f-4120-8dd6-8a7bd4b7d708"/>
    <x v="3"/>
    <x v="0"/>
    <x v="39"/>
    <x v="3"/>
    <x v="19"/>
    <s v="2024-07-14"/>
    <x v="5"/>
    <x v="2"/>
    <x v="0"/>
    <n v="165.68"/>
    <s v="5% off"/>
    <m/>
    <x v="0"/>
    <x v="0"/>
    <n v="165.68"/>
    <x v="0"/>
    <n v="3"/>
    <s v="Average"/>
  </r>
  <r>
    <s v="4e8db9ca-2c07-4048-ac88-ebc590e649d4"/>
    <x v="23"/>
    <x v="1"/>
    <x v="40"/>
    <x v="5"/>
    <x v="8"/>
    <s v="2024-05-18"/>
    <x v="2"/>
    <x v="4"/>
    <x v="0"/>
    <n v="374.92"/>
    <s v="5% off"/>
    <m/>
    <x v="0"/>
    <x v="1"/>
    <n v="374.92"/>
    <x v="1"/>
    <n v="3"/>
    <s v="Average"/>
  </r>
  <r>
    <s v="e9fbf30c-fa2a-452c-bcc7-e5b94f15475e"/>
    <x v="21"/>
    <x v="0"/>
    <x v="41"/>
    <x v="6"/>
    <x v="21"/>
    <s v="2024-11-28"/>
    <x v="3"/>
    <x v="1"/>
    <x v="0"/>
    <n v="461.81"/>
    <s v="5% off"/>
    <m/>
    <x v="0"/>
    <x v="1"/>
    <n v="461.81"/>
    <x v="0"/>
    <n v="4"/>
    <s v="Good"/>
  </r>
  <r>
    <s v="c23510b9-be4c-4bd8-92c8-651f7f575fd8"/>
    <x v="25"/>
    <x v="0"/>
    <x v="42"/>
    <x v="0"/>
    <x v="0"/>
    <s v="2024-07-11"/>
    <x v="3"/>
    <x v="2"/>
    <x v="0"/>
    <n v="697.86"/>
    <s v="10% off"/>
    <m/>
    <x v="0"/>
    <x v="0"/>
    <n v="697.86"/>
    <x v="1"/>
    <n v="4"/>
    <s v="Good"/>
  </r>
  <r>
    <s v="e5fd8051-a078-48c4-8f16-af5fefe1cec7"/>
    <x v="5"/>
    <x v="0"/>
    <x v="43"/>
    <x v="2"/>
    <x v="2"/>
    <s v="2024-06-07"/>
    <x v="0"/>
    <x v="11"/>
    <x v="0"/>
    <n v="493.96"/>
    <s v="5% off"/>
    <m/>
    <x v="0"/>
    <x v="0"/>
    <n v="493.96"/>
    <x v="2"/>
    <n v="5"/>
    <s v="Excellent"/>
  </r>
  <r>
    <s v="159da89c-9cbc-4ad3-b065-dfb3d5297be3"/>
    <x v="8"/>
    <x v="0"/>
    <x v="44"/>
    <x v="4"/>
    <x v="20"/>
    <s v="2024-09-08"/>
    <x v="5"/>
    <x v="10"/>
    <x v="0"/>
    <n v="260.77999999999997"/>
    <s v="5% off"/>
    <m/>
    <x v="0"/>
    <x v="0"/>
    <n v="260.77999999999997"/>
    <x v="1"/>
    <n v="5"/>
    <s v="Excellent"/>
  </r>
  <r>
    <s v="1ebfa407-ccaa-4b2c-b4a9-9fbbdd3bec4d"/>
    <x v="5"/>
    <x v="0"/>
    <x v="45"/>
    <x v="2"/>
    <x v="18"/>
    <s v="2024-11-28"/>
    <x v="3"/>
    <x v="1"/>
    <x v="0"/>
    <n v="492.1"/>
    <s v="5% off"/>
    <m/>
    <x v="0"/>
    <x v="1"/>
    <n v="492.1"/>
    <x v="0"/>
    <n v="2"/>
    <s v="Poor"/>
  </r>
  <r>
    <s v="083523dd-f20a-440c-8aae-3fa79467b4b0"/>
    <x v="19"/>
    <x v="0"/>
    <x v="46"/>
    <x v="2"/>
    <x v="24"/>
    <s v="2024-05-05"/>
    <x v="5"/>
    <x v="4"/>
    <x v="0"/>
    <n v="52.44"/>
    <s v="0% off"/>
    <m/>
    <x v="1"/>
    <x v="1"/>
    <n v="52.44"/>
    <x v="0"/>
    <n v="1"/>
    <s v="Very Poor"/>
  </r>
  <r>
    <s v="24c1c492-9daa-4d84-b780-5d1c6a092eec"/>
    <x v="30"/>
    <x v="1"/>
    <x v="47"/>
    <x v="2"/>
    <x v="27"/>
    <s v="2025-01-10"/>
    <x v="0"/>
    <x v="9"/>
    <x v="1"/>
    <n v="340.04"/>
    <s v="5% off"/>
    <m/>
    <x v="0"/>
    <x v="0"/>
    <n v="340.04"/>
    <x v="3"/>
    <n v="4"/>
    <s v="Good"/>
  </r>
  <r>
    <s v="6338ed2c-8e79-4e00-8da7-83ac6c73008c"/>
    <x v="5"/>
    <x v="0"/>
    <x v="48"/>
    <x v="6"/>
    <x v="10"/>
    <s v="2025-01-17"/>
    <x v="0"/>
    <x v="9"/>
    <x v="1"/>
    <n v="782.29"/>
    <s v="15% off"/>
    <m/>
    <x v="0"/>
    <x v="0"/>
    <n v="782.29"/>
    <x v="0"/>
    <n v="2"/>
    <s v="Poor"/>
  </r>
  <r>
    <s v="348c8c8f-f5bc-44d0-9377-dc4fdbe4ff47"/>
    <x v="19"/>
    <x v="1"/>
    <x v="49"/>
    <x v="1"/>
    <x v="25"/>
    <s v="2024-10-23"/>
    <x v="4"/>
    <x v="5"/>
    <x v="0"/>
    <n v="527.16999999999996"/>
    <s v="10% off"/>
    <m/>
    <x v="0"/>
    <x v="0"/>
    <n v="527.16999999999996"/>
    <x v="2"/>
    <n v="5"/>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FAA59-1BF6-4883-B3A0-721288094B16}"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3:C16" firstHeaderRow="1" firstDataRow="2" firstDataCol="1"/>
  <pivotFields count="19">
    <pivotField dataField="1" showAll="0"/>
    <pivotField axis="axisRow" showAll="0" measureFilter="1">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axis="axisCol" showAll="0">
      <items count="3">
        <item x="1"/>
        <item x="0"/>
        <item t="default"/>
      </items>
    </pivotField>
    <pivotField numFmtId="164" showAll="0"/>
    <pivotField showAll="0"/>
    <pivotField showAll="0"/>
    <pivotField showAll="0"/>
  </pivotFields>
  <rowFields count="1">
    <field x="1"/>
  </rowFields>
  <rowItems count="12">
    <i>
      <x v="1"/>
    </i>
    <i>
      <x v="2"/>
    </i>
    <i>
      <x v="3"/>
    </i>
    <i>
      <x v="12"/>
    </i>
    <i>
      <x v="14"/>
    </i>
    <i>
      <x v="18"/>
    </i>
    <i>
      <x v="23"/>
    </i>
    <i>
      <x v="37"/>
    </i>
    <i>
      <x v="40"/>
    </i>
    <i>
      <x v="47"/>
    </i>
    <i>
      <x v="49"/>
    </i>
    <i>
      <x v="52"/>
    </i>
  </rowItems>
  <colFields count="1">
    <field x="14"/>
  </colFields>
  <colItems count="2">
    <i>
      <x/>
    </i>
    <i>
      <x v="1"/>
    </i>
  </colItems>
  <dataFields count="1">
    <dataField name="Count of Customer_ID" fld="0" subtotal="count" baseField="0" baseItem="0"/>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3" series="1">
      <pivotArea type="data" outline="0" fieldPosition="0">
        <references count="2">
          <reference field="4294967294" count="1" selected="0">
            <x v="0"/>
          </reference>
          <reference field="14" count="1" selected="0">
            <x v="0"/>
          </reference>
        </references>
      </pivotArea>
    </chartFormat>
    <chartFormat chart="1" format="4" series="1">
      <pivotArea type="data" outline="0" fieldPosition="0">
        <references count="2">
          <reference field="4294967294" count="1" selected="0">
            <x v="0"/>
          </reference>
          <reference field="14" count="1" selected="0">
            <x v="1"/>
          </reference>
        </references>
      </pivotArea>
    </chartFormat>
    <chartFormat chart="2" format="5" series="1">
      <pivotArea type="data" outline="0" fieldPosition="0">
        <references count="2">
          <reference field="4294967294" count="1" selected="0">
            <x v="0"/>
          </reference>
          <reference field="14" count="1" selected="0">
            <x v="0"/>
          </reference>
        </references>
      </pivotArea>
    </chartFormat>
    <chartFormat chart="2" format="6" series="1">
      <pivotArea type="data" outline="0" fieldPosition="0">
        <references count="2">
          <reference field="4294967294" count="1" selected="0">
            <x v="0"/>
          </reference>
          <reference field="14" count="1" selected="0">
            <x v="1"/>
          </reference>
        </references>
      </pivotArea>
    </chartFormat>
    <chartFormat chart="6" format="3" series="1">
      <pivotArea type="data" outline="0" fieldPosition="0">
        <references count="2">
          <reference field="4294967294" count="1" selected="0">
            <x v="0"/>
          </reference>
          <reference field="14" count="1" selected="0">
            <x v="0"/>
          </reference>
        </references>
      </pivotArea>
    </chartFormat>
    <chartFormat chart="6" format="4" series="1">
      <pivotArea type="data" outline="0" fieldPosition="0">
        <references count="2">
          <reference field="4294967294" count="1" selected="0">
            <x v="0"/>
          </reference>
          <reference field="14" count="1" selected="0">
            <x v="1"/>
          </reference>
        </references>
      </pivotArea>
    </chartFormat>
    <chartFormat chart="30" format="9" series="1">
      <pivotArea type="data" outline="0" fieldPosition="0">
        <references count="2">
          <reference field="4294967294" count="1" selected="0">
            <x v="0"/>
          </reference>
          <reference field="14" count="1" selected="0">
            <x v="0"/>
          </reference>
        </references>
      </pivotArea>
    </chartFormat>
    <chartFormat chart="30" format="10"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9BC0B-8752-4F86-AA2D-BC32DEDC0EF8}"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X3:Y7"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pivotField showAll="0">
      <items count="13">
        <item x="9"/>
        <item x="8"/>
        <item x="6"/>
        <item x="0"/>
        <item x="4"/>
        <item x="11"/>
        <item x="2"/>
        <item x="3"/>
        <item x="10"/>
        <item x="5"/>
        <item x="1"/>
        <item x="7"/>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axis="axisRow" showAll="0">
      <items count="5">
        <item x="2"/>
        <item x="1"/>
        <item x="3"/>
        <item x="0"/>
        <item t="default"/>
      </items>
    </pivotField>
    <pivotField showAll="0"/>
    <pivotField showAll="0"/>
  </pivotFields>
  <rowFields count="1">
    <field x="16"/>
  </rowFields>
  <rowItems count="4">
    <i>
      <x/>
    </i>
    <i>
      <x v="1"/>
    </i>
    <i>
      <x v="2"/>
    </i>
    <i>
      <x v="3"/>
    </i>
  </rowItems>
  <colItems count="1">
    <i/>
  </colItems>
  <dataFields count="1">
    <dataField name="Count of Customer_ID" fld="0" subtotal="count" baseField="0" baseItem="0"/>
  </dataFields>
  <chartFormats count="16">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6" count="1" selected="0">
            <x v="0"/>
          </reference>
        </references>
      </pivotArea>
    </chartFormat>
    <chartFormat chart="9" format="2">
      <pivotArea type="data" outline="0" fieldPosition="0">
        <references count="2">
          <reference field="4294967294" count="1" selected="0">
            <x v="0"/>
          </reference>
          <reference field="16" count="1" selected="0">
            <x v="1"/>
          </reference>
        </references>
      </pivotArea>
    </chartFormat>
    <chartFormat chart="9" format="3">
      <pivotArea type="data" outline="0" fieldPosition="0">
        <references count="2">
          <reference field="4294967294" count="1" selected="0">
            <x v="0"/>
          </reference>
          <reference field="16" count="1" selected="0">
            <x v="2"/>
          </reference>
        </references>
      </pivotArea>
    </chartFormat>
    <chartFormat chart="9" format="4">
      <pivotArea type="data" outline="0" fieldPosition="0">
        <references count="2">
          <reference field="4294967294" count="1" selected="0">
            <x v="0"/>
          </reference>
          <reference field="16"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6" count="1" selected="0">
            <x v="0"/>
          </reference>
        </references>
      </pivotArea>
    </chartFormat>
    <chartFormat chart="11" format="12">
      <pivotArea type="data" outline="0" fieldPosition="0">
        <references count="2">
          <reference field="4294967294" count="1" selected="0">
            <x v="0"/>
          </reference>
          <reference field="16" count="1" selected="0">
            <x v="1"/>
          </reference>
        </references>
      </pivotArea>
    </chartFormat>
    <chartFormat chart="11" format="13">
      <pivotArea type="data" outline="0" fieldPosition="0">
        <references count="2">
          <reference field="4294967294" count="1" selected="0">
            <x v="0"/>
          </reference>
          <reference field="16" count="1" selected="0">
            <x v="2"/>
          </reference>
        </references>
      </pivotArea>
    </chartFormat>
    <chartFormat chart="11" format="14">
      <pivotArea type="data" outline="0" fieldPosition="0">
        <references count="2">
          <reference field="4294967294" count="1" selected="0">
            <x v="0"/>
          </reference>
          <reference field="16" count="1" selected="0">
            <x v="3"/>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16" count="1" selected="0">
            <x v="0"/>
          </reference>
        </references>
      </pivotArea>
    </chartFormat>
    <chartFormat chart="20" format="22">
      <pivotArea type="data" outline="0" fieldPosition="0">
        <references count="2">
          <reference field="4294967294" count="1" selected="0">
            <x v="0"/>
          </reference>
          <reference field="16" count="1" selected="0">
            <x v="1"/>
          </reference>
        </references>
      </pivotArea>
    </chartFormat>
    <chartFormat chart="20" format="23">
      <pivotArea type="data" outline="0" fieldPosition="0">
        <references count="2">
          <reference field="4294967294" count="1" selected="0">
            <x v="0"/>
          </reference>
          <reference field="16" count="1" selected="0">
            <x v="2"/>
          </reference>
        </references>
      </pivotArea>
    </chartFormat>
    <chartFormat chart="20" format="2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76210-66B4-40C9-8CBF-D66348696087}"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G3:AH4"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axis="axisRow" showAll="0" measureFilter="1">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pivotField showAll="0">
      <items count="13">
        <item x="9"/>
        <item x="8"/>
        <item x="6"/>
        <item x="0"/>
        <item x="4"/>
        <item x="11"/>
        <item x="2"/>
        <item x="3"/>
        <item x="10"/>
        <item x="5"/>
        <item x="1"/>
        <item x="7"/>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items count="5">
        <item x="2"/>
        <item x="1"/>
        <item x="3"/>
        <item x="0"/>
        <item t="default"/>
      </items>
    </pivotField>
    <pivotField showAll="0"/>
    <pivotField showAll="0"/>
  </pivotFields>
  <rowFields count="1">
    <field x="5"/>
  </rowFields>
  <rowItems count="1">
    <i>
      <x v="6"/>
    </i>
  </rowItems>
  <colItems count="1">
    <i/>
  </colItems>
  <dataFields count="1">
    <dataField name="Count of Customer_ID" fld="0" subtotal="count" baseField="0" baseItem="0"/>
  </dataFields>
  <pivotTableStyleInfo name="PivotStyleLight16" showRowHeaders="1" showColHeaders="1" showRowStripes="0" showColStripes="0" showLastColumn="1"/>
  <filters count="1">
    <filter fld="5"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0B706-58B5-4402-B8D5-B091C5180B8F}"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O3:P9"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axis="axisRow" showAll="0" measureFilter="1">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pivotField showAll="0"/>
    <pivotField showAll="0"/>
  </pivotFields>
  <rowFields count="1">
    <field x="5"/>
  </rowFields>
  <rowItems count="6">
    <i>
      <x v="4"/>
    </i>
    <i>
      <x v="5"/>
    </i>
    <i>
      <x v="6"/>
    </i>
    <i>
      <x v="11"/>
    </i>
    <i>
      <x v="20"/>
    </i>
    <i>
      <x v="23"/>
    </i>
  </rowItems>
  <colItems count="1">
    <i/>
  </colItems>
  <dataFields count="1">
    <dataField name="Count of Customer_ID" fld="0" subtotal="count"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75E99-36D0-448F-9D3F-442CEDB4BEAB}" name="PivotTable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K3:L10"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axis="axisRow" showAll="0">
      <items count="8">
        <item x="6"/>
        <item x="4"/>
        <item x="0"/>
        <item x="3"/>
        <item x="2"/>
        <item x="5"/>
        <item x="1"/>
        <item t="default"/>
      </items>
    </pivotField>
    <pivotField showAll="0"/>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pivotField showAll="0"/>
    <pivotField showAll="0"/>
  </pivotFields>
  <rowFields count="1">
    <field x="4"/>
  </rowFields>
  <rowItems count="7">
    <i>
      <x/>
    </i>
    <i>
      <x v="1"/>
    </i>
    <i>
      <x v="2"/>
    </i>
    <i>
      <x v="3"/>
    </i>
    <i>
      <x v="4"/>
    </i>
    <i>
      <x v="5"/>
    </i>
    <i>
      <x v="6"/>
    </i>
  </rowItems>
  <colItems count="1">
    <i/>
  </colItems>
  <dataFields count="1">
    <dataField name="Count of Customer_ID" fld="0" subtotal="count" baseField="0" baseItem="0"/>
  </dataFields>
  <chartFormats count="4">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EEA745-4BD6-4E7F-952C-DFA1FD40737E}"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F3:G14" firstHeaderRow="1" firstDataRow="1" firstDataCol="1"/>
  <pivotFields count="19">
    <pivotField dataField="1" showAll="0"/>
    <pivotField showAll="0"/>
    <pivotField showAll="0">
      <items count="3">
        <item x="0"/>
        <item x="1"/>
        <item t="default"/>
      </items>
    </pivotField>
    <pivotField axis="axisRow" showAll="0" measureFilter="1">
      <items count="141">
        <item x="2"/>
        <item x="3"/>
        <item x="1"/>
        <item m="1" x="138"/>
        <item x="12"/>
        <item m="1" x="139"/>
        <item x="0"/>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showAll="0"/>
    <pivotField showAll="0"/>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showAll="0"/>
    <pivotField numFmtId="164" showAll="0"/>
    <pivotField showAll="0"/>
    <pivotField showAll="0"/>
    <pivotField showAll="0"/>
  </pivotFields>
  <rowFields count="1">
    <field x="3"/>
  </rowFields>
  <rowItems count="11">
    <i>
      <x v="35"/>
    </i>
    <i>
      <x v="44"/>
    </i>
    <i>
      <x v="58"/>
    </i>
    <i>
      <x v="60"/>
    </i>
    <i>
      <x v="61"/>
    </i>
    <i>
      <x v="74"/>
    </i>
    <i>
      <x v="77"/>
    </i>
    <i>
      <x v="78"/>
    </i>
    <i>
      <x v="91"/>
    </i>
    <i>
      <x v="92"/>
    </i>
    <i>
      <x v="93"/>
    </i>
  </rowItems>
  <colItems count="1">
    <i/>
  </colItems>
  <dataFields count="1">
    <dataField name="Count of Customer_ID" fld="0" subtotal="count" baseField="0"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1E7092-DB8E-4258-A3E5-2153E9EEE80A}"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S3:T15"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items count="8">
        <item x="6"/>
        <item x="1"/>
        <item x="4"/>
        <item x="3"/>
        <item x="0"/>
        <item x="2"/>
        <item x="5"/>
        <item t="default"/>
      </items>
    </pivotField>
    <pivotField axis="axisRow" showAll="0">
      <items count="13">
        <item x="9"/>
        <item x="8"/>
        <item x="6"/>
        <item x="0"/>
        <item x="4"/>
        <item x="11"/>
        <item x="2"/>
        <item x="3"/>
        <item x="10"/>
        <item x="5"/>
        <item x="1"/>
        <item x="7"/>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pivotField showAll="0"/>
    <pivotField showAll="0"/>
  </pivotFields>
  <rowFields count="1">
    <field x="8"/>
  </rowFields>
  <rowItems count="12">
    <i>
      <x/>
    </i>
    <i>
      <x v="1"/>
    </i>
    <i>
      <x v="2"/>
    </i>
    <i>
      <x v="3"/>
    </i>
    <i>
      <x v="4"/>
    </i>
    <i>
      <x v="5"/>
    </i>
    <i>
      <x v="6"/>
    </i>
    <i>
      <x v="7"/>
    </i>
    <i>
      <x v="8"/>
    </i>
    <i>
      <x v="9"/>
    </i>
    <i>
      <x v="10"/>
    </i>
    <i>
      <x v="11"/>
    </i>
  </rowItems>
  <colItems count="1">
    <i/>
  </colItems>
  <dataFields count="1">
    <dataField name="Count of Customer_ID" fld="0" subtotal="count" baseField="0" baseItem="0"/>
  </dataFields>
  <chartFormats count="3">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266191-7817-4DD3-8C16-7D64F405FCCA}" name="PivotTable8"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C3:AD4" firstHeaderRow="0" firstDataRow="1" firstDataCol="0"/>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items count="8">
        <item x="6"/>
        <item x="1"/>
        <item x="4"/>
        <item x="3"/>
        <item x="0"/>
        <item x="2"/>
        <item x="5"/>
        <item t="default"/>
      </items>
    </pivotField>
    <pivotField showAll="0">
      <items count="13">
        <item x="9"/>
        <item x="8"/>
        <item x="6"/>
        <item x="0"/>
        <item x="4"/>
        <item x="11"/>
        <item x="2"/>
        <item x="3"/>
        <item x="10"/>
        <item x="5"/>
        <item x="1"/>
        <item x="7"/>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dataField="1" numFmtId="164" showAll="0"/>
    <pivotField showAll="0">
      <items count="5">
        <item x="2"/>
        <item x="1"/>
        <item x="3"/>
        <item x="0"/>
        <item t="default"/>
      </items>
    </pivotField>
    <pivotField showAll="0"/>
    <pivotField showAll="0"/>
  </pivotFields>
  <rowItems count="1">
    <i/>
  </rowItems>
  <colFields count="1">
    <field x="-2"/>
  </colFields>
  <colItems count="2">
    <i>
      <x/>
    </i>
    <i i="1">
      <x v="1"/>
    </i>
  </colItems>
  <dataFields count="2">
    <dataField name="Sum of Total Amount" fld="15" baseField="0" baseItem="0" numFmtId="167"/>
    <dataField name="Count of Customer_ID" fld="0" subtotal="count" baseField="0" baseItem="0"/>
  </dataFields>
  <formats count="2">
    <format dxfId="4">
      <pivotArea outline="0" fieldPosition="0">
        <references count="1">
          <reference field="4294967294" count="1">
            <x v="0"/>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7970A-1ADA-41D5-8457-94CE8802EC26}"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8"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axis="axisRow" showAll="0">
      <items count="8">
        <item x="6"/>
        <item x="4"/>
        <item x="0"/>
        <item x="3"/>
        <item x="2"/>
        <item x="5"/>
        <item x="1"/>
        <item t="default"/>
      </items>
    </pivotField>
    <pivotField showAll="0"/>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pivotField showAll="0"/>
    <pivotField showAll="0"/>
  </pivotFields>
  <rowFields count="1">
    <field x="4"/>
  </rowFields>
  <rowItems count="7">
    <i>
      <x/>
    </i>
    <i>
      <x v="1"/>
    </i>
    <i>
      <x v="2"/>
    </i>
    <i>
      <x v="3"/>
    </i>
    <i>
      <x v="4"/>
    </i>
    <i>
      <x v="5"/>
    </i>
    <i>
      <x v="6"/>
    </i>
  </rowItems>
  <colItems count="1">
    <i/>
  </colItems>
  <dataFields count="1">
    <dataField name="Count of Customer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489E8E-FA6A-4C62-BCD5-64D87F14EE15}"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C14" firstHeaderRow="1" firstDataRow="2" firstDataCol="1"/>
  <pivotFields count="19">
    <pivotField dataField="1" showAll="0"/>
    <pivotField axis="axisRow" showAll="0" measureFilter="1">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axis="axisCol" showAll="0">
      <items count="3">
        <item x="1"/>
        <item x="0"/>
        <item t="default"/>
      </items>
    </pivotField>
    <pivotField numFmtId="164" showAll="0"/>
    <pivotField showAll="0"/>
    <pivotField showAll="0"/>
    <pivotField showAll="0"/>
  </pivotFields>
  <rowFields count="1">
    <field x="1"/>
  </rowFields>
  <rowItems count="12">
    <i>
      <x v="1"/>
    </i>
    <i>
      <x v="2"/>
    </i>
    <i>
      <x v="3"/>
    </i>
    <i>
      <x v="12"/>
    </i>
    <i>
      <x v="14"/>
    </i>
    <i>
      <x v="18"/>
    </i>
    <i>
      <x v="23"/>
    </i>
    <i>
      <x v="37"/>
    </i>
    <i>
      <x v="40"/>
    </i>
    <i>
      <x v="47"/>
    </i>
    <i>
      <x v="49"/>
    </i>
    <i>
      <x v="52"/>
    </i>
  </rowItems>
  <colFields count="1">
    <field x="14"/>
  </colFields>
  <colItems count="2">
    <i>
      <x/>
    </i>
    <i>
      <x v="1"/>
    </i>
  </colItems>
  <dataFields count="1">
    <dataField name="Count of Customer_ID" fld="0" subtotal="count" baseField="0" baseItem="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3DCF82-D33D-4A4B-93F2-41689D79F936}"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B12" firstHeaderRow="1" firstDataRow="1" firstDataCol="1"/>
  <pivotFields count="19">
    <pivotField dataField="1" showAll="0"/>
    <pivotField showAll="0"/>
    <pivotField showAll="0">
      <items count="3">
        <item x="0"/>
        <item x="1"/>
        <item t="default"/>
      </items>
    </pivotField>
    <pivotField axis="axisRow" showAll="0" measureFilter="1">
      <items count="141">
        <item x="2"/>
        <item x="3"/>
        <item x="1"/>
        <item m="1" x="138"/>
        <item x="12"/>
        <item m="1" x="139"/>
        <item x="0"/>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showAll="0"/>
    <pivotField showAll="0"/>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showAll="0"/>
    <pivotField numFmtId="164" showAll="0"/>
    <pivotField showAll="0"/>
    <pivotField showAll="0"/>
    <pivotField showAll="0"/>
  </pivotFields>
  <rowFields count="1">
    <field x="3"/>
  </rowFields>
  <rowItems count="11">
    <i>
      <x v="35"/>
    </i>
    <i>
      <x v="44"/>
    </i>
    <i>
      <x v="58"/>
    </i>
    <i>
      <x v="60"/>
    </i>
    <i>
      <x v="61"/>
    </i>
    <i>
      <x v="74"/>
    </i>
    <i>
      <x v="77"/>
    </i>
    <i>
      <x v="78"/>
    </i>
    <i>
      <x v="91"/>
    </i>
    <i>
      <x v="92"/>
    </i>
    <i>
      <x v="93"/>
    </i>
  </rowItems>
  <colItems count="1">
    <i/>
  </colItems>
  <dataFields count="1">
    <dataField name="Count of Custom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514E3F-7B91-483F-8516-7268DDDA17D0}"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B13"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items count="8">
        <item x="6"/>
        <item x="1"/>
        <item x="4"/>
        <item x="3"/>
        <item x="0"/>
        <item x="2"/>
        <item x="5"/>
        <item t="default"/>
      </items>
    </pivotField>
    <pivotField axis="axisRow" showAll="0">
      <items count="13">
        <item x="9"/>
        <item x="8"/>
        <item x="6"/>
        <item x="0"/>
        <item x="4"/>
        <item x="11"/>
        <item x="2"/>
        <item x="3"/>
        <item x="10"/>
        <item x="5"/>
        <item x="1"/>
        <item x="7"/>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pivotField showAll="0"/>
    <pivotField showAll="0"/>
  </pivotFields>
  <rowFields count="1">
    <field x="8"/>
  </rowFields>
  <rowItems count="12">
    <i>
      <x/>
    </i>
    <i>
      <x v="1"/>
    </i>
    <i>
      <x v="2"/>
    </i>
    <i>
      <x v="3"/>
    </i>
    <i>
      <x v="4"/>
    </i>
    <i>
      <x v="5"/>
    </i>
    <i>
      <x v="6"/>
    </i>
    <i>
      <x v="7"/>
    </i>
    <i>
      <x v="8"/>
    </i>
    <i>
      <x v="9"/>
    </i>
    <i>
      <x v="10"/>
    </i>
    <i>
      <x v="11"/>
    </i>
  </rowItems>
  <colItems count="1">
    <i/>
  </colItems>
  <dataFields count="1">
    <dataField name="Count of Customer_I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CD388C-5DC4-4396-9A04-4E8856F33653}" name="PivotTable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B7"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axis="axisRow" showAll="0" measureFilter="1">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items count="8">
        <item x="6"/>
        <item x="1"/>
        <item x="4"/>
        <item x="3"/>
        <item x="0"/>
        <item x="2"/>
        <item x="5"/>
        <item t="default"/>
      </items>
    </pivotField>
    <pivotField showAll="0"/>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showAll="0"/>
    <pivotField showAll="0"/>
    <pivotField showAll="0"/>
  </pivotFields>
  <rowFields count="1">
    <field x="5"/>
  </rowFields>
  <rowItems count="6">
    <i>
      <x v="4"/>
    </i>
    <i>
      <x v="5"/>
    </i>
    <i>
      <x v="6"/>
    </i>
    <i>
      <x v="11"/>
    </i>
    <i>
      <x v="20"/>
    </i>
    <i>
      <x v="23"/>
    </i>
  </rowItems>
  <colItems count="1">
    <i/>
  </colItems>
  <dataFields count="1">
    <dataField name="Count of Custom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9E66D87-C27A-4E08-BB34-7DCB2C701E2F}"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B5" firstHeaderRow="1" firstDataRow="1" firstDataCol="1"/>
  <pivotFields count="19">
    <pivotField dataField="1" showAll="0"/>
    <pivotField showAll="0">
      <items count="54">
        <item x="37"/>
        <item x="17"/>
        <item x="40"/>
        <item x="27"/>
        <item x="4"/>
        <item x="38"/>
        <item x="2"/>
        <item x="46"/>
        <item x="45"/>
        <item x="24"/>
        <item x="20"/>
        <item x="21"/>
        <item x="6"/>
        <item x="7"/>
        <item x="19"/>
        <item x="22"/>
        <item x="41"/>
        <item x="30"/>
        <item x="28"/>
        <item x="1"/>
        <item x="39"/>
        <item x="23"/>
        <item x="50"/>
        <item x="11"/>
        <item x="52"/>
        <item x="34"/>
        <item x="10"/>
        <item x="12"/>
        <item x="9"/>
        <item x="13"/>
        <item x="36"/>
        <item x="26"/>
        <item x="33"/>
        <item x="18"/>
        <item x="35"/>
        <item x="5"/>
        <item x="16"/>
        <item x="32"/>
        <item x="48"/>
        <item x="15"/>
        <item x="43"/>
        <item x="47"/>
        <item x="49"/>
        <item x="3"/>
        <item x="51"/>
        <item x="0"/>
        <item x="42"/>
        <item x="25"/>
        <item x="14"/>
        <item x="31"/>
        <item x="29"/>
        <item x="8"/>
        <item x="44"/>
        <item t="default"/>
      </items>
    </pivotField>
    <pivotField showAll="0">
      <items count="3">
        <item x="0"/>
        <item x="1"/>
        <item t="default"/>
      </items>
    </pivotField>
    <pivotField showAll="0"/>
    <pivotField showAll="0"/>
    <pivotField showAll="0">
      <items count="29">
        <item x="26"/>
        <item x="18"/>
        <item x="1"/>
        <item x="21"/>
        <item x="24"/>
        <item x="6"/>
        <item x="13"/>
        <item x="23"/>
        <item x="8"/>
        <item x="20"/>
        <item x="19"/>
        <item x="11"/>
        <item x="0"/>
        <item x="14"/>
        <item x="3"/>
        <item x="25"/>
        <item x="5"/>
        <item x="27"/>
        <item x="17"/>
        <item x="10"/>
        <item x="22"/>
        <item x="4"/>
        <item x="12"/>
        <item x="15"/>
        <item x="9"/>
        <item x="7"/>
        <item x="2"/>
        <item x="16"/>
        <item t="default"/>
      </items>
    </pivotField>
    <pivotField showAll="0"/>
    <pivotField showAll="0">
      <items count="8">
        <item x="6"/>
        <item x="1"/>
        <item x="4"/>
        <item x="3"/>
        <item x="0"/>
        <item x="2"/>
        <item x="5"/>
        <item t="default"/>
      </items>
    </pivotField>
    <pivotField showAll="0">
      <items count="13">
        <item x="9"/>
        <item x="8"/>
        <item x="6"/>
        <item x="0"/>
        <item x="4"/>
        <item x="11"/>
        <item x="2"/>
        <item x="3"/>
        <item x="10"/>
        <item x="5"/>
        <item x="1"/>
        <item x="7"/>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numFmtId="164" showAll="0"/>
    <pivotField axis="axisRow" showAll="0">
      <items count="5">
        <item x="2"/>
        <item x="1"/>
        <item x="3"/>
        <item x="0"/>
        <item t="default"/>
      </items>
    </pivotField>
    <pivotField showAll="0"/>
    <pivotField showAll="0"/>
  </pivotFields>
  <rowFields count="1">
    <field x="16"/>
  </rowFields>
  <rowItems count="4">
    <i>
      <x/>
    </i>
    <i>
      <x v="1"/>
    </i>
    <i>
      <x v="2"/>
    </i>
    <i>
      <x v="3"/>
    </i>
  </rowItems>
  <colItems count="1">
    <i/>
  </colItems>
  <dataFields count="1">
    <dataField name="Count of Customer_ID" fld="0" subtotal="count" baseField="0" baseItem="0"/>
  </dataFields>
  <chartFormats count="6">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6" count="1" selected="0">
            <x v="0"/>
          </reference>
        </references>
      </pivotArea>
    </chartFormat>
    <chartFormat chart="9" format="2">
      <pivotArea type="data" outline="0" fieldPosition="0">
        <references count="2">
          <reference field="4294967294" count="1" selected="0">
            <x v="0"/>
          </reference>
          <reference field="16" count="1" selected="0">
            <x v="1"/>
          </reference>
        </references>
      </pivotArea>
    </chartFormat>
    <chartFormat chart="9" format="3">
      <pivotArea type="data" outline="0" fieldPosition="0">
        <references count="2">
          <reference field="4294967294" count="1" selected="0">
            <x v="0"/>
          </reference>
          <reference field="16" count="1" selected="0">
            <x v="2"/>
          </reference>
        </references>
      </pivotArea>
    </chartFormat>
    <chartFormat chart="9" format="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6474681-5104-4479-B928-7E7EBD0EB6E6}" sourceName="Day">
  <pivotTables>
    <pivotTable tabId="2" name="PivotTable8"/>
    <pivotTable tabId="2" name="PivotTable1"/>
    <pivotTable tabId="2" name="PivotTable2"/>
    <pivotTable tabId="2" name="PivotTable3"/>
    <pivotTable tabId="2" name="PivotTable4"/>
    <pivotTable tabId="2" name="PivotTable5"/>
    <pivotTable tabId="5" name="PivotTable1"/>
    <pivotTable tabId="7" name="PivotTable2"/>
    <pivotTable tabId="9" name="PivotTable4"/>
    <pivotTable tabId="10" name="PivotTable5"/>
    <pivotTable tabId="6" name="PivotTable1"/>
    <pivotTable tabId="8" name="PivotTable3"/>
  </pivotTables>
  <data>
    <tabular pivotCacheId="1124904459">
      <items count="7">
        <i x="6" s="1"/>
        <i x="1" s="1"/>
        <i x="4" s="1"/>
        <i x="3"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E8AB2B-9837-481B-81FB-F2984D232434}" sourceName="Gender">
  <pivotTables>
    <pivotTable tabId="2" name="PivotTable8"/>
    <pivotTable tabId="2" name="PivotTable1"/>
    <pivotTable tabId="2" name="PivotTable2"/>
    <pivotTable tabId="2" name="PivotTable3"/>
    <pivotTable tabId="2" name="PivotTable4"/>
    <pivotTable tabId="2" name="PivotTable5"/>
    <pivotTable tabId="2" name="PivotTable9"/>
    <pivotTable tabId="6" name="PivotTable1"/>
    <pivotTable tabId="5" name="PivotTable1"/>
    <pivotTable tabId="7" name="PivotTable2"/>
    <pivotTable tabId="8" name="PivotTable3"/>
    <pivotTable tabId="9" name="PivotTable4"/>
    <pivotTable tabId="10" name="PivotTable5"/>
    <pivotTable tabId="2" name="PivotTable6"/>
  </pivotTables>
  <data>
    <tabular pivotCacheId="112490445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889591-3EA0-416F-B4ED-C6A730109E0C}" sourceName="Year">
  <pivotTables>
    <pivotTable tabId="2" name="PivotTable8"/>
    <pivotTable tabId="2" name="PivotTable1"/>
    <pivotTable tabId="2" name="PivotTable2"/>
    <pivotTable tabId="2" name="PivotTable3"/>
    <pivotTable tabId="2" name="PivotTable4"/>
    <pivotTable tabId="2" name="PivotTable5"/>
    <pivotTable tabId="2" name="PivotTable9"/>
    <pivotTable tabId="5" name="PivotTable1"/>
    <pivotTable tabId="7" name="PivotTable2"/>
    <pivotTable tabId="8" name="PivotTable3"/>
    <pivotTable tabId="9" name="PivotTable4"/>
    <pivotTable tabId="10" name="PivotTable5"/>
    <pivotTable tabId="6" name="PivotTable1"/>
    <pivotTable tabId="2" name="PivotTable6"/>
  </pivotTables>
  <data>
    <tabular pivotCacheId="11249044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948C6A56-08F1-4B18-B402-F211DBD94123}" cache="Slicer_Day" caption="Day" columnCount="7" rowHeight="216000"/>
  <slicer name="Gender" xr10:uid="{3F8224B3-A85B-409A-994C-45D9600CE51A}" cache="Slicer_Gender" caption="Gender" columnCount="2" rowHeight="257175"/>
  <slicer name="Year" xr10:uid="{32975B3F-2D8E-49C5-A146-4CB097C1F03A}" cache="Slicer_Year" caption="Year"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2FE06-806A-4BB9-B5C0-4B783A9283DB}" name="walmart" displayName="walmart" ref="A1:S2001" totalsRowShown="0" headerRowDxfId="13" headerRowBorderDxfId="12" tableBorderDxfId="11">
  <autoFilter ref="A1:S2001" xr:uid="{F172FE06-806A-4BB9-B5C0-4B783A9283DB}"/>
  <tableColumns count="19">
    <tableColumn id="1" xr3:uid="{8B01FA39-24DE-4C80-B711-08CF9B395778}" name="Customer_ID"/>
    <tableColumn id="2" xr3:uid="{C774144D-E23A-4F65-9DAA-1011DE241296}" name="Age"/>
    <tableColumn id="3" xr3:uid="{2AE3BC64-393E-4275-A619-DB4FF0B3DE64}" name="Gender"/>
    <tableColumn id="4" xr3:uid="{5E334082-6A7E-4546-BFEF-709013D924D4}" name="City"/>
    <tableColumn id="5" xr3:uid="{0FBCC81B-EEB0-41D1-9608-BFA0EEDF801D}" name="Category"/>
    <tableColumn id="6" xr3:uid="{AA442C14-5B38-4463-9440-D9A07A3F99AD}" name="Product_Name"/>
    <tableColumn id="7" xr3:uid="{07C0C9E2-87F4-4E76-813F-C55B92EFE772}" name="Purchase_Date"/>
    <tableColumn id="19" xr3:uid="{7FDAB98C-291D-4F1B-9A6E-8C02B612D003}" name="Day" dataDxfId="10">
      <calculatedColumnFormula>TEXT(walmart[[#This Row],[Purchase_Date]],"DDD")</calculatedColumnFormula>
    </tableColumn>
    <tableColumn id="18" xr3:uid="{AC17F0D3-AEA9-4D41-A719-D35543CEA449}" name="Month" dataDxfId="9">
      <calculatedColumnFormula>TEXT(walmart[[#This Row],[Purchase_Date]],"MMM")</calculatedColumnFormula>
    </tableColumn>
    <tableColumn id="17" xr3:uid="{2FDD53D4-D7C1-436A-970C-D9F5C9FB0B4E}" name="Year" dataDxfId="8">
      <calculatedColumnFormula>TEXT(walmart[[#This Row],[Purchase_Date]],"YYY")</calculatedColumnFormula>
    </tableColumn>
    <tableColumn id="8" xr3:uid="{678471DB-1523-465C-9391-0562A8368049}" name="Purchase_Amount" dataDxfId="7"/>
    <tableColumn id="9" xr3:uid="{6FD443A7-E87B-4231-91D7-47E16DDA51EE}" name="Discount Percentage">
      <calculatedColumnFormula>IF(K2&lt;150,"0% off",IF(K2&lt;500,"5% off",IF(K2&lt;700,"10% off",IF(K2&lt;900,"15% off","20% off"))))</calculatedColumnFormula>
    </tableColumn>
    <tableColumn id="10" xr3:uid="{84753FAF-AE50-44E6-A7A6-483F2FEA77DD}" name="Profit" dataDxfId="6"/>
    <tableColumn id="11" xr3:uid="{AAF56333-DAAD-4143-A1CA-6C3F8AD86135}" name="Discount_Applied">
      <calculatedColumnFormula>IF(L2="0% off", "No", "Yes")</calculatedColumnFormula>
    </tableColumn>
    <tableColumn id="12" xr3:uid="{678B42EA-B7D6-466E-9677-F9700AA9502B}" name="Repeat_Customer"/>
    <tableColumn id="13" xr3:uid="{9C9E1AD8-21BC-4FB6-BFD6-3703CDBC0882}" name="Total Amount" dataDxfId="5">
      <calculatedColumnFormula>K2-M2</calculatedColumnFormula>
    </tableColumn>
    <tableColumn id="14" xr3:uid="{F691A53A-DA0E-40EA-9C87-D91DF1E00A83}" name="Payment_Method"/>
    <tableColumn id="15" xr3:uid="{D6104910-AA03-44EE-8B9B-83023223F364}" name="Rating"/>
    <tableColumn id="16" xr3:uid="{B1C5DCF2-43BD-41B2-959A-E804A14DE492}" name="Customer Feedback">
      <calculatedColumnFormula>IF(R2=5, "Excellent", IF(R2=4, "Good", IF(R2=3, "Average", IF(R2=2, "Poor", IF(R2=1, "Very Poor", "Invalid Rating")))))</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BB0E-EB20-45DC-AFB3-90FD46E611C1}">
  <dimension ref="N13"/>
  <sheetViews>
    <sheetView showGridLines="0" zoomScale="70" zoomScaleNormal="70" workbookViewId="0">
      <selection activeCell="Y18" sqref="Y18"/>
    </sheetView>
  </sheetViews>
  <sheetFormatPr defaultRowHeight="15" x14ac:dyDescent="0.25"/>
  <sheetData>
    <row r="13" spans="14:14" x14ac:dyDescent="0.25">
      <c r="N13" t="s">
        <v>2579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9AD5-361B-4F1C-8FDC-0D8310594282}">
  <dimension ref="A1:S2001"/>
  <sheetViews>
    <sheetView topLeftCell="A47" zoomScale="74" workbookViewId="0">
      <selection activeCell="D2" sqref="D2"/>
    </sheetView>
  </sheetViews>
  <sheetFormatPr defaultRowHeight="15" x14ac:dyDescent="0.25"/>
  <cols>
    <col min="1" max="1" width="41.7109375" bestFit="1" customWidth="1"/>
    <col min="2" max="2" width="10.7109375" customWidth="1"/>
    <col min="3" max="3" width="14.28515625" bestFit="1" customWidth="1"/>
    <col min="4" max="4" width="14.7109375" customWidth="1"/>
    <col min="5" max="5" width="15.5703125" bestFit="1" customWidth="1"/>
    <col min="6" max="6" width="20.5703125" bestFit="1" customWidth="1"/>
    <col min="7" max="7" width="20.85546875" bestFit="1" customWidth="1"/>
    <col min="8" max="9" width="16.5703125" customWidth="1"/>
    <col min="10" max="10" width="11.5703125" bestFit="1" customWidth="1"/>
    <col min="11" max="11" width="23.85546875" style="3" customWidth="1"/>
    <col min="12" max="12" width="26.5703125" bestFit="1" customWidth="1"/>
    <col min="13" max="13" width="12.42578125" style="3" customWidth="1"/>
    <col min="14" max="14" width="23.5703125" bestFit="1" customWidth="1"/>
    <col min="15" max="15" width="23.85546875" bestFit="1" customWidth="1"/>
    <col min="16" max="16" width="19.42578125" style="3" bestFit="1" customWidth="1"/>
    <col min="17" max="17" width="23.28515625" bestFit="1" customWidth="1"/>
    <col min="18" max="18" width="13.140625" bestFit="1" customWidth="1"/>
    <col min="19" max="19" width="25.5703125" customWidth="1"/>
  </cols>
  <sheetData>
    <row r="1" spans="1:19" x14ac:dyDescent="0.25">
      <c r="A1" s="1" t="s">
        <v>0</v>
      </c>
      <c r="B1" s="1" t="s">
        <v>1</v>
      </c>
      <c r="C1" s="1" t="s">
        <v>2</v>
      </c>
      <c r="D1" s="6" t="s">
        <v>3</v>
      </c>
      <c r="E1" s="1" t="s">
        <v>4</v>
      </c>
      <c r="F1" s="1" t="s">
        <v>5</v>
      </c>
      <c r="G1" s="1" t="s">
        <v>6</v>
      </c>
      <c r="H1" s="1" t="s">
        <v>2426</v>
      </c>
      <c r="I1" s="1" t="s">
        <v>2427</v>
      </c>
      <c r="J1" s="1" t="s">
        <v>2428</v>
      </c>
      <c r="K1" s="2" t="s">
        <v>7</v>
      </c>
      <c r="L1" s="1" t="s">
        <v>2429</v>
      </c>
      <c r="M1" s="2" t="s">
        <v>8</v>
      </c>
      <c r="N1" s="1" t="s">
        <v>9</v>
      </c>
      <c r="O1" s="1" t="s">
        <v>10</v>
      </c>
      <c r="P1" s="2" t="s">
        <v>11</v>
      </c>
      <c r="Q1" s="1" t="s">
        <v>12</v>
      </c>
      <c r="R1" s="1" t="s">
        <v>13</v>
      </c>
      <c r="S1" s="1" t="s">
        <v>14</v>
      </c>
    </row>
    <row r="2" spans="1:19" x14ac:dyDescent="0.25">
      <c r="A2" t="s">
        <v>15</v>
      </c>
      <c r="B2">
        <v>63</v>
      </c>
      <c r="C2" t="s">
        <v>16</v>
      </c>
      <c r="D2" t="s">
        <v>2433</v>
      </c>
      <c r="E2" t="s">
        <v>18</v>
      </c>
      <c r="F2" t="s">
        <v>19</v>
      </c>
      <c r="G2" t="s">
        <v>20</v>
      </c>
      <c r="H2" t="str">
        <f>TEXT(walmart[[#This Row],[Purchase_Date]],"DDD")</f>
        <v>Fri</v>
      </c>
      <c r="I2" t="str">
        <f>TEXT(walmart[[#This Row],[Purchase_Date]],"MMM")</f>
        <v>Apr</v>
      </c>
      <c r="J2" t="str">
        <f>TEXT(walmart[[#This Row],[Purchase_Date]],"YYY")</f>
        <v>2024</v>
      </c>
      <c r="K2" s="3">
        <v>697.86</v>
      </c>
      <c r="L2" t="str">
        <f>IF(K2&lt;150,"0% off",IF(K2&lt;500,"5% off",IF(K2&lt;700,"10% off",IF(K2&lt;900,"15% off","20% off"))))</f>
        <v>10% off</v>
      </c>
      <c r="M2" s="3">
        <f>K2 * (LEFT(L2, LEN(L2)-5) / 100)</f>
        <v>69.786000000000001</v>
      </c>
      <c r="N2" t="str">
        <f>IF(L2="0% off", "No", "Yes")</f>
        <v>Yes</v>
      </c>
      <c r="O2" t="s">
        <v>21</v>
      </c>
      <c r="P2" s="3">
        <f>K2-M2</f>
        <v>628.07400000000007</v>
      </c>
      <c r="Q2" t="s">
        <v>22</v>
      </c>
      <c r="R2">
        <v>1</v>
      </c>
      <c r="S2" t="str">
        <f>IF(R2=5, "Excellent", IF(R2=4, "Good", IF(R2=3, "Average", IF(R2=2, "Poor", IF(R2=1, "Very Poor", "Invalid Rating")))))</f>
        <v>Very Poor</v>
      </c>
    </row>
    <row r="3" spans="1:19" x14ac:dyDescent="0.25">
      <c r="A3" t="s">
        <v>23</v>
      </c>
      <c r="B3">
        <v>37</v>
      </c>
      <c r="C3" t="s">
        <v>16</v>
      </c>
      <c r="D3" t="s">
        <v>49</v>
      </c>
      <c r="E3" t="s">
        <v>24</v>
      </c>
      <c r="F3" t="s">
        <v>25</v>
      </c>
      <c r="G3" t="s">
        <v>26</v>
      </c>
      <c r="H3" t="str">
        <f>TEXT(walmart[[#This Row],[Purchase_Date]],"DDD")</f>
        <v>Tue</v>
      </c>
      <c r="I3" t="str">
        <f>TEXT(walmart[[#This Row],[Purchase_Date]],"MMM")</f>
        <v>Nov</v>
      </c>
      <c r="J3" t="str">
        <f>TEXT(walmart[[#This Row],[Purchase_Date]],"YYY")</f>
        <v>2024</v>
      </c>
      <c r="K3" s="3">
        <v>67.040000000000006</v>
      </c>
      <c r="L3" t="str">
        <f t="shared" ref="L3:L66" si="0">IF(K3&lt;150,"0% off",IF(K3&lt;500,"5% off",IF(K3&lt;700,"10% off",IF(K3&lt;900,"15% off","20% off"))))</f>
        <v>0% off</v>
      </c>
      <c r="M3" s="3">
        <f t="shared" ref="M3:M66" si="1">K3 * (LEFT(L3, LEN(L3)-5) / 100)</f>
        <v>0</v>
      </c>
      <c r="N3" t="str">
        <f t="shared" ref="N3:N66" si="2">IF(L3="0% off", "No", "Yes")</f>
        <v>No</v>
      </c>
      <c r="O3" t="s">
        <v>21</v>
      </c>
      <c r="P3" s="3">
        <f t="shared" ref="P3:P66" si="3">K3-M3</f>
        <v>67.040000000000006</v>
      </c>
      <c r="Q3" t="s">
        <v>27</v>
      </c>
      <c r="R3">
        <v>3</v>
      </c>
      <c r="S3" t="str">
        <f t="shared" ref="S3:S66" si="4">IF(R3=5, "Excellent", IF(R3=4, "Good", IF(R3=3, "Average", IF(R3=2, "Poor", IF(R3=1, "Very Poor", "Invalid Rating")))))</f>
        <v>Average</v>
      </c>
    </row>
    <row r="4" spans="1:19" x14ac:dyDescent="0.25">
      <c r="A4" t="s">
        <v>28</v>
      </c>
      <c r="B4">
        <v>24</v>
      </c>
      <c r="C4" t="s">
        <v>29</v>
      </c>
      <c r="D4" t="s">
        <v>30</v>
      </c>
      <c r="E4" t="s">
        <v>31</v>
      </c>
      <c r="F4" t="s">
        <v>32</v>
      </c>
      <c r="G4" t="s">
        <v>33</v>
      </c>
      <c r="H4" t="str">
        <f>TEXT(walmart[[#This Row],[Purchase_Date]],"DDD")</f>
        <v>Sat</v>
      </c>
      <c r="I4" t="str">
        <f>TEXT(walmart[[#This Row],[Purchase_Date]],"MMM")</f>
        <v>Jul</v>
      </c>
      <c r="J4" t="str">
        <f>TEXT(walmart[[#This Row],[Purchase_Date]],"YYY")</f>
        <v>2024</v>
      </c>
      <c r="K4" s="3">
        <v>493.96</v>
      </c>
      <c r="L4" t="str">
        <f t="shared" si="0"/>
        <v>5% off</v>
      </c>
      <c r="M4" s="3">
        <f t="shared" si="1"/>
        <v>24.698</v>
      </c>
      <c r="N4" t="str">
        <f t="shared" si="2"/>
        <v>Yes</v>
      </c>
      <c r="O4" t="s">
        <v>34</v>
      </c>
      <c r="P4" s="3">
        <f t="shared" si="3"/>
        <v>469.262</v>
      </c>
      <c r="Q4" t="s">
        <v>35</v>
      </c>
      <c r="R4">
        <v>3</v>
      </c>
      <c r="S4" t="str">
        <f t="shared" si="4"/>
        <v>Average</v>
      </c>
    </row>
    <row r="5" spans="1:19" x14ac:dyDescent="0.25">
      <c r="A5" t="s">
        <v>36</v>
      </c>
      <c r="B5">
        <v>61</v>
      </c>
      <c r="C5" t="s">
        <v>29</v>
      </c>
      <c r="D5" t="s">
        <v>41</v>
      </c>
      <c r="E5" t="s">
        <v>37</v>
      </c>
      <c r="F5" t="s">
        <v>38</v>
      </c>
      <c r="G5" t="s">
        <v>39</v>
      </c>
      <c r="H5" t="str">
        <f>TEXT(walmart[[#This Row],[Purchase_Date]],"DDD")</f>
        <v>Sat</v>
      </c>
      <c r="I5" t="str">
        <f>TEXT(walmart[[#This Row],[Purchase_Date]],"MMM")</f>
        <v>Nov</v>
      </c>
      <c r="J5" t="str">
        <f>TEXT(walmart[[#This Row],[Purchase_Date]],"YYY")</f>
        <v>2024</v>
      </c>
      <c r="K5" s="3">
        <v>211.46</v>
      </c>
      <c r="L5" t="str">
        <f t="shared" si="0"/>
        <v>5% off</v>
      </c>
      <c r="M5" s="3">
        <f t="shared" si="1"/>
        <v>10.573</v>
      </c>
      <c r="N5" t="str">
        <f t="shared" si="2"/>
        <v>Yes</v>
      </c>
      <c r="O5" t="s">
        <v>34</v>
      </c>
      <c r="P5" s="3">
        <f t="shared" si="3"/>
        <v>200.887</v>
      </c>
      <c r="Q5" t="s">
        <v>35</v>
      </c>
      <c r="R5">
        <v>2</v>
      </c>
      <c r="S5" t="str">
        <f t="shared" si="4"/>
        <v>Poor</v>
      </c>
    </row>
    <row r="6" spans="1:19" x14ac:dyDescent="0.25">
      <c r="A6" t="s">
        <v>40</v>
      </c>
      <c r="B6">
        <v>22</v>
      </c>
      <c r="C6" t="s">
        <v>29</v>
      </c>
      <c r="D6" t="s">
        <v>2434</v>
      </c>
      <c r="E6" t="s">
        <v>42</v>
      </c>
      <c r="F6" t="s">
        <v>43</v>
      </c>
      <c r="G6" t="s">
        <v>44</v>
      </c>
      <c r="H6" t="str">
        <f>TEXT(walmart[[#This Row],[Purchase_Date]],"DDD")</f>
        <v>Fri</v>
      </c>
      <c r="I6" t="str">
        <f>TEXT(walmart[[#This Row],[Purchase_Date]],"MMM")</f>
        <v>Aug</v>
      </c>
      <c r="J6" t="str">
        <f>TEXT(walmart[[#This Row],[Purchase_Date]],"YYY")</f>
        <v>2024</v>
      </c>
      <c r="K6" s="3">
        <v>512.94000000000005</v>
      </c>
      <c r="L6" t="str">
        <f t="shared" si="0"/>
        <v>10% off</v>
      </c>
      <c r="M6" s="3">
        <f t="shared" si="1"/>
        <v>51.294000000000011</v>
      </c>
      <c r="N6" t="str">
        <f t="shared" si="2"/>
        <v>Yes</v>
      </c>
      <c r="O6" t="s">
        <v>21</v>
      </c>
      <c r="P6" s="3">
        <f t="shared" si="3"/>
        <v>461.64600000000007</v>
      </c>
      <c r="Q6" t="s">
        <v>27</v>
      </c>
      <c r="R6">
        <v>2</v>
      </c>
      <c r="S6" t="str">
        <f t="shared" si="4"/>
        <v>Poor</v>
      </c>
    </row>
    <row r="7" spans="1:19" x14ac:dyDescent="0.25">
      <c r="A7" t="s">
        <v>45</v>
      </c>
      <c r="B7">
        <v>53</v>
      </c>
      <c r="C7" t="s">
        <v>16</v>
      </c>
      <c r="D7" t="s">
        <v>2435</v>
      </c>
      <c r="E7" t="s">
        <v>18</v>
      </c>
      <c r="F7" t="s">
        <v>19</v>
      </c>
      <c r="G7" t="s">
        <v>46</v>
      </c>
      <c r="H7" t="str">
        <f>TEXT(walmart[[#This Row],[Purchase_Date]],"DDD")</f>
        <v>Thu</v>
      </c>
      <c r="I7" t="str">
        <f>TEXT(walmart[[#This Row],[Purchase_Date]],"MMM")</f>
        <v>May</v>
      </c>
      <c r="J7" t="str">
        <f>TEXT(walmart[[#This Row],[Purchase_Date]],"YYY")</f>
        <v>2024</v>
      </c>
      <c r="K7" s="3">
        <v>697.86</v>
      </c>
      <c r="L7" t="str">
        <f t="shared" si="0"/>
        <v>10% off</v>
      </c>
      <c r="M7" s="3">
        <f t="shared" si="1"/>
        <v>69.786000000000001</v>
      </c>
      <c r="N7" t="str">
        <f t="shared" si="2"/>
        <v>Yes</v>
      </c>
      <c r="O7" t="s">
        <v>34</v>
      </c>
      <c r="P7" s="3">
        <f t="shared" si="3"/>
        <v>628.07400000000007</v>
      </c>
      <c r="Q7" t="s">
        <v>47</v>
      </c>
      <c r="R7">
        <v>5</v>
      </c>
      <c r="S7" t="str">
        <f t="shared" si="4"/>
        <v>Excellent</v>
      </c>
    </row>
    <row r="8" spans="1:19" x14ac:dyDescent="0.25">
      <c r="A8" t="s">
        <v>48</v>
      </c>
      <c r="B8">
        <v>30</v>
      </c>
      <c r="C8" t="s">
        <v>29</v>
      </c>
      <c r="D8" t="s">
        <v>2436</v>
      </c>
      <c r="E8" t="s">
        <v>42</v>
      </c>
      <c r="F8" t="s">
        <v>43</v>
      </c>
      <c r="G8" t="s">
        <v>50</v>
      </c>
      <c r="H8" t="str">
        <f>TEXT(walmart[[#This Row],[Purchase_Date]],"DDD")</f>
        <v>Thu</v>
      </c>
      <c r="I8" t="str">
        <f>TEXT(walmart[[#This Row],[Purchase_Date]],"MMM")</f>
        <v>Oct</v>
      </c>
      <c r="J8" t="str">
        <f>TEXT(walmart[[#This Row],[Purchase_Date]],"YYY")</f>
        <v>2024</v>
      </c>
      <c r="K8" s="3">
        <v>512.94000000000005</v>
      </c>
      <c r="L8" t="str">
        <f t="shared" si="0"/>
        <v>10% off</v>
      </c>
      <c r="M8" s="3">
        <f t="shared" si="1"/>
        <v>51.294000000000011</v>
      </c>
      <c r="N8" t="str">
        <f t="shared" si="2"/>
        <v>Yes</v>
      </c>
      <c r="O8" t="s">
        <v>34</v>
      </c>
      <c r="P8" s="3">
        <f t="shared" si="3"/>
        <v>461.64600000000007</v>
      </c>
      <c r="Q8" t="s">
        <v>35</v>
      </c>
      <c r="R8">
        <v>2</v>
      </c>
      <c r="S8" t="str">
        <f t="shared" si="4"/>
        <v>Poor</v>
      </c>
    </row>
    <row r="9" spans="1:19" x14ac:dyDescent="0.25">
      <c r="A9" t="s">
        <v>51</v>
      </c>
      <c r="B9">
        <v>31</v>
      </c>
      <c r="C9" t="s">
        <v>16</v>
      </c>
      <c r="D9" t="s">
        <v>2437</v>
      </c>
      <c r="E9" t="s">
        <v>42</v>
      </c>
      <c r="F9" t="s">
        <v>52</v>
      </c>
      <c r="G9" t="s">
        <v>53</v>
      </c>
      <c r="H9" t="str">
        <f>TEXT(walmart[[#This Row],[Purchase_Date]],"DDD")</f>
        <v>Sat</v>
      </c>
      <c r="I9" t="str">
        <f>TEXT(walmart[[#This Row],[Purchase_Date]],"MMM")</f>
        <v>Mar</v>
      </c>
      <c r="J9" t="str">
        <f>TEXT(walmart[[#This Row],[Purchase_Date]],"YYY")</f>
        <v>2025</v>
      </c>
      <c r="K9" s="3">
        <v>988.77</v>
      </c>
      <c r="L9" t="str">
        <f t="shared" si="0"/>
        <v>20% off</v>
      </c>
      <c r="M9" s="3">
        <f t="shared" si="1"/>
        <v>197.75400000000002</v>
      </c>
      <c r="N9" t="str">
        <f t="shared" si="2"/>
        <v>Yes</v>
      </c>
      <c r="O9" t="s">
        <v>21</v>
      </c>
      <c r="P9" s="3">
        <f t="shared" si="3"/>
        <v>791.01599999999996</v>
      </c>
      <c r="Q9" t="s">
        <v>47</v>
      </c>
      <c r="R9">
        <v>3</v>
      </c>
      <c r="S9" t="str">
        <f t="shared" si="4"/>
        <v>Average</v>
      </c>
    </row>
    <row r="10" spans="1:19" x14ac:dyDescent="0.25">
      <c r="A10" t="s">
        <v>54</v>
      </c>
      <c r="B10">
        <v>22</v>
      </c>
      <c r="C10" t="s">
        <v>16</v>
      </c>
      <c r="D10" t="s">
        <v>2438</v>
      </c>
      <c r="E10" t="s">
        <v>55</v>
      </c>
      <c r="F10" t="s">
        <v>56</v>
      </c>
      <c r="G10" t="s">
        <v>57</v>
      </c>
      <c r="H10" t="str">
        <f>TEXT(walmart[[#This Row],[Purchase_Date]],"DDD")</f>
        <v>Wed</v>
      </c>
      <c r="I10" t="str">
        <f>TEXT(walmart[[#This Row],[Purchase_Date]],"MMM")</f>
        <v>May</v>
      </c>
      <c r="J10" t="str">
        <f>TEXT(walmart[[#This Row],[Purchase_Date]],"YYY")</f>
        <v>2024</v>
      </c>
      <c r="K10" s="3">
        <v>76.81</v>
      </c>
      <c r="L10" t="str">
        <f t="shared" si="0"/>
        <v>0% off</v>
      </c>
      <c r="M10" s="3">
        <f t="shared" si="1"/>
        <v>0</v>
      </c>
      <c r="N10" t="str">
        <f t="shared" si="2"/>
        <v>No</v>
      </c>
      <c r="O10" t="s">
        <v>34</v>
      </c>
      <c r="P10" s="3">
        <f t="shared" si="3"/>
        <v>76.81</v>
      </c>
      <c r="Q10" t="s">
        <v>27</v>
      </c>
      <c r="R10">
        <v>4</v>
      </c>
      <c r="S10" t="str">
        <f t="shared" si="4"/>
        <v>Good</v>
      </c>
    </row>
    <row r="11" spans="1:19" x14ac:dyDescent="0.25">
      <c r="A11" t="s">
        <v>58</v>
      </c>
      <c r="B11">
        <v>69</v>
      </c>
      <c r="C11" t="s">
        <v>16</v>
      </c>
      <c r="D11" t="s">
        <v>2439</v>
      </c>
      <c r="E11" t="s">
        <v>18</v>
      </c>
      <c r="F11" t="s">
        <v>59</v>
      </c>
      <c r="G11" t="s">
        <v>60</v>
      </c>
      <c r="H11" t="str">
        <f>TEXT(walmart[[#This Row],[Purchase_Date]],"DDD")</f>
        <v>Wed</v>
      </c>
      <c r="I11" t="str">
        <f>TEXT(walmart[[#This Row],[Purchase_Date]],"MMM")</f>
        <v>Oct</v>
      </c>
      <c r="J11" t="str">
        <f>TEXT(walmart[[#This Row],[Purchase_Date]],"YYY")</f>
        <v>2024</v>
      </c>
      <c r="K11" s="3">
        <v>78.349999999999994</v>
      </c>
      <c r="L11" t="str">
        <f t="shared" si="0"/>
        <v>0% off</v>
      </c>
      <c r="M11" s="3">
        <f t="shared" si="1"/>
        <v>0</v>
      </c>
      <c r="N11" t="str">
        <f t="shared" si="2"/>
        <v>No</v>
      </c>
      <c r="O11" t="s">
        <v>21</v>
      </c>
      <c r="P11" s="3">
        <f t="shared" si="3"/>
        <v>78.349999999999994</v>
      </c>
      <c r="Q11" t="s">
        <v>22</v>
      </c>
      <c r="R11">
        <v>3</v>
      </c>
      <c r="S11" t="str">
        <f t="shared" si="4"/>
        <v>Average</v>
      </c>
    </row>
    <row r="12" spans="1:19" x14ac:dyDescent="0.25">
      <c r="A12" t="s">
        <v>61</v>
      </c>
      <c r="B12">
        <v>46</v>
      </c>
      <c r="C12" t="s">
        <v>29</v>
      </c>
      <c r="D12" t="s">
        <v>2440</v>
      </c>
      <c r="E12" t="s">
        <v>18</v>
      </c>
      <c r="F12" t="s">
        <v>59</v>
      </c>
      <c r="G12" t="s">
        <v>62</v>
      </c>
      <c r="H12" t="str">
        <f>TEXT(walmart[[#This Row],[Purchase_Date]],"DDD")</f>
        <v>Sun</v>
      </c>
      <c r="I12" t="str">
        <f>TEXT(walmart[[#This Row],[Purchase_Date]],"MMM")</f>
        <v>Aug</v>
      </c>
      <c r="J12" t="str">
        <f>TEXT(walmart[[#This Row],[Purchase_Date]],"YYY")</f>
        <v>2024</v>
      </c>
      <c r="K12" s="3">
        <v>78.349999999999994</v>
      </c>
      <c r="L12" t="str">
        <f t="shared" si="0"/>
        <v>0% off</v>
      </c>
      <c r="M12" s="3">
        <f t="shared" si="1"/>
        <v>0</v>
      </c>
      <c r="N12" t="str">
        <f t="shared" si="2"/>
        <v>No</v>
      </c>
      <c r="O12" t="s">
        <v>21</v>
      </c>
      <c r="P12" s="3">
        <f t="shared" si="3"/>
        <v>78.349999999999994</v>
      </c>
      <c r="Q12" t="s">
        <v>47</v>
      </c>
      <c r="R12">
        <v>3</v>
      </c>
      <c r="S12" t="str">
        <f t="shared" si="4"/>
        <v>Average</v>
      </c>
    </row>
    <row r="13" spans="1:19" x14ac:dyDescent="0.25">
      <c r="A13" t="s">
        <v>63</v>
      </c>
      <c r="B13">
        <v>44</v>
      </c>
      <c r="C13" t="s">
        <v>16</v>
      </c>
      <c r="D13" t="s">
        <v>2441</v>
      </c>
      <c r="E13" t="s">
        <v>55</v>
      </c>
      <c r="F13" t="s">
        <v>64</v>
      </c>
      <c r="G13" t="s">
        <v>65</v>
      </c>
      <c r="H13" t="str">
        <f>TEXT(walmart[[#This Row],[Purchase_Date]],"DDD")</f>
        <v>Wed</v>
      </c>
      <c r="I13" t="str">
        <f>TEXT(walmart[[#This Row],[Purchase_Date]],"MMM")</f>
        <v>Mar</v>
      </c>
      <c r="J13" t="str">
        <f>TEXT(walmart[[#This Row],[Purchase_Date]],"YYY")</f>
        <v>2025</v>
      </c>
      <c r="K13" s="3">
        <v>374.92</v>
      </c>
      <c r="L13" t="str">
        <f t="shared" si="0"/>
        <v>5% off</v>
      </c>
      <c r="M13" s="3">
        <f t="shared" si="1"/>
        <v>18.746000000000002</v>
      </c>
      <c r="N13" t="str">
        <f t="shared" si="2"/>
        <v>Yes</v>
      </c>
      <c r="O13" t="s">
        <v>34</v>
      </c>
      <c r="P13" s="3">
        <f t="shared" si="3"/>
        <v>356.17400000000004</v>
      </c>
      <c r="Q13" t="s">
        <v>35</v>
      </c>
      <c r="R13">
        <v>3</v>
      </c>
      <c r="S13" t="str">
        <f t="shared" si="4"/>
        <v>Average</v>
      </c>
    </row>
    <row r="14" spans="1:19" x14ac:dyDescent="0.25">
      <c r="A14" t="s">
        <v>66</v>
      </c>
      <c r="B14">
        <v>41</v>
      </c>
      <c r="C14" t="s">
        <v>16</v>
      </c>
      <c r="D14" t="s">
        <v>17</v>
      </c>
      <c r="E14" t="s">
        <v>55</v>
      </c>
      <c r="F14" t="s">
        <v>67</v>
      </c>
      <c r="G14" t="s">
        <v>65</v>
      </c>
      <c r="H14" t="str">
        <f>TEXT(walmart[[#This Row],[Purchase_Date]],"DDD")</f>
        <v>Wed</v>
      </c>
      <c r="I14" t="str">
        <f>TEXT(walmart[[#This Row],[Purchase_Date]],"MMM")</f>
        <v>Mar</v>
      </c>
      <c r="J14" t="str">
        <f>TEXT(walmart[[#This Row],[Purchase_Date]],"YYY")</f>
        <v>2025</v>
      </c>
      <c r="K14" s="3">
        <v>452.97</v>
      </c>
      <c r="L14" t="str">
        <f t="shared" si="0"/>
        <v>5% off</v>
      </c>
      <c r="M14" s="3">
        <f t="shared" si="1"/>
        <v>22.648500000000002</v>
      </c>
      <c r="N14" t="str">
        <f t="shared" si="2"/>
        <v>Yes</v>
      </c>
      <c r="O14" t="s">
        <v>34</v>
      </c>
      <c r="P14" s="3">
        <f t="shared" si="3"/>
        <v>430.32150000000001</v>
      </c>
      <c r="Q14" t="s">
        <v>27</v>
      </c>
      <c r="R14">
        <v>2</v>
      </c>
      <c r="S14" t="str">
        <f t="shared" si="4"/>
        <v>Poor</v>
      </c>
    </row>
    <row r="15" spans="1:19" x14ac:dyDescent="0.25">
      <c r="A15" t="s">
        <v>68</v>
      </c>
      <c r="B15">
        <v>45</v>
      </c>
      <c r="C15" t="s">
        <v>29</v>
      </c>
      <c r="D15" t="s">
        <v>2442</v>
      </c>
      <c r="E15" t="s">
        <v>55</v>
      </c>
      <c r="F15" t="s">
        <v>56</v>
      </c>
      <c r="G15" t="s">
        <v>69</v>
      </c>
      <c r="H15" t="str">
        <f>TEXT(walmart[[#This Row],[Purchase_Date]],"DDD")</f>
        <v>Wed</v>
      </c>
      <c r="I15" t="str">
        <f>TEXT(walmart[[#This Row],[Purchase_Date]],"MMM")</f>
        <v>Dec</v>
      </c>
      <c r="J15" t="str">
        <f>TEXT(walmart[[#This Row],[Purchase_Date]],"YYY")</f>
        <v>2024</v>
      </c>
      <c r="K15" s="3">
        <v>76.81</v>
      </c>
      <c r="L15" t="str">
        <f t="shared" si="0"/>
        <v>0% off</v>
      </c>
      <c r="M15" s="3">
        <f t="shared" si="1"/>
        <v>0</v>
      </c>
      <c r="N15" t="str">
        <f t="shared" si="2"/>
        <v>No</v>
      </c>
      <c r="O15" t="s">
        <v>21</v>
      </c>
      <c r="P15" s="3">
        <f t="shared" si="3"/>
        <v>76.81</v>
      </c>
      <c r="Q15" t="s">
        <v>27</v>
      </c>
      <c r="R15">
        <v>2</v>
      </c>
      <c r="S15" t="str">
        <f t="shared" si="4"/>
        <v>Poor</v>
      </c>
    </row>
    <row r="16" spans="1:19" x14ac:dyDescent="0.25">
      <c r="A16" t="s">
        <v>70</v>
      </c>
      <c r="B16">
        <v>53</v>
      </c>
      <c r="C16" t="s">
        <v>16</v>
      </c>
      <c r="D16" t="s">
        <v>2443</v>
      </c>
      <c r="E16" t="s">
        <v>42</v>
      </c>
      <c r="F16" t="s">
        <v>52</v>
      </c>
      <c r="G16" t="s">
        <v>71</v>
      </c>
      <c r="H16" t="str">
        <f>TEXT(walmart[[#This Row],[Purchase_Date]],"DDD")</f>
        <v>Wed</v>
      </c>
      <c r="I16" t="str">
        <f>TEXT(walmart[[#This Row],[Purchase_Date]],"MMM")</f>
        <v>Jul</v>
      </c>
      <c r="J16" t="str">
        <f>TEXT(walmart[[#This Row],[Purchase_Date]],"YYY")</f>
        <v>2024</v>
      </c>
      <c r="K16" s="3">
        <v>988.77</v>
      </c>
      <c r="L16" t="str">
        <f t="shared" si="0"/>
        <v>20% off</v>
      </c>
      <c r="M16" s="3">
        <f t="shared" si="1"/>
        <v>197.75400000000002</v>
      </c>
      <c r="N16" t="str">
        <f t="shared" si="2"/>
        <v>Yes</v>
      </c>
      <c r="O16" t="s">
        <v>34</v>
      </c>
      <c r="P16" s="3">
        <f t="shared" si="3"/>
        <v>791.01599999999996</v>
      </c>
      <c r="Q16" t="s">
        <v>22</v>
      </c>
      <c r="R16">
        <v>1</v>
      </c>
      <c r="S16" t="str">
        <f t="shared" si="4"/>
        <v>Very Poor</v>
      </c>
    </row>
    <row r="17" spans="1:19" x14ac:dyDescent="0.25">
      <c r="A17" t="s">
        <v>72</v>
      </c>
      <c r="B17">
        <v>47</v>
      </c>
      <c r="C17" t="s">
        <v>29</v>
      </c>
      <c r="D17" t="s">
        <v>2444</v>
      </c>
      <c r="E17" t="s">
        <v>73</v>
      </c>
      <c r="F17" t="s">
        <v>74</v>
      </c>
      <c r="G17" t="s">
        <v>75</v>
      </c>
      <c r="H17" t="str">
        <f>TEXT(walmart[[#This Row],[Purchase_Date]],"DDD")</f>
        <v>Mon</v>
      </c>
      <c r="I17" t="str">
        <f>TEXT(walmart[[#This Row],[Purchase_Date]],"MMM")</f>
        <v>Feb</v>
      </c>
      <c r="J17" t="str">
        <f>TEXT(walmart[[#This Row],[Purchase_Date]],"YYY")</f>
        <v>2025</v>
      </c>
      <c r="K17" s="3">
        <v>782.29</v>
      </c>
      <c r="L17" t="str">
        <f t="shared" si="0"/>
        <v>15% off</v>
      </c>
      <c r="M17" s="3">
        <f t="shared" si="1"/>
        <v>117.34349999999999</v>
      </c>
      <c r="N17" t="str">
        <f t="shared" si="2"/>
        <v>Yes</v>
      </c>
      <c r="O17" t="s">
        <v>21</v>
      </c>
      <c r="P17" s="3">
        <f t="shared" si="3"/>
        <v>664.94650000000001</v>
      </c>
      <c r="Q17" t="s">
        <v>27</v>
      </c>
      <c r="R17">
        <v>2</v>
      </c>
      <c r="S17" t="str">
        <f t="shared" si="4"/>
        <v>Poor</v>
      </c>
    </row>
    <row r="18" spans="1:19" x14ac:dyDescent="0.25">
      <c r="A18" t="s">
        <v>76</v>
      </c>
      <c r="B18">
        <v>66</v>
      </c>
      <c r="C18" t="s">
        <v>16</v>
      </c>
      <c r="D18" t="s">
        <v>2445</v>
      </c>
      <c r="E18" t="s">
        <v>18</v>
      </c>
      <c r="F18" t="s">
        <v>77</v>
      </c>
      <c r="G18" t="s">
        <v>78</v>
      </c>
      <c r="H18" t="str">
        <f>TEXT(walmart[[#This Row],[Purchase_Date]],"DDD")</f>
        <v>Mon</v>
      </c>
      <c r="I18" t="str">
        <f>TEXT(walmart[[#This Row],[Purchase_Date]],"MMM")</f>
        <v>Jul</v>
      </c>
      <c r="J18" t="str">
        <f>TEXT(walmart[[#This Row],[Purchase_Date]],"YYY")</f>
        <v>2024</v>
      </c>
      <c r="K18" s="3">
        <v>116.78</v>
      </c>
      <c r="L18" t="str">
        <f t="shared" si="0"/>
        <v>0% off</v>
      </c>
      <c r="M18" s="3">
        <f t="shared" si="1"/>
        <v>0</v>
      </c>
      <c r="N18" t="str">
        <f t="shared" si="2"/>
        <v>No</v>
      </c>
      <c r="O18" t="s">
        <v>21</v>
      </c>
      <c r="P18" s="3">
        <f t="shared" si="3"/>
        <v>116.78</v>
      </c>
      <c r="Q18" t="s">
        <v>35</v>
      </c>
      <c r="R18">
        <v>4</v>
      </c>
      <c r="S18" t="str">
        <f t="shared" si="4"/>
        <v>Good</v>
      </c>
    </row>
    <row r="19" spans="1:19" x14ac:dyDescent="0.25">
      <c r="A19" t="s">
        <v>79</v>
      </c>
      <c r="B19">
        <v>22</v>
      </c>
      <c r="C19" t="s">
        <v>29</v>
      </c>
      <c r="D19" t="s">
        <v>2446</v>
      </c>
      <c r="E19" t="s">
        <v>55</v>
      </c>
      <c r="F19" t="s">
        <v>64</v>
      </c>
      <c r="G19" t="s">
        <v>80</v>
      </c>
      <c r="H19" t="str">
        <f>TEXT(walmart[[#This Row],[Purchase_Date]],"DDD")</f>
        <v>Thu</v>
      </c>
      <c r="I19" t="str">
        <f>TEXT(walmart[[#This Row],[Purchase_Date]],"MMM")</f>
        <v>Feb</v>
      </c>
      <c r="J19" t="str">
        <f>TEXT(walmart[[#This Row],[Purchase_Date]],"YYY")</f>
        <v>2025</v>
      </c>
      <c r="K19" s="3">
        <v>374.92</v>
      </c>
      <c r="L19" t="str">
        <f t="shared" si="0"/>
        <v>5% off</v>
      </c>
      <c r="M19" s="3">
        <f t="shared" si="1"/>
        <v>18.746000000000002</v>
      </c>
      <c r="N19" t="str">
        <f t="shared" si="2"/>
        <v>Yes</v>
      </c>
      <c r="O19" t="s">
        <v>21</v>
      </c>
      <c r="P19" s="3">
        <f t="shared" si="3"/>
        <v>356.17400000000004</v>
      </c>
      <c r="Q19" t="s">
        <v>47</v>
      </c>
      <c r="R19">
        <v>2</v>
      </c>
      <c r="S19" t="str">
        <f t="shared" si="4"/>
        <v>Poor</v>
      </c>
    </row>
    <row r="20" spans="1:19" x14ac:dyDescent="0.25">
      <c r="A20" t="s">
        <v>81</v>
      </c>
      <c r="B20">
        <v>57</v>
      </c>
      <c r="C20" t="s">
        <v>16</v>
      </c>
      <c r="D20" t="s">
        <v>2447</v>
      </c>
      <c r="E20" t="s">
        <v>37</v>
      </c>
      <c r="F20" t="s">
        <v>82</v>
      </c>
      <c r="G20" t="s">
        <v>83</v>
      </c>
      <c r="H20" t="str">
        <f>TEXT(walmart[[#This Row],[Purchase_Date]],"DDD")</f>
        <v>Sun</v>
      </c>
      <c r="I20" t="str">
        <f>TEXT(walmart[[#This Row],[Purchase_Date]],"MMM")</f>
        <v>Apr</v>
      </c>
      <c r="J20" t="str">
        <f>TEXT(walmart[[#This Row],[Purchase_Date]],"YYY")</f>
        <v>2024</v>
      </c>
      <c r="K20" s="3">
        <v>270.41000000000003</v>
      </c>
      <c r="L20" t="str">
        <f t="shared" si="0"/>
        <v>5% off</v>
      </c>
      <c r="M20" s="3">
        <f t="shared" si="1"/>
        <v>13.520500000000002</v>
      </c>
      <c r="N20" t="str">
        <f t="shared" si="2"/>
        <v>Yes</v>
      </c>
      <c r="O20" t="s">
        <v>21</v>
      </c>
      <c r="P20" s="3">
        <f t="shared" si="3"/>
        <v>256.8895</v>
      </c>
      <c r="Q20" t="s">
        <v>27</v>
      </c>
      <c r="R20">
        <v>4</v>
      </c>
      <c r="S20" t="str">
        <f t="shared" si="4"/>
        <v>Good</v>
      </c>
    </row>
    <row r="21" spans="1:19" x14ac:dyDescent="0.25">
      <c r="A21" t="s">
        <v>84</v>
      </c>
      <c r="B21">
        <v>54</v>
      </c>
      <c r="C21" t="s">
        <v>29</v>
      </c>
      <c r="D21" t="s">
        <v>2448</v>
      </c>
      <c r="E21" t="s">
        <v>73</v>
      </c>
      <c r="F21" t="s">
        <v>74</v>
      </c>
      <c r="G21" t="s">
        <v>85</v>
      </c>
      <c r="H21" t="str">
        <f>TEXT(walmart[[#This Row],[Purchase_Date]],"DDD")</f>
        <v>Mon</v>
      </c>
      <c r="I21" t="str">
        <f>TEXT(walmart[[#This Row],[Purchase_Date]],"MMM")</f>
        <v>Jan</v>
      </c>
      <c r="J21" t="str">
        <f>TEXT(walmart[[#This Row],[Purchase_Date]],"YYY")</f>
        <v>2025</v>
      </c>
      <c r="K21" s="3">
        <v>782.29</v>
      </c>
      <c r="L21" t="str">
        <f t="shared" si="0"/>
        <v>15% off</v>
      </c>
      <c r="M21" s="3">
        <f t="shared" si="1"/>
        <v>117.34349999999999</v>
      </c>
      <c r="N21" t="str">
        <f t="shared" si="2"/>
        <v>Yes</v>
      </c>
      <c r="O21" t="s">
        <v>21</v>
      </c>
      <c r="P21" s="3">
        <f t="shared" si="3"/>
        <v>664.94650000000001</v>
      </c>
      <c r="Q21" t="s">
        <v>35</v>
      </c>
      <c r="R21">
        <v>1</v>
      </c>
      <c r="S21" t="str">
        <f t="shared" si="4"/>
        <v>Very Poor</v>
      </c>
    </row>
    <row r="22" spans="1:19" x14ac:dyDescent="0.25">
      <c r="A22" t="s">
        <v>86</v>
      </c>
      <c r="B22">
        <v>19</v>
      </c>
      <c r="C22" t="s">
        <v>16</v>
      </c>
      <c r="D22" t="s">
        <v>2449</v>
      </c>
      <c r="E22" t="s">
        <v>18</v>
      </c>
      <c r="F22" t="s">
        <v>59</v>
      </c>
      <c r="G22" t="s">
        <v>87</v>
      </c>
      <c r="H22" t="str">
        <f>TEXT(walmart[[#This Row],[Purchase_Date]],"DDD")</f>
        <v>Thu</v>
      </c>
      <c r="I22" t="str">
        <f>TEXT(walmart[[#This Row],[Purchase_Date]],"MMM")</f>
        <v>Sep</v>
      </c>
      <c r="J22" t="str">
        <f>TEXT(walmart[[#This Row],[Purchase_Date]],"YYY")</f>
        <v>2024</v>
      </c>
      <c r="K22" s="3">
        <v>78.349999999999994</v>
      </c>
      <c r="L22" t="str">
        <f t="shared" si="0"/>
        <v>0% off</v>
      </c>
      <c r="M22" s="3">
        <f t="shared" si="1"/>
        <v>0</v>
      </c>
      <c r="N22" t="str">
        <f t="shared" si="2"/>
        <v>No</v>
      </c>
      <c r="O22" t="s">
        <v>21</v>
      </c>
      <c r="P22" s="3">
        <f t="shared" si="3"/>
        <v>78.349999999999994</v>
      </c>
      <c r="Q22" t="s">
        <v>47</v>
      </c>
      <c r="R22">
        <v>2</v>
      </c>
      <c r="S22" t="str">
        <f t="shared" si="4"/>
        <v>Poor</v>
      </c>
    </row>
    <row r="23" spans="1:19" x14ac:dyDescent="0.25">
      <c r="A23" t="s">
        <v>88</v>
      </c>
      <c r="B23">
        <v>69</v>
      </c>
      <c r="C23" t="s">
        <v>16</v>
      </c>
      <c r="D23" t="s">
        <v>2450</v>
      </c>
      <c r="E23" t="s">
        <v>37</v>
      </c>
      <c r="F23" t="s">
        <v>82</v>
      </c>
      <c r="G23" t="s">
        <v>89</v>
      </c>
      <c r="H23" t="str">
        <f>TEXT(walmart[[#This Row],[Purchase_Date]],"DDD")</f>
        <v>Wed</v>
      </c>
      <c r="I23" t="str">
        <f>TEXT(walmart[[#This Row],[Purchase_Date]],"MMM")</f>
        <v>Jun</v>
      </c>
      <c r="J23" t="str">
        <f>TEXT(walmart[[#This Row],[Purchase_Date]],"YYY")</f>
        <v>2024</v>
      </c>
      <c r="K23" s="3">
        <v>270.41000000000003</v>
      </c>
      <c r="L23" t="str">
        <f t="shared" si="0"/>
        <v>5% off</v>
      </c>
      <c r="M23" s="3">
        <f t="shared" si="1"/>
        <v>13.520500000000002</v>
      </c>
      <c r="N23" t="str">
        <f t="shared" si="2"/>
        <v>Yes</v>
      </c>
      <c r="O23" t="s">
        <v>34</v>
      </c>
      <c r="P23" s="3">
        <f t="shared" si="3"/>
        <v>256.8895</v>
      </c>
      <c r="Q23" t="s">
        <v>27</v>
      </c>
      <c r="R23">
        <v>2</v>
      </c>
      <c r="S23" t="str">
        <f t="shared" si="4"/>
        <v>Poor</v>
      </c>
    </row>
    <row r="24" spans="1:19" x14ac:dyDescent="0.25">
      <c r="A24" t="s">
        <v>90</v>
      </c>
      <c r="B24">
        <v>31</v>
      </c>
      <c r="C24" t="s">
        <v>29</v>
      </c>
      <c r="D24" t="s">
        <v>2451</v>
      </c>
      <c r="E24" t="s">
        <v>73</v>
      </c>
      <c r="F24" t="s">
        <v>91</v>
      </c>
      <c r="G24" t="s">
        <v>92</v>
      </c>
      <c r="H24" t="str">
        <f>TEXT(walmart[[#This Row],[Purchase_Date]],"DDD")</f>
        <v>Sun</v>
      </c>
      <c r="I24" t="str">
        <f>TEXT(walmart[[#This Row],[Purchase_Date]],"MMM")</f>
        <v>May</v>
      </c>
      <c r="J24" t="str">
        <f>TEXT(walmart[[#This Row],[Purchase_Date]],"YYY")</f>
        <v>2024</v>
      </c>
      <c r="K24" s="3">
        <v>418.55</v>
      </c>
      <c r="L24" t="str">
        <f t="shared" si="0"/>
        <v>5% off</v>
      </c>
      <c r="M24" s="3">
        <f t="shared" si="1"/>
        <v>20.927500000000002</v>
      </c>
      <c r="N24" t="str">
        <f t="shared" si="2"/>
        <v>Yes</v>
      </c>
      <c r="O24" t="s">
        <v>21</v>
      </c>
      <c r="P24" s="3">
        <f t="shared" si="3"/>
        <v>397.6225</v>
      </c>
      <c r="Q24" t="s">
        <v>47</v>
      </c>
      <c r="R24">
        <v>4</v>
      </c>
      <c r="S24" t="str">
        <f t="shared" si="4"/>
        <v>Good</v>
      </c>
    </row>
    <row r="25" spans="1:19" x14ac:dyDescent="0.25">
      <c r="A25" t="s">
        <v>93</v>
      </c>
      <c r="B25">
        <v>51</v>
      </c>
      <c r="C25" t="s">
        <v>16</v>
      </c>
      <c r="D25" t="s">
        <v>2452</v>
      </c>
      <c r="E25" t="s">
        <v>73</v>
      </c>
      <c r="F25" t="s">
        <v>94</v>
      </c>
      <c r="G25" t="s">
        <v>95</v>
      </c>
      <c r="H25" t="str">
        <f>TEXT(walmart[[#This Row],[Purchase_Date]],"DDD")</f>
        <v>Wed</v>
      </c>
      <c r="I25" t="str">
        <f>TEXT(walmart[[#This Row],[Purchase_Date]],"MMM")</f>
        <v>Dec</v>
      </c>
      <c r="J25" t="str">
        <f>TEXT(walmart[[#This Row],[Purchase_Date]],"YYY")</f>
        <v>2024</v>
      </c>
      <c r="K25" s="3">
        <v>965.09</v>
      </c>
      <c r="L25" t="str">
        <f t="shared" si="0"/>
        <v>20% off</v>
      </c>
      <c r="M25" s="3">
        <f t="shared" si="1"/>
        <v>193.01800000000003</v>
      </c>
      <c r="N25" t="str">
        <f t="shared" si="2"/>
        <v>Yes</v>
      </c>
      <c r="O25" t="s">
        <v>34</v>
      </c>
      <c r="P25" s="3">
        <f t="shared" si="3"/>
        <v>772.072</v>
      </c>
      <c r="Q25" t="s">
        <v>22</v>
      </c>
      <c r="R25">
        <v>4</v>
      </c>
      <c r="S25" t="str">
        <f t="shared" si="4"/>
        <v>Good</v>
      </c>
    </row>
    <row r="26" spans="1:19" x14ac:dyDescent="0.25">
      <c r="A26" t="s">
        <v>96</v>
      </c>
      <c r="B26">
        <v>32</v>
      </c>
      <c r="C26" t="s">
        <v>29</v>
      </c>
      <c r="D26" t="s">
        <v>2453</v>
      </c>
      <c r="E26" t="s">
        <v>37</v>
      </c>
      <c r="F26" t="s">
        <v>97</v>
      </c>
      <c r="G26" t="s">
        <v>98</v>
      </c>
      <c r="H26" t="str">
        <f>TEXT(walmart[[#This Row],[Purchase_Date]],"DDD")</f>
        <v>Sun</v>
      </c>
      <c r="I26" t="str">
        <f>TEXT(walmart[[#This Row],[Purchase_Date]],"MMM")</f>
        <v>Aug</v>
      </c>
      <c r="J26" t="str">
        <f>TEXT(walmart[[#This Row],[Purchase_Date]],"YYY")</f>
        <v>2024</v>
      </c>
      <c r="K26" s="3">
        <v>855.21</v>
      </c>
      <c r="L26" t="str">
        <f t="shared" si="0"/>
        <v>15% off</v>
      </c>
      <c r="M26" s="3">
        <f t="shared" si="1"/>
        <v>128.28149999999999</v>
      </c>
      <c r="N26" t="str">
        <f t="shared" si="2"/>
        <v>Yes</v>
      </c>
      <c r="O26" t="s">
        <v>21</v>
      </c>
      <c r="P26" s="3">
        <f t="shared" si="3"/>
        <v>726.92849999999999</v>
      </c>
      <c r="Q26" t="s">
        <v>27</v>
      </c>
      <c r="R26">
        <v>5</v>
      </c>
      <c r="S26" t="str">
        <f t="shared" si="4"/>
        <v>Excellent</v>
      </c>
    </row>
    <row r="27" spans="1:19" x14ac:dyDescent="0.25">
      <c r="A27" t="s">
        <v>99</v>
      </c>
      <c r="B27">
        <v>31</v>
      </c>
      <c r="C27" t="s">
        <v>29</v>
      </c>
      <c r="D27" t="s">
        <v>2454</v>
      </c>
      <c r="E27" t="s">
        <v>55</v>
      </c>
      <c r="F27" t="s">
        <v>100</v>
      </c>
      <c r="G27" t="s">
        <v>101</v>
      </c>
      <c r="H27" t="str">
        <f>TEXT(walmart[[#This Row],[Purchase_Date]],"DDD")</f>
        <v>Mon</v>
      </c>
      <c r="I27" t="str">
        <f>TEXT(walmart[[#This Row],[Purchase_Date]],"MMM")</f>
        <v>Feb</v>
      </c>
      <c r="J27" t="str">
        <f>TEXT(walmart[[#This Row],[Purchase_Date]],"YYY")</f>
        <v>2025</v>
      </c>
      <c r="K27" s="3">
        <v>592.26</v>
      </c>
      <c r="L27" t="str">
        <f t="shared" si="0"/>
        <v>10% off</v>
      </c>
      <c r="M27" s="3">
        <f t="shared" si="1"/>
        <v>59.225999999999999</v>
      </c>
      <c r="N27" t="str">
        <f t="shared" si="2"/>
        <v>Yes</v>
      </c>
      <c r="O27" t="s">
        <v>34</v>
      </c>
      <c r="P27" s="3">
        <f t="shared" si="3"/>
        <v>533.03399999999999</v>
      </c>
      <c r="Q27" t="s">
        <v>27</v>
      </c>
      <c r="R27">
        <v>2</v>
      </c>
      <c r="S27" t="str">
        <f t="shared" si="4"/>
        <v>Poor</v>
      </c>
    </row>
    <row r="28" spans="1:19" x14ac:dyDescent="0.25">
      <c r="A28" t="s">
        <v>102</v>
      </c>
      <c r="B28">
        <v>24</v>
      </c>
      <c r="C28" t="s">
        <v>29</v>
      </c>
      <c r="D28" t="s">
        <v>2455</v>
      </c>
      <c r="E28" t="s">
        <v>42</v>
      </c>
      <c r="F28" t="s">
        <v>103</v>
      </c>
      <c r="G28" t="s">
        <v>104</v>
      </c>
      <c r="H28" t="str">
        <f>TEXT(walmart[[#This Row],[Purchase_Date]],"DDD")</f>
        <v>Sat</v>
      </c>
      <c r="I28" t="str">
        <f>TEXT(walmart[[#This Row],[Purchase_Date]],"MMM")</f>
        <v>Mar</v>
      </c>
      <c r="J28" t="str">
        <f>TEXT(walmart[[#This Row],[Purchase_Date]],"YYY")</f>
        <v>2025</v>
      </c>
      <c r="K28" s="3">
        <v>315.56</v>
      </c>
      <c r="L28" t="str">
        <f t="shared" si="0"/>
        <v>5% off</v>
      </c>
      <c r="M28" s="3">
        <f t="shared" si="1"/>
        <v>15.778</v>
      </c>
      <c r="N28" t="str">
        <f t="shared" si="2"/>
        <v>Yes</v>
      </c>
      <c r="O28" t="s">
        <v>34</v>
      </c>
      <c r="P28" s="3">
        <f t="shared" si="3"/>
        <v>299.78199999999998</v>
      </c>
      <c r="Q28" t="s">
        <v>27</v>
      </c>
      <c r="R28">
        <v>3</v>
      </c>
      <c r="S28" t="str">
        <f t="shared" si="4"/>
        <v>Average</v>
      </c>
    </row>
    <row r="29" spans="1:19" x14ac:dyDescent="0.25">
      <c r="A29" t="s">
        <v>105</v>
      </c>
      <c r="B29">
        <v>28</v>
      </c>
      <c r="C29" t="s">
        <v>29</v>
      </c>
      <c r="D29" t="s">
        <v>2456</v>
      </c>
      <c r="E29" t="s">
        <v>37</v>
      </c>
      <c r="F29" t="s">
        <v>82</v>
      </c>
      <c r="G29" t="s">
        <v>106</v>
      </c>
      <c r="H29" t="str">
        <f>TEXT(walmart[[#This Row],[Purchase_Date]],"DDD")</f>
        <v>Sun</v>
      </c>
      <c r="I29" t="str">
        <f>TEXT(walmart[[#This Row],[Purchase_Date]],"MMM")</f>
        <v>Apr</v>
      </c>
      <c r="J29" t="str">
        <f>TEXT(walmart[[#This Row],[Purchase_Date]],"YYY")</f>
        <v>2024</v>
      </c>
      <c r="K29" s="3">
        <v>270.41000000000003</v>
      </c>
      <c r="L29" t="str">
        <f t="shared" si="0"/>
        <v>5% off</v>
      </c>
      <c r="M29" s="3">
        <f t="shared" si="1"/>
        <v>13.520500000000002</v>
      </c>
      <c r="N29" t="str">
        <f t="shared" si="2"/>
        <v>Yes</v>
      </c>
      <c r="O29" t="s">
        <v>34</v>
      </c>
      <c r="P29" s="3">
        <f t="shared" si="3"/>
        <v>256.8895</v>
      </c>
      <c r="Q29" t="s">
        <v>22</v>
      </c>
      <c r="R29">
        <v>3</v>
      </c>
      <c r="S29" t="str">
        <f t="shared" si="4"/>
        <v>Average</v>
      </c>
    </row>
    <row r="30" spans="1:19" x14ac:dyDescent="0.25">
      <c r="A30" t="s">
        <v>107</v>
      </c>
      <c r="B30">
        <v>29</v>
      </c>
      <c r="C30" t="s">
        <v>16</v>
      </c>
      <c r="D30" t="s">
        <v>2457</v>
      </c>
      <c r="E30" t="s">
        <v>24</v>
      </c>
      <c r="F30" t="s">
        <v>25</v>
      </c>
      <c r="G30" t="s">
        <v>108</v>
      </c>
      <c r="H30" t="str">
        <f>TEXT(walmart[[#This Row],[Purchase_Date]],"DDD")</f>
        <v>Wed</v>
      </c>
      <c r="I30" t="str">
        <f>TEXT(walmart[[#This Row],[Purchase_Date]],"MMM")</f>
        <v>Aug</v>
      </c>
      <c r="J30" t="str">
        <f>TEXT(walmart[[#This Row],[Purchase_Date]],"YYY")</f>
        <v>2024</v>
      </c>
      <c r="K30" s="3">
        <v>67.040000000000006</v>
      </c>
      <c r="L30" t="str">
        <f t="shared" si="0"/>
        <v>0% off</v>
      </c>
      <c r="M30" s="3">
        <f t="shared" si="1"/>
        <v>0</v>
      </c>
      <c r="N30" t="str">
        <f t="shared" si="2"/>
        <v>No</v>
      </c>
      <c r="O30" t="s">
        <v>34</v>
      </c>
      <c r="P30" s="3">
        <f t="shared" si="3"/>
        <v>67.040000000000006</v>
      </c>
      <c r="Q30" t="s">
        <v>47</v>
      </c>
      <c r="R30">
        <v>1</v>
      </c>
      <c r="S30" t="str">
        <f t="shared" si="4"/>
        <v>Very Poor</v>
      </c>
    </row>
    <row r="31" spans="1:19" x14ac:dyDescent="0.25">
      <c r="A31" t="s">
        <v>109</v>
      </c>
      <c r="B31">
        <v>63</v>
      </c>
      <c r="C31" t="s">
        <v>16</v>
      </c>
      <c r="D31" t="s">
        <v>2458</v>
      </c>
      <c r="E31" t="s">
        <v>37</v>
      </c>
      <c r="F31" t="s">
        <v>97</v>
      </c>
      <c r="G31" t="s">
        <v>110</v>
      </c>
      <c r="H31" t="str">
        <f>TEXT(walmart[[#This Row],[Purchase_Date]],"DDD")</f>
        <v>Wed</v>
      </c>
      <c r="I31" t="str">
        <f>TEXT(walmart[[#This Row],[Purchase_Date]],"MMM")</f>
        <v>Feb</v>
      </c>
      <c r="J31" t="str">
        <f>TEXT(walmart[[#This Row],[Purchase_Date]],"YYY")</f>
        <v>2025</v>
      </c>
      <c r="K31" s="3">
        <v>855.21</v>
      </c>
      <c r="L31" t="str">
        <f t="shared" si="0"/>
        <v>15% off</v>
      </c>
      <c r="M31" s="3">
        <f t="shared" si="1"/>
        <v>128.28149999999999</v>
      </c>
      <c r="N31" t="str">
        <f t="shared" si="2"/>
        <v>Yes</v>
      </c>
      <c r="O31" t="s">
        <v>34</v>
      </c>
      <c r="P31" s="3">
        <f t="shared" si="3"/>
        <v>726.92849999999999</v>
      </c>
      <c r="Q31" t="s">
        <v>22</v>
      </c>
      <c r="R31">
        <v>2</v>
      </c>
      <c r="S31" t="str">
        <f t="shared" si="4"/>
        <v>Poor</v>
      </c>
    </row>
    <row r="32" spans="1:19" x14ac:dyDescent="0.25">
      <c r="A32" t="s">
        <v>111</v>
      </c>
      <c r="B32">
        <v>33</v>
      </c>
      <c r="C32" t="s">
        <v>16</v>
      </c>
      <c r="D32" t="s">
        <v>2459</v>
      </c>
      <c r="E32" t="s">
        <v>31</v>
      </c>
      <c r="F32" t="s">
        <v>112</v>
      </c>
      <c r="G32" t="s">
        <v>113</v>
      </c>
      <c r="H32" t="str">
        <f>TEXT(walmart[[#This Row],[Purchase_Date]],"DDD")</f>
        <v>Wed</v>
      </c>
      <c r="I32" t="str">
        <f>TEXT(walmart[[#This Row],[Purchase_Date]],"MMM")</f>
        <v>Nov</v>
      </c>
      <c r="J32" t="str">
        <f>TEXT(walmart[[#This Row],[Purchase_Date]],"YYY")</f>
        <v>2024</v>
      </c>
      <c r="K32" s="3">
        <v>492.1</v>
      </c>
      <c r="L32" t="str">
        <f t="shared" si="0"/>
        <v>5% off</v>
      </c>
      <c r="M32" s="3">
        <f t="shared" si="1"/>
        <v>24.605000000000004</v>
      </c>
      <c r="N32" t="str">
        <f t="shared" si="2"/>
        <v>Yes</v>
      </c>
      <c r="O32" t="s">
        <v>21</v>
      </c>
      <c r="P32" s="3">
        <f t="shared" si="3"/>
        <v>467.495</v>
      </c>
      <c r="Q32" t="s">
        <v>35</v>
      </c>
      <c r="R32">
        <v>4</v>
      </c>
      <c r="S32" t="str">
        <f t="shared" si="4"/>
        <v>Good</v>
      </c>
    </row>
    <row r="33" spans="1:19" x14ac:dyDescent="0.25">
      <c r="A33" t="s">
        <v>114</v>
      </c>
      <c r="B33">
        <v>32</v>
      </c>
      <c r="C33" t="s">
        <v>16</v>
      </c>
      <c r="D33" t="s">
        <v>2460</v>
      </c>
      <c r="E33" t="s">
        <v>31</v>
      </c>
      <c r="F33" t="s">
        <v>112</v>
      </c>
      <c r="G33" t="s">
        <v>115</v>
      </c>
      <c r="H33" t="str">
        <f>TEXT(walmart[[#This Row],[Purchase_Date]],"DDD")</f>
        <v>Mon</v>
      </c>
      <c r="I33" t="str">
        <f>TEXT(walmart[[#This Row],[Purchase_Date]],"MMM")</f>
        <v>Nov</v>
      </c>
      <c r="J33" t="str">
        <f>TEXT(walmart[[#This Row],[Purchase_Date]],"YYY")</f>
        <v>2024</v>
      </c>
      <c r="K33" s="3">
        <v>492.1</v>
      </c>
      <c r="L33" t="str">
        <f t="shared" si="0"/>
        <v>5% off</v>
      </c>
      <c r="M33" s="3">
        <f t="shared" si="1"/>
        <v>24.605000000000004</v>
      </c>
      <c r="N33" t="str">
        <f t="shared" si="2"/>
        <v>Yes</v>
      </c>
      <c r="O33" t="s">
        <v>34</v>
      </c>
      <c r="P33" s="3">
        <f t="shared" si="3"/>
        <v>467.495</v>
      </c>
      <c r="Q33" t="s">
        <v>35</v>
      </c>
      <c r="R33">
        <v>3</v>
      </c>
      <c r="S33" t="str">
        <f t="shared" si="4"/>
        <v>Average</v>
      </c>
    </row>
    <row r="34" spans="1:19" x14ac:dyDescent="0.25">
      <c r="A34" t="s">
        <v>116</v>
      </c>
      <c r="B34">
        <v>37</v>
      </c>
      <c r="C34" t="s">
        <v>16</v>
      </c>
      <c r="D34" t="s">
        <v>2461</v>
      </c>
      <c r="E34" t="s">
        <v>37</v>
      </c>
      <c r="F34" t="s">
        <v>117</v>
      </c>
      <c r="G34" t="s">
        <v>118</v>
      </c>
      <c r="H34" t="str">
        <f>TEXT(walmart[[#This Row],[Purchase_Date]],"DDD")</f>
        <v>Tue</v>
      </c>
      <c r="I34" t="str">
        <f>TEXT(walmart[[#This Row],[Purchase_Date]],"MMM")</f>
        <v>Jun</v>
      </c>
      <c r="J34" t="str">
        <f>TEXT(walmart[[#This Row],[Purchase_Date]],"YYY")</f>
        <v>2024</v>
      </c>
      <c r="K34" s="3">
        <v>165.68</v>
      </c>
      <c r="L34" t="str">
        <f t="shared" si="0"/>
        <v>5% off</v>
      </c>
      <c r="M34" s="3">
        <f t="shared" si="1"/>
        <v>8.2840000000000007</v>
      </c>
      <c r="N34" t="str">
        <f t="shared" si="2"/>
        <v>Yes</v>
      </c>
      <c r="O34" t="s">
        <v>34</v>
      </c>
      <c r="P34" s="3">
        <f t="shared" si="3"/>
        <v>157.39600000000002</v>
      </c>
      <c r="Q34" t="s">
        <v>35</v>
      </c>
      <c r="R34">
        <v>3</v>
      </c>
      <c r="S34" t="str">
        <f t="shared" si="4"/>
        <v>Average</v>
      </c>
    </row>
    <row r="35" spans="1:19" x14ac:dyDescent="0.25">
      <c r="A35" t="s">
        <v>119</v>
      </c>
      <c r="B35">
        <v>41</v>
      </c>
      <c r="C35" t="s">
        <v>16</v>
      </c>
      <c r="D35" t="s">
        <v>2462</v>
      </c>
      <c r="E35" t="s">
        <v>42</v>
      </c>
      <c r="F35" t="s">
        <v>120</v>
      </c>
      <c r="G35" t="s">
        <v>62</v>
      </c>
      <c r="H35" t="str">
        <f>TEXT(walmart[[#This Row],[Purchase_Date]],"DDD")</f>
        <v>Sun</v>
      </c>
      <c r="I35" t="str">
        <f>TEXT(walmart[[#This Row],[Purchase_Date]],"MMM")</f>
        <v>Aug</v>
      </c>
      <c r="J35" t="str">
        <f>TEXT(walmart[[#This Row],[Purchase_Date]],"YYY")</f>
        <v>2024</v>
      </c>
      <c r="K35" s="3">
        <v>260.77999999999997</v>
      </c>
      <c r="L35" t="str">
        <f t="shared" si="0"/>
        <v>5% off</v>
      </c>
      <c r="M35" s="3">
        <f t="shared" si="1"/>
        <v>13.039</v>
      </c>
      <c r="N35" t="str">
        <f t="shared" si="2"/>
        <v>Yes</v>
      </c>
      <c r="O35" t="s">
        <v>21</v>
      </c>
      <c r="P35" s="3">
        <f t="shared" si="3"/>
        <v>247.74099999999999</v>
      </c>
      <c r="Q35" t="s">
        <v>35</v>
      </c>
      <c r="R35">
        <v>3</v>
      </c>
      <c r="S35" t="str">
        <f t="shared" si="4"/>
        <v>Average</v>
      </c>
    </row>
    <row r="36" spans="1:19" x14ac:dyDescent="0.25">
      <c r="A36" t="s">
        <v>121</v>
      </c>
      <c r="B36">
        <v>57</v>
      </c>
      <c r="C36" t="s">
        <v>29</v>
      </c>
      <c r="D36" t="s">
        <v>2463</v>
      </c>
      <c r="E36" t="s">
        <v>31</v>
      </c>
      <c r="F36" t="s">
        <v>112</v>
      </c>
      <c r="G36" t="s">
        <v>122</v>
      </c>
      <c r="H36" t="str">
        <f>TEXT(walmart[[#This Row],[Purchase_Date]],"DDD")</f>
        <v>Wed</v>
      </c>
      <c r="I36" t="str">
        <f>TEXT(walmart[[#This Row],[Purchase_Date]],"MMM")</f>
        <v>Jul</v>
      </c>
      <c r="J36" t="str">
        <f>TEXT(walmart[[#This Row],[Purchase_Date]],"YYY")</f>
        <v>2024</v>
      </c>
      <c r="K36" s="3">
        <v>492.1</v>
      </c>
      <c r="L36" t="str">
        <f t="shared" si="0"/>
        <v>5% off</v>
      </c>
      <c r="M36" s="3">
        <f t="shared" si="1"/>
        <v>24.605000000000004</v>
      </c>
      <c r="N36" t="str">
        <f t="shared" si="2"/>
        <v>Yes</v>
      </c>
      <c r="O36" t="s">
        <v>34</v>
      </c>
      <c r="P36" s="3">
        <f t="shared" si="3"/>
        <v>467.495</v>
      </c>
      <c r="Q36" t="s">
        <v>22</v>
      </c>
      <c r="R36">
        <v>1</v>
      </c>
      <c r="S36" t="str">
        <f t="shared" si="4"/>
        <v>Very Poor</v>
      </c>
    </row>
    <row r="37" spans="1:19" x14ac:dyDescent="0.25">
      <c r="A37" t="s">
        <v>123</v>
      </c>
      <c r="B37">
        <v>41</v>
      </c>
      <c r="C37" t="s">
        <v>16</v>
      </c>
      <c r="D37" t="s">
        <v>2464</v>
      </c>
      <c r="E37" t="s">
        <v>42</v>
      </c>
      <c r="F37" t="s">
        <v>52</v>
      </c>
      <c r="G37" t="s">
        <v>124</v>
      </c>
      <c r="H37" t="str">
        <f>TEXT(walmart[[#This Row],[Purchase_Date]],"DDD")</f>
        <v>Sun</v>
      </c>
      <c r="I37" t="str">
        <f>TEXT(walmart[[#This Row],[Purchase_Date]],"MMM")</f>
        <v>Feb</v>
      </c>
      <c r="J37" t="str">
        <f>TEXT(walmart[[#This Row],[Purchase_Date]],"YYY")</f>
        <v>2025</v>
      </c>
      <c r="K37" s="3">
        <v>988.77</v>
      </c>
      <c r="L37" t="str">
        <f t="shared" si="0"/>
        <v>20% off</v>
      </c>
      <c r="M37" s="3">
        <f t="shared" si="1"/>
        <v>197.75400000000002</v>
      </c>
      <c r="N37" t="str">
        <f t="shared" si="2"/>
        <v>Yes</v>
      </c>
      <c r="O37" t="s">
        <v>34</v>
      </c>
      <c r="P37" s="3">
        <f t="shared" si="3"/>
        <v>791.01599999999996</v>
      </c>
      <c r="Q37" t="s">
        <v>35</v>
      </c>
      <c r="R37">
        <v>4</v>
      </c>
      <c r="S37" t="str">
        <f t="shared" si="4"/>
        <v>Good</v>
      </c>
    </row>
    <row r="38" spans="1:19" x14ac:dyDescent="0.25">
      <c r="A38" t="s">
        <v>125</v>
      </c>
      <c r="B38">
        <v>39</v>
      </c>
      <c r="C38" t="s">
        <v>16</v>
      </c>
      <c r="D38" t="s">
        <v>2465</v>
      </c>
      <c r="E38" t="s">
        <v>55</v>
      </c>
      <c r="F38" t="s">
        <v>67</v>
      </c>
      <c r="G38" t="s">
        <v>126</v>
      </c>
      <c r="H38" t="str">
        <f>TEXT(walmart[[#This Row],[Purchase_Date]],"DDD")</f>
        <v>Sat</v>
      </c>
      <c r="I38" t="str">
        <f>TEXT(walmart[[#This Row],[Purchase_Date]],"MMM")</f>
        <v>Oct</v>
      </c>
      <c r="J38" t="str">
        <f>TEXT(walmart[[#This Row],[Purchase_Date]],"YYY")</f>
        <v>2024</v>
      </c>
      <c r="K38" s="3">
        <v>452.97</v>
      </c>
      <c r="L38" t="str">
        <f t="shared" si="0"/>
        <v>5% off</v>
      </c>
      <c r="M38" s="3">
        <f t="shared" si="1"/>
        <v>22.648500000000002</v>
      </c>
      <c r="N38" t="str">
        <f t="shared" si="2"/>
        <v>Yes</v>
      </c>
      <c r="O38" t="s">
        <v>21</v>
      </c>
      <c r="P38" s="3">
        <f t="shared" si="3"/>
        <v>430.32150000000001</v>
      </c>
      <c r="Q38" t="s">
        <v>35</v>
      </c>
      <c r="R38">
        <v>2</v>
      </c>
      <c r="S38" t="str">
        <f t="shared" si="4"/>
        <v>Poor</v>
      </c>
    </row>
    <row r="39" spans="1:19" x14ac:dyDescent="0.25">
      <c r="A39" t="s">
        <v>127</v>
      </c>
      <c r="B39">
        <v>29</v>
      </c>
      <c r="C39" t="s">
        <v>29</v>
      </c>
      <c r="D39" t="s">
        <v>2466</v>
      </c>
      <c r="E39" t="s">
        <v>55</v>
      </c>
      <c r="F39" t="s">
        <v>100</v>
      </c>
      <c r="G39" t="s">
        <v>128</v>
      </c>
      <c r="H39" t="str">
        <f>TEXT(walmart[[#This Row],[Purchase_Date]],"DDD")</f>
        <v>Sun</v>
      </c>
      <c r="I39" t="str">
        <f>TEXT(walmart[[#This Row],[Purchase_Date]],"MMM")</f>
        <v>Jul</v>
      </c>
      <c r="J39" t="str">
        <f>TEXT(walmart[[#This Row],[Purchase_Date]],"YYY")</f>
        <v>2024</v>
      </c>
      <c r="K39" s="3">
        <v>592.26</v>
      </c>
      <c r="L39" t="str">
        <f t="shared" si="0"/>
        <v>10% off</v>
      </c>
      <c r="M39" s="3">
        <f t="shared" si="1"/>
        <v>59.225999999999999</v>
      </c>
      <c r="N39" t="str">
        <f t="shared" si="2"/>
        <v>Yes</v>
      </c>
      <c r="O39" t="s">
        <v>21</v>
      </c>
      <c r="P39" s="3">
        <f t="shared" si="3"/>
        <v>533.03399999999999</v>
      </c>
      <c r="Q39" t="s">
        <v>22</v>
      </c>
      <c r="R39">
        <v>3</v>
      </c>
      <c r="S39" t="str">
        <f t="shared" si="4"/>
        <v>Average</v>
      </c>
    </row>
    <row r="40" spans="1:19" x14ac:dyDescent="0.25">
      <c r="A40" t="s">
        <v>129</v>
      </c>
      <c r="B40">
        <v>46</v>
      </c>
      <c r="C40" t="s">
        <v>29</v>
      </c>
      <c r="D40" t="s">
        <v>2467</v>
      </c>
      <c r="E40" t="s">
        <v>37</v>
      </c>
      <c r="F40" t="s">
        <v>117</v>
      </c>
      <c r="G40" t="s">
        <v>130</v>
      </c>
      <c r="H40" t="str">
        <f>TEXT(walmart[[#This Row],[Purchase_Date]],"DDD")</f>
        <v>Mon</v>
      </c>
      <c r="I40" t="str">
        <f>TEXT(walmart[[#This Row],[Purchase_Date]],"MMM")</f>
        <v>Nov</v>
      </c>
      <c r="J40" t="str">
        <f>TEXT(walmart[[#This Row],[Purchase_Date]],"YYY")</f>
        <v>2024</v>
      </c>
      <c r="K40" s="3">
        <v>165.68</v>
      </c>
      <c r="L40" t="str">
        <f t="shared" si="0"/>
        <v>5% off</v>
      </c>
      <c r="M40" s="3">
        <f t="shared" si="1"/>
        <v>8.2840000000000007</v>
      </c>
      <c r="N40" t="str">
        <f t="shared" si="2"/>
        <v>Yes</v>
      </c>
      <c r="O40" t="s">
        <v>21</v>
      </c>
      <c r="P40" s="3">
        <f t="shared" si="3"/>
        <v>157.39600000000002</v>
      </c>
      <c r="Q40" t="s">
        <v>22</v>
      </c>
      <c r="R40">
        <v>4</v>
      </c>
      <c r="S40" t="str">
        <f t="shared" si="4"/>
        <v>Good</v>
      </c>
    </row>
    <row r="41" spans="1:19" x14ac:dyDescent="0.25">
      <c r="A41" t="s">
        <v>131</v>
      </c>
      <c r="B41">
        <v>27</v>
      </c>
      <c r="C41" t="s">
        <v>29</v>
      </c>
      <c r="D41" t="s">
        <v>2468</v>
      </c>
      <c r="E41" t="s">
        <v>73</v>
      </c>
      <c r="F41" t="s">
        <v>91</v>
      </c>
      <c r="G41" t="s">
        <v>132</v>
      </c>
      <c r="H41" t="str">
        <f>TEXT(walmart[[#This Row],[Purchase_Date]],"DDD")</f>
        <v>Fri</v>
      </c>
      <c r="I41" t="str">
        <f>TEXT(walmart[[#This Row],[Purchase_Date]],"MMM")</f>
        <v>Jul</v>
      </c>
      <c r="J41" t="str">
        <f>TEXT(walmart[[#This Row],[Purchase_Date]],"YYY")</f>
        <v>2024</v>
      </c>
      <c r="K41" s="3">
        <v>418.55</v>
      </c>
      <c r="L41" t="str">
        <f t="shared" si="0"/>
        <v>5% off</v>
      </c>
      <c r="M41" s="3">
        <f t="shared" si="1"/>
        <v>20.927500000000002</v>
      </c>
      <c r="N41" t="str">
        <f t="shared" si="2"/>
        <v>Yes</v>
      </c>
      <c r="O41" t="s">
        <v>34</v>
      </c>
      <c r="P41" s="3">
        <f t="shared" si="3"/>
        <v>397.6225</v>
      </c>
      <c r="Q41" t="s">
        <v>47</v>
      </c>
      <c r="R41">
        <v>1</v>
      </c>
      <c r="S41" t="str">
        <f t="shared" si="4"/>
        <v>Very Poor</v>
      </c>
    </row>
    <row r="42" spans="1:19" x14ac:dyDescent="0.25">
      <c r="A42" t="s">
        <v>133</v>
      </c>
      <c r="B42">
        <v>54</v>
      </c>
      <c r="C42" t="s">
        <v>29</v>
      </c>
      <c r="D42" t="s">
        <v>2469</v>
      </c>
      <c r="E42" t="s">
        <v>18</v>
      </c>
      <c r="F42" t="s">
        <v>19</v>
      </c>
      <c r="G42" t="s">
        <v>134</v>
      </c>
      <c r="H42" t="str">
        <f>TEXT(walmart[[#This Row],[Purchase_Date]],"DDD")</f>
        <v>Sun</v>
      </c>
      <c r="I42" t="str">
        <f>TEXT(walmart[[#This Row],[Purchase_Date]],"MMM")</f>
        <v>May</v>
      </c>
      <c r="J42" t="str">
        <f>TEXT(walmart[[#This Row],[Purchase_Date]],"YYY")</f>
        <v>2024</v>
      </c>
      <c r="K42" s="3">
        <v>697.86</v>
      </c>
      <c r="L42" t="str">
        <f t="shared" si="0"/>
        <v>10% off</v>
      </c>
      <c r="M42" s="3">
        <f t="shared" si="1"/>
        <v>69.786000000000001</v>
      </c>
      <c r="N42" t="str">
        <f t="shared" si="2"/>
        <v>Yes</v>
      </c>
      <c r="O42" t="s">
        <v>34</v>
      </c>
      <c r="P42" s="3">
        <f t="shared" si="3"/>
        <v>628.07400000000007</v>
      </c>
      <c r="Q42" t="s">
        <v>22</v>
      </c>
      <c r="R42">
        <v>5</v>
      </c>
      <c r="S42" t="str">
        <f t="shared" si="4"/>
        <v>Excellent</v>
      </c>
    </row>
    <row r="43" spans="1:19" x14ac:dyDescent="0.25">
      <c r="A43" t="s">
        <v>135</v>
      </c>
      <c r="B43">
        <v>65</v>
      </c>
      <c r="C43" t="s">
        <v>29</v>
      </c>
      <c r="D43" t="s">
        <v>2470</v>
      </c>
      <c r="E43" t="s">
        <v>42</v>
      </c>
      <c r="F43" t="s">
        <v>52</v>
      </c>
      <c r="G43" t="s">
        <v>136</v>
      </c>
      <c r="H43" t="str">
        <f>TEXT(walmart[[#This Row],[Purchase_Date]],"DDD")</f>
        <v>Tue</v>
      </c>
      <c r="I43" t="str">
        <f>TEXT(walmart[[#This Row],[Purchase_Date]],"MMM")</f>
        <v>Sep</v>
      </c>
      <c r="J43" t="str">
        <f>TEXT(walmart[[#This Row],[Purchase_Date]],"YYY")</f>
        <v>2024</v>
      </c>
      <c r="K43" s="3">
        <v>988.77</v>
      </c>
      <c r="L43" t="str">
        <f t="shared" si="0"/>
        <v>20% off</v>
      </c>
      <c r="M43" s="3">
        <f t="shared" si="1"/>
        <v>197.75400000000002</v>
      </c>
      <c r="N43" t="str">
        <f t="shared" si="2"/>
        <v>Yes</v>
      </c>
      <c r="O43" t="s">
        <v>21</v>
      </c>
      <c r="P43" s="3">
        <f t="shared" si="3"/>
        <v>791.01599999999996</v>
      </c>
      <c r="Q43" t="s">
        <v>22</v>
      </c>
      <c r="R43">
        <v>5</v>
      </c>
      <c r="S43" t="str">
        <f t="shared" si="4"/>
        <v>Excellent</v>
      </c>
    </row>
    <row r="44" spans="1:19" x14ac:dyDescent="0.25">
      <c r="A44" t="s">
        <v>137</v>
      </c>
      <c r="B44">
        <v>57</v>
      </c>
      <c r="C44" t="s">
        <v>16</v>
      </c>
      <c r="D44" t="s">
        <v>2471</v>
      </c>
      <c r="E44" t="s">
        <v>73</v>
      </c>
      <c r="F44" t="s">
        <v>138</v>
      </c>
      <c r="G44" t="s">
        <v>33</v>
      </c>
      <c r="H44" t="str">
        <f>TEXT(walmart[[#This Row],[Purchase_Date]],"DDD")</f>
        <v>Sat</v>
      </c>
      <c r="I44" t="str">
        <f>TEXT(walmart[[#This Row],[Purchase_Date]],"MMM")</f>
        <v>Jul</v>
      </c>
      <c r="J44" t="str">
        <f>TEXT(walmart[[#This Row],[Purchase_Date]],"YYY")</f>
        <v>2024</v>
      </c>
      <c r="K44" s="3">
        <v>461.81</v>
      </c>
      <c r="L44" t="str">
        <f t="shared" si="0"/>
        <v>5% off</v>
      </c>
      <c r="M44" s="3">
        <f t="shared" si="1"/>
        <v>23.090500000000002</v>
      </c>
      <c r="N44" t="str">
        <f t="shared" si="2"/>
        <v>Yes</v>
      </c>
      <c r="O44" t="s">
        <v>34</v>
      </c>
      <c r="P44" s="3">
        <f t="shared" si="3"/>
        <v>438.71949999999998</v>
      </c>
      <c r="Q44" t="s">
        <v>47</v>
      </c>
      <c r="R44">
        <v>2</v>
      </c>
      <c r="S44" t="str">
        <f t="shared" si="4"/>
        <v>Poor</v>
      </c>
    </row>
    <row r="45" spans="1:19" x14ac:dyDescent="0.25">
      <c r="A45" t="s">
        <v>139</v>
      </c>
      <c r="B45">
        <v>49</v>
      </c>
      <c r="C45" t="s">
        <v>16</v>
      </c>
      <c r="D45" t="s">
        <v>2472</v>
      </c>
      <c r="E45" t="s">
        <v>42</v>
      </c>
      <c r="F45" t="s">
        <v>120</v>
      </c>
      <c r="G45" t="s">
        <v>140</v>
      </c>
      <c r="H45" t="str">
        <f>TEXT(walmart[[#This Row],[Purchase_Date]],"DDD")</f>
        <v>Sun</v>
      </c>
      <c r="I45" t="str">
        <f>TEXT(walmart[[#This Row],[Purchase_Date]],"MMM")</f>
        <v>Mar</v>
      </c>
      <c r="J45" t="str">
        <f>TEXT(walmart[[#This Row],[Purchase_Date]],"YYY")</f>
        <v>2025</v>
      </c>
      <c r="K45" s="3">
        <v>260.77999999999997</v>
      </c>
      <c r="L45" t="str">
        <f t="shared" si="0"/>
        <v>5% off</v>
      </c>
      <c r="M45" s="3">
        <f t="shared" si="1"/>
        <v>13.039</v>
      </c>
      <c r="N45" t="str">
        <f t="shared" si="2"/>
        <v>Yes</v>
      </c>
      <c r="O45" t="s">
        <v>34</v>
      </c>
      <c r="P45" s="3">
        <f t="shared" si="3"/>
        <v>247.74099999999999</v>
      </c>
      <c r="Q45" t="s">
        <v>47</v>
      </c>
      <c r="R45">
        <v>1</v>
      </c>
      <c r="S45" t="str">
        <f t="shared" si="4"/>
        <v>Very Poor</v>
      </c>
    </row>
    <row r="46" spans="1:19" x14ac:dyDescent="0.25">
      <c r="A46" t="s">
        <v>141</v>
      </c>
      <c r="B46">
        <v>21</v>
      </c>
      <c r="C46" t="s">
        <v>29</v>
      </c>
      <c r="D46" t="s">
        <v>2473</v>
      </c>
      <c r="E46" t="s">
        <v>18</v>
      </c>
      <c r="F46" t="s">
        <v>142</v>
      </c>
      <c r="G46" t="s">
        <v>143</v>
      </c>
      <c r="H46" t="str">
        <f>TEXT(walmart[[#This Row],[Purchase_Date]],"DDD")</f>
        <v>Thu</v>
      </c>
      <c r="I46" t="str">
        <f>TEXT(walmart[[#This Row],[Purchase_Date]],"MMM")</f>
        <v>Dec</v>
      </c>
      <c r="J46" t="str">
        <f>TEXT(walmart[[#This Row],[Purchase_Date]],"YYY")</f>
        <v>2024</v>
      </c>
      <c r="K46" s="3">
        <v>485.26</v>
      </c>
      <c r="L46" t="str">
        <f t="shared" si="0"/>
        <v>5% off</v>
      </c>
      <c r="M46" s="3">
        <f t="shared" si="1"/>
        <v>24.263000000000002</v>
      </c>
      <c r="N46" t="str">
        <f t="shared" si="2"/>
        <v>Yes</v>
      </c>
      <c r="O46" t="s">
        <v>34</v>
      </c>
      <c r="P46" s="3">
        <f t="shared" si="3"/>
        <v>460.99700000000001</v>
      </c>
      <c r="Q46" t="s">
        <v>22</v>
      </c>
      <c r="R46">
        <v>1</v>
      </c>
      <c r="S46" t="str">
        <f t="shared" si="4"/>
        <v>Very Poor</v>
      </c>
    </row>
    <row r="47" spans="1:19" x14ac:dyDescent="0.25">
      <c r="A47" t="s">
        <v>144</v>
      </c>
      <c r="B47">
        <v>44</v>
      </c>
      <c r="C47" t="s">
        <v>29</v>
      </c>
      <c r="D47" t="s">
        <v>2474</v>
      </c>
      <c r="E47" t="s">
        <v>31</v>
      </c>
      <c r="F47" t="s">
        <v>32</v>
      </c>
      <c r="G47" t="s">
        <v>145</v>
      </c>
      <c r="H47" t="str">
        <f>TEXT(walmart[[#This Row],[Purchase_Date]],"DDD")</f>
        <v>Mon</v>
      </c>
      <c r="I47" t="str">
        <f>TEXT(walmart[[#This Row],[Purchase_Date]],"MMM")</f>
        <v>Jun</v>
      </c>
      <c r="J47" t="str">
        <f>TEXT(walmart[[#This Row],[Purchase_Date]],"YYY")</f>
        <v>2024</v>
      </c>
      <c r="K47" s="3">
        <v>493.96</v>
      </c>
      <c r="L47" t="str">
        <f t="shared" si="0"/>
        <v>5% off</v>
      </c>
      <c r="M47" s="3">
        <f t="shared" si="1"/>
        <v>24.698</v>
      </c>
      <c r="N47" t="str">
        <f t="shared" si="2"/>
        <v>Yes</v>
      </c>
      <c r="O47" t="s">
        <v>34</v>
      </c>
      <c r="P47" s="3">
        <f t="shared" si="3"/>
        <v>469.262</v>
      </c>
      <c r="Q47" t="s">
        <v>35</v>
      </c>
      <c r="R47">
        <v>1</v>
      </c>
      <c r="S47" t="str">
        <f t="shared" si="4"/>
        <v>Very Poor</v>
      </c>
    </row>
    <row r="48" spans="1:19" x14ac:dyDescent="0.25">
      <c r="A48" t="s">
        <v>146</v>
      </c>
      <c r="B48">
        <v>57</v>
      </c>
      <c r="C48" t="s">
        <v>29</v>
      </c>
      <c r="D48" t="s">
        <v>2475</v>
      </c>
      <c r="E48" t="s">
        <v>31</v>
      </c>
      <c r="F48" t="s">
        <v>112</v>
      </c>
      <c r="G48" t="s">
        <v>147</v>
      </c>
      <c r="H48" t="str">
        <f>TEXT(walmart[[#This Row],[Purchase_Date]],"DDD")</f>
        <v>Sat</v>
      </c>
      <c r="I48" t="str">
        <f>TEXT(walmart[[#This Row],[Purchase_Date]],"MMM")</f>
        <v>Apr</v>
      </c>
      <c r="J48" t="str">
        <f>TEXT(walmart[[#This Row],[Purchase_Date]],"YYY")</f>
        <v>2024</v>
      </c>
      <c r="K48" s="3">
        <v>492.1</v>
      </c>
      <c r="L48" t="str">
        <f t="shared" si="0"/>
        <v>5% off</v>
      </c>
      <c r="M48" s="3">
        <f t="shared" si="1"/>
        <v>24.605000000000004</v>
      </c>
      <c r="N48" t="str">
        <f t="shared" si="2"/>
        <v>Yes</v>
      </c>
      <c r="O48" t="s">
        <v>34</v>
      </c>
      <c r="P48" s="3">
        <f t="shared" si="3"/>
        <v>467.495</v>
      </c>
      <c r="Q48" t="s">
        <v>47</v>
      </c>
      <c r="R48">
        <v>2</v>
      </c>
      <c r="S48" t="str">
        <f t="shared" si="4"/>
        <v>Poor</v>
      </c>
    </row>
    <row r="49" spans="1:19" x14ac:dyDescent="0.25">
      <c r="A49" t="s">
        <v>148</v>
      </c>
      <c r="B49">
        <v>66</v>
      </c>
      <c r="C49" t="s">
        <v>16</v>
      </c>
      <c r="D49" t="s">
        <v>2476</v>
      </c>
      <c r="E49" t="s">
        <v>55</v>
      </c>
      <c r="F49" t="s">
        <v>100</v>
      </c>
      <c r="G49" t="s">
        <v>149</v>
      </c>
      <c r="H49" t="str">
        <f>TEXT(walmart[[#This Row],[Purchase_Date]],"DDD")</f>
        <v>Thu</v>
      </c>
      <c r="I49" t="str">
        <f>TEXT(walmart[[#This Row],[Purchase_Date]],"MMM")</f>
        <v>Oct</v>
      </c>
      <c r="J49" t="str">
        <f>TEXT(walmart[[#This Row],[Purchase_Date]],"YYY")</f>
        <v>2024</v>
      </c>
      <c r="K49" s="3">
        <v>592.26</v>
      </c>
      <c r="L49" t="str">
        <f t="shared" si="0"/>
        <v>10% off</v>
      </c>
      <c r="M49" s="3">
        <f t="shared" si="1"/>
        <v>59.225999999999999</v>
      </c>
      <c r="N49" t="str">
        <f t="shared" si="2"/>
        <v>Yes</v>
      </c>
      <c r="O49" t="s">
        <v>21</v>
      </c>
      <c r="P49" s="3">
        <f t="shared" si="3"/>
        <v>533.03399999999999</v>
      </c>
      <c r="Q49" t="s">
        <v>22</v>
      </c>
      <c r="R49">
        <v>1</v>
      </c>
      <c r="S49" t="str">
        <f t="shared" si="4"/>
        <v>Very Poor</v>
      </c>
    </row>
    <row r="50" spans="1:19" x14ac:dyDescent="0.25">
      <c r="A50" t="s">
        <v>150</v>
      </c>
      <c r="B50">
        <v>36</v>
      </c>
      <c r="C50" t="s">
        <v>16</v>
      </c>
      <c r="D50" t="s">
        <v>2477</v>
      </c>
      <c r="E50" t="s">
        <v>55</v>
      </c>
      <c r="F50" t="s">
        <v>67</v>
      </c>
      <c r="G50" t="s">
        <v>151</v>
      </c>
      <c r="H50" t="str">
        <f>TEXT(walmart[[#This Row],[Purchase_Date]],"DDD")</f>
        <v>Mon</v>
      </c>
      <c r="I50" t="str">
        <f>TEXT(walmart[[#This Row],[Purchase_Date]],"MMM")</f>
        <v>May</v>
      </c>
      <c r="J50" t="str">
        <f>TEXT(walmart[[#This Row],[Purchase_Date]],"YYY")</f>
        <v>2024</v>
      </c>
      <c r="K50" s="3">
        <v>452.97</v>
      </c>
      <c r="L50" t="str">
        <f t="shared" si="0"/>
        <v>5% off</v>
      </c>
      <c r="M50" s="3">
        <f t="shared" si="1"/>
        <v>22.648500000000002</v>
      </c>
      <c r="N50" t="str">
        <f t="shared" si="2"/>
        <v>Yes</v>
      </c>
      <c r="O50" t="s">
        <v>34</v>
      </c>
      <c r="P50" s="3">
        <f t="shared" si="3"/>
        <v>430.32150000000001</v>
      </c>
      <c r="Q50" t="s">
        <v>27</v>
      </c>
      <c r="R50">
        <v>5</v>
      </c>
      <c r="S50" t="str">
        <f t="shared" si="4"/>
        <v>Excellent</v>
      </c>
    </row>
    <row r="51" spans="1:19" x14ac:dyDescent="0.25">
      <c r="A51" t="s">
        <v>152</v>
      </c>
      <c r="B51">
        <v>68</v>
      </c>
      <c r="C51" t="s">
        <v>16</v>
      </c>
      <c r="D51" t="s">
        <v>2478</v>
      </c>
      <c r="E51" t="s">
        <v>42</v>
      </c>
      <c r="F51" t="s">
        <v>52</v>
      </c>
      <c r="G51" t="s">
        <v>153</v>
      </c>
      <c r="H51" t="str">
        <f>TEXT(walmart[[#This Row],[Purchase_Date]],"DDD")</f>
        <v>Thu</v>
      </c>
      <c r="I51" t="str">
        <f>TEXT(walmart[[#This Row],[Purchase_Date]],"MMM")</f>
        <v>Dec</v>
      </c>
      <c r="J51" t="str">
        <f>TEXT(walmart[[#This Row],[Purchase_Date]],"YYY")</f>
        <v>2024</v>
      </c>
      <c r="K51" s="3">
        <v>988.77</v>
      </c>
      <c r="L51" t="str">
        <f t="shared" si="0"/>
        <v>20% off</v>
      </c>
      <c r="M51" s="3">
        <f t="shared" si="1"/>
        <v>197.75400000000002</v>
      </c>
      <c r="N51" t="str">
        <f t="shared" si="2"/>
        <v>Yes</v>
      </c>
      <c r="O51" t="s">
        <v>34</v>
      </c>
      <c r="P51" s="3">
        <f t="shared" si="3"/>
        <v>791.01599999999996</v>
      </c>
      <c r="Q51" t="s">
        <v>27</v>
      </c>
      <c r="R51">
        <v>4</v>
      </c>
      <c r="S51" t="str">
        <f t="shared" si="4"/>
        <v>Good</v>
      </c>
    </row>
    <row r="52" spans="1:19" x14ac:dyDescent="0.25">
      <c r="A52" t="s">
        <v>154</v>
      </c>
      <c r="B52">
        <v>35</v>
      </c>
      <c r="C52" t="s">
        <v>29</v>
      </c>
      <c r="D52" t="s">
        <v>2479</v>
      </c>
      <c r="E52" t="s">
        <v>24</v>
      </c>
      <c r="F52" t="s">
        <v>25</v>
      </c>
      <c r="G52" t="s">
        <v>155</v>
      </c>
      <c r="H52" t="str">
        <f>TEXT(walmart[[#This Row],[Purchase_Date]],"DDD")</f>
        <v>Sat</v>
      </c>
      <c r="I52" t="str">
        <f>TEXT(walmart[[#This Row],[Purchase_Date]],"MMM")</f>
        <v>Sep</v>
      </c>
      <c r="J52" t="str">
        <f>TEXT(walmart[[#This Row],[Purchase_Date]],"YYY")</f>
        <v>2024</v>
      </c>
      <c r="K52" s="3">
        <v>67.040000000000006</v>
      </c>
      <c r="L52" t="str">
        <f t="shared" si="0"/>
        <v>0% off</v>
      </c>
      <c r="M52" s="3">
        <f t="shared" si="1"/>
        <v>0</v>
      </c>
      <c r="N52" t="str">
        <f t="shared" si="2"/>
        <v>No</v>
      </c>
      <c r="O52" t="s">
        <v>21</v>
      </c>
      <c r="P52" s="3">
        <f t="shared" si="3"/>
        <v>67.040000000000006</v>
      </c>
      <c r="Q52" t="s">
        <v>35</v>
      </c>
      <c r="R52">
        <v>2</v>
      </c>
      <c r="S52" t="str">
        <f t="shared" si="4"/>
        <v>Poor</v>
      </c>
    </row>
    <row r="53" spans="1:19" x14ac:dyDescent="0.25">
      <c r="A53" t="s">
        <v>156</v>
      </c>
      <c r="B53">
        <v>54</v>
      </c>
      <c r="C53" t="s">
        <v>29</v>
      </c>
      <c r="D53" t="s">
        <v>2480</v>
      </c>
      <c r="E53" t="s">
        <v>31</v>
      </c>
      <c r="F53" t="s">
        <v>32</v>
      </c>
      <c r="G53" t="s">
        <v>157</v>
      </c>
      <c r="H53" t="str">
        <f>TEXT(walmart[[#This Row],[Purchase_Date]],"DDD")</f>
        <v>Mon</v>
      </c>
      <c r="I53" t="str">
        <f>TEXT(walmart[[#This Row],[Purchase_Date]],"MMM")</f>
        <v>Jun</v>
      </c>
      <c r="J53" t="str">
        <f>TEXT(walmart[[#This Row],[Purchase_Date]],"YYY")</f>
        <v>2024</v>
      </c>
      <c r="K53" s="3">
        <v>493.96</v>
      </c>
      <c r="L53" t="str">
        <f t="shared" si="0"/>
        <v>5% off</v>
      </c>
      <c r="M53" s="3">
        <f t="shared" si="1"/>
        <v>24.698</v>
      </c>
      <c r="N53" t="str">
        <f t="shared" si="2"/>
        <v>Yes</v>
      </c>
      <c r="O53" t="s">
        <v>34</v>
      </c>
      <c r="P53" s="3">
        <f t="shared" si="3"/>
        <v>469.262</v>
      </c>
      <c r="Q53" t="s">
        <v>27</v>
      </c>
      <c r="R53">
        <v>5</v>
      </c>
      <c r="S53" t="str">
        <f t="shared" si="4"/>
        <v>Excellent</v>
      </c>
    </row>
    <row r="54" spans="1:19" x14ac:dyDescent="0.25">
      <c r="A54" t="s">
        <v>158</v>
      </c>
      <c r="B54">
        <v>36</v>
      </c>
      <c r="C54" t="s">
        <v>29</v>
      </c>
      <c r="D54" t="s">
        <v>2481</v>
      </c>
      <c r="E54" t="s">
        <v>73</v>
      </c>
      <c r="F54" t="s">
        <v>138</v>
      </c>
      <c r="G54" t="s">
        <v>106</v>
      </c>
      <c r="H54" t="str">
        <f>TEXT(walmart[[#This Row],[Purchase_Date]],"DDD")</f>
        <v>Sun</v>
      </c>
      <c r="I54" t="str">
        <f>TEXT(walmart[[#This Row],[Purchase_Date]],"MMM")</f>
        <v>Apr</v>
      </c>
      <c r="J54" t="str">
        <f>TEXT(walmart[[#This Row],[Purchase_Date]],"YYY")</f>
        <v>2024</v>
      </c>
      <c r="K54" s="3">
        <v>461.81</v>
      </c>
      <c r="L54" t="str">
        <f t="shared" si="0"/>
        <v>5% off</v>
      </c>
      <c r="M54" s="3">
        <f t="shared" si="1"/>
        <v>23.090500000000002</v>
      </c>
      <c r="N54" t="str">
        <f t="shared" si="2"/>
        <v>Yes</v>
      </c>
      <c r="O54" t="s">
        <v>34</v>
      </c>
      <c r="P54" s="3">
        <f t="shared" si="3"/>
        <v>438.71949999999998</v>
      </c>
      <c r="Q54" t="s">
        <v>35</v>
      </c>
      <c r="R54">
        <v>2</v>
      </c>
      <c r="S54" t="str">
        <f t="shared" si="4"/>
        <v>Poor</v>
      </c>
    </row>
    <row r="55" spans="1:19" x14ac:dyDescent="0.25">
      <c r="A55" t="s">
        <v>159</v>
      </c>
      <c r="B55">
        <v>31</v>
      </c>
      <c r="C55" t="s">
        <v>29</v>
      </c>
      <c r="D55" t="s">
        <v>2482</v>
      </c>
      <c r="E55" t="s">
        <v>73</v>
      </c>
      <c r="F55" t="s">
        <v>74</v>
      </c>
      <c r="G55" t="s">
        <v>160</v>
      </c>
      <c r="H55" t="str">
        <f>TEXT(walmart[[#This Row],[Purchase_Date]],"DDD")</f>
        <v>Tue</v>
      </c>
      <c r="I55" t="str">
        <f>TEXT(walmart[[#This Row],[Purchase_Date]],"MMM")</f>
        <v>Oct</v>
      </c>
      <c r="J55" t="str">
        <f>TEXT(walmart[[#This Row],[Purchase_Date]],"YYY")</f>
        <v>2024</v>
      </c>
      <c r="K55" s="3">
        <v>782.29</v>
      </c>
      <c r="L55" t="str">
        <f t="shared" si="0"/>
        <v>15% off</v>
      </c>
      <c r="M55" s="3">
        <f t="shared" si="1"/>
        <v>117.34349999999999</v>
      </c>
      <c r="N55" t="str">
        <f t="shared" si="2"/>
        <v>Yes</v>
      </c>
      <c r="O55" t="s">
        <v>34</v>
      </c>
      <c r="P55" s="3">
        <f t="shared" si="3"/>
        <v>664.94650000000001</v>
      </c>
      <c r="Q55" t="s">
        <v>35</v>
      </c>
      <c r="R55">
        <v>5</v>
      </c>
      <c r="S55" t="str">
        <f t="shared" si="4"/>
        <v>Excellent</v>
      </c>
    </row>
    <row r="56" spans="1:19" x14ac:dyDescent="0.25">
      <c r="A56" t="s">
        <v>161</v>
      </c>
      <c r="B56">
        <v>67</v>
      </c>
      <c r="C56" t="s">
        <v>16</v>
      </c>
      <c r="D56" t="s">
        <v>2462</v>
      </c>
      <c r="E56" t="s">
        <v>24</v>
      </c>
      <c r="F56" t="s">
        <v>162</v>
      </c>
      <c r="G56" t="s">
        <v>163</v>
      </c>
      <c r="H56" t="str">
        <f>TEXT(walmart[[#This Row],[Purchase_Date]],"DDD")</f>
        <v>Fri</v>
      </c>
      <c r="I56" t="str">
        <f>TEXT(walmart[[#This Row],[Purchase_Date]],"MMM")</f>
        <v>Nov</v>
      </c>
      <c r="J56" t="str">
        <f>TEXT(walmart[[#This Row],[Purchase_Date]],"YYY")</f>
        <v>2024</v>
      </c>
      <c r="K56" s="3">
        <v>362.55</v>
      </c>
      <c r="L56" t="str">
        <f t="shared" si="0"/>
        <v>5% off</v>
      </c>
      <c r="M56" s="3">
        <f t="shared" si="1"/>
        <v>18.127500000000001</v>
      </c>
      <c r="N56" t="str">
        <f t="shared" si="2"/>
        <v>Yes</v>
      </c>
      <c r="O56" t="s">
        <v>21</v>
      </c>
      <c r="P56" s="3">
        <f t="shared" si="3"/>
        <v>344.42250000000001</v>
      </c>
      <c r="Q56" t="s">
        <v>22</v>
      </c>
      <c r="R56">
        <v>2</v>
      </c>
      <c r="S56" t="str">
        <f t="shared" si="4"/>
        <v>Poor</v>
      </c>
    </row>
    <row r="57" spans="1:19" x14ac:dyDescent="0.25">
      <c r="A57" t="s">
        <v>164</v>
      </c>
      <c r="B57">
        <v>67</v>
      </c>
      <c r="C57" t="s">
        <v>29</v>
      </c>
      <c r="D57" t="s">
        <v>2483</v>
      </c>
      <c r="E57" t="s">
        <v>55</v>
      </c>
      <c r="F57" t="s">
        <v>67</v>
      </c>
      <c r="G57" t="s">
        <v>165</v>
      </c>
      <c r="H57" t="str">
        <f>TEXT(walmart[[#This Row],[Purchase_Date]],"DDD")</f>
        <v>Tue</v>
      </c>
      <c r="I57" t="str">
        <f>TEXT(walmart[[#This Row],[Purchase_Date]],"MMM")</f>
        <v>Oct</v>
      </c>
      <c r="J57" t="str">
        <f>TEXT(walmart[[#This Row],[Purchase_Date]],"YYY")</f>
        <v>2024</v>
      </c>
      <c r="K57" s="3">
        <v>452.97</v>
      </c>
      <c r="L57" t="str">
        <f t="shared" si="0"/>
        <v>5% off</v>
      </c>
      <c r="M57" s="3">
        <f t="shared" si="1"/>
        <v>22.648500000000002</v>
      </c>
      <c r="N57" t="str">
        <f t="shared" si="2"/>
        <v>Yes</v>
      </c>
      <c r="O57" t="s">
        <v>21</v>
      </c>
      <c r="P57" s="3">
        <f t="shared" si="3"/>
        <v>430.32150000000001</v>
      </c>
      <c r="Q57" t="s">
        <v>27</v>
      </c>
      <c r="R57">
        <v>5</v>
      </c>
      <c r="S57" t="str">
        <f t="shared" si="4"/>
        <v>Excellent</v>
      </c>
    </row>
    <row r="58" spans="1:19" x14ac:dyDescent="0.25">
      <c r="A58" t="s">
        <v>166</v>
      </c>
      <c r="B58">
        <v>55</v>
      </c>
      <c r="C58" t="s">
        <v>29</v>
      </c>
      <c r="D58" t="s">
        <v>2484</v>
      </c>
      <c r="E58" t="s">
        <v>18</v>
      </c>
      <c r="F58" t="s">
        <v>142</v>
      </c>
      <c r="G58" t="s">
        <v>167</v>
      </c>
      <c r="H58" t="str">
        <f>TEXT(walmart[[#This Row],[Purchase_Date]],"DDD")</f>
        <v>Mon</v>
      </c>
      <c r="I58" t="str">
        <f>TEXT(walmart[[#This Row],[Purchase_Date]],"MMM")</f>
        <v>Jan</v>
      </c>
      <c r="J58" t="str">
        <f>TEXT(walmart[[#This Row],[Purchase_Date]],"YYY")</f>
        <v>2025</v>
      </c>
      <c r="K58" s="3">
        <v>485.26</v>
      </c>
      <c r="L58" t="str">
        <f t="shared" si="0"/>
        <v>5% off</v>
      </c>
      <c r="M58" s="3">
        <f t="shared" si="1"/>
        <v>24.263000000000002</v>
      </c>
      <c r="N58" t="str">
        <f t="shared" si="2"/>
        <v>Yes</v>
      </c>
      <c r="O58" t="s">
        <v>34</v>
      </c>
      <c r="P58" s="3">
        <f t="shared" si="3"/>
        <v>460.99700000000001</v>
      </c>
      <c r="Q58" t="s">
        <v>35</v>
      </c>
      <c r="R58">
        <v>2</v>
      </c>
      <c r="S58" t="str">
        <f t="shared" si="4"/>
        <v>Poor</v>
      </c>
    </row>
    <row r="59" spans="1:19" x14ac:dyDescent="0.25">
      <c r="A59" t="s">
        <v>168</v>
      </c>
      <c r="B59">
        <v>50</v>
      </c>
      <c r="C59" t="s">
        <v>16</v>
      </c>
      <c r="D59" t="s">
        <v>2485</v>
      </c>
      <c r="E59" t="s">
        <v>31</v>
      </c>
      <c r="F59" t="s">
        <v>169</v>
      </c>
      <c r="G59" t="s">
        <v>20</v>
      </c>
      <c r="H59" t="str">
        <f>TEXT(walmart[[#This Row],[Purchase_Date]],"DDD")</f>
        <v>Fri</v>
      </c>
      <c r="I59" t="str">
        <f>TEXT(walmart[[#This Row],[Purchase_Date]],"MMM")</f>
        <v>Apr</v>
      </c>
      <c r="J59" t="str">
        <f>TEXT(walmart[[#This Row],[Purchase_Date]],"YYY")</f>
        <v>2024</v>
      </c>
      <c r="K59" s="3">
        <v>52.44</v>
      </c>
      <c r="L59" t="str">
        <f t="shared" si="0"/>
        <v>0% off</v>
      </c>
      <c r="M59" s="3">
        <f t="shared" si="1"/>
        <v>0</v>
      </c>
      <c r="N59" t="str">
        <f t="shared" si="2"/>
        <v>No</v>
      </c>
      <c r="O59" t="s">
        <v>21</v>
      </c>
      <c r="P59" s="3">
        <f t="shared" si="3"/>
        <v>52.44</v>
      </c>
      <c r="Q59" t="s">
        <v>35</v>
      </c>
      <c r="R59">
        <v>2</v>
      </c>
      <c r="S59" t="str">
        <f t="shared" si="4"/>
        <v>Poor</v>
      </c>
    </row>
    <row r="60" spans="1:19" x14ac:dyDescent="0.25">
      <c r="A60" t="s">
        <v>170</v>
      </c>
      <c r="B60">
        <v>31</v>
      </c>
      <c r="C60" t="s">
        <v>29</v>
      </c>
      <c r="D60" t="s">
        <v>2486</v>
      </c>
      <c r="E60" t="s">
        <v>18</v>
      </c>
      <c r="F60" t="s">
        <v>19</v>
      </c>
      <c r="G60" t="s">
        <v>171</v>
      </c>
      <c r="H60" t="str">
        <f>TEXT(walmart[[#This Row],[Purchase_Date]],"DDD")</f>
        <v>Tue</v>
      </c>
      <c r="I60" t="str">
        <f>TEXT(walmart[[#This Row],[Purchase_Date]],"MMM")</f>
        <v>Nov</v>
      </c>
      <c r="J60" t="str">
        <f>TEXT(walmart[[#This Row],[Purchase_Date]],"YYY")</f>
        <v>2024</v>
      </c>
      <c r="K60" s="3">
        <v>697.86</v>
      </c>
      <c r="L60" t="str">
        <f t="shared" si="0"/>
        <v>10% off</v>
      </c>
      <c r="M60" s="3">
        <f t="shared" si="1"/>
        <v>69.786000000000001</v>
      </c>
      <c r="N60" t="str">
        <f t="shared" si="2"/>
        <v>Yes</v>
      </c>
      <c r="O60" t="s">
        <v>34</v>
      </c>
      <c r="P60" s="3">
        <f t="shared" si="3"/>
        <v>628.07400000000007</v>
      </c>
      <c r="Q60" t="s">
        <v>27</v>
      </c>
      <c r="R60">
        <v>2</v>
      </c>
      <c r="S60" t="str">
        <f t="shared" si="4"/>
        <v>Poor</v>
      </c>
    </row>
    <row r="61" spans="1:19" x14ac:dyDescent="0.25">
      <c r="A61" t="s">
        <v>172</v>
      </c>
      <c r="B61">
        <v>50</v>
      </c>
      <c r="C61" t="s">
        <v>29</v>
      </c>
      <c r="D61" t="s">
        <v>2487</v>
      </c>
      <c r="E61" t="s">
        <v>42</v>
      </c>
      <c r="F61" t="s">
        <v>52</v>
      </c>
      <c r="G61" t="s">
        <v>95</v>
      </c>
      <c r="H61" t="str">
        <f>TEXT(walmart[[#This Row],[Purchase_Date]],"DDD")</f>
        <v>Wed</v>
      </c>
      <c r="I61" t="str">
        <f>TEXT(walmart[[#This Row],[Purchase_Date]],"MMM")</f>
        <v>Dec</v>
      </c>
      <c r="J61" t="str">
        <f>TEXT(walmart[[#This Row],[Purchase_Date]],"YYY")</f>
        <v>2024</v>
      </c>
      <c r="K61" s="3">
        <v>988.77</v>
      </c>
      <c r="L61" t="str">
        <f t="shared" si="0"/>
        <v>20% off</v>
      </c>
      <c r="M61" s="3">
        <f t="shared" si="1"/>
        <v>197.75400000000002</v>
      </c>
      <c r="N61" t="str">
        <f t="shared" si="2"/>
        <v>Yes</v>
      </c>
      <c r="O61" t="s">
        <v>34</v>
      </c>
      <c r="P61" s="3">
        <f t="shared" si="3"/>
        <v>791.01599999999996</v>
      </c>
      <c r="Q61" t="s">
        <v>22</v>
      </c>
      <c r="R61">
        <v>1</v>
      </c>
      <c r="S61" t="str">
        <f t="shared" si="4"/>
        <v>Very Poor</v>
      </c>
    </row>
    <row r="62" spans="1:19" x14ac:dyDescent="0.25">
      <c r="A62" t="s">
        <v>173</v>
      </c>
      <c r="B62">
        <v>32</v>
      </c>
      <c r="C62" t="s">
        <v>29</v>
      </c>
      <c r="D62" t="s">
        <v>2488</v>
      </c>
      <c r="E62" t="s">
        <v>24</v>
      </c>
      <c r="F62" t="s">
        <v>25</v>
      </c>
      <c r="G62" t="s">
        <v>174</v>
      </c>
      <c r="H62" t="str">
        <f>TEXT(walmart[[#This Row],[Purchase_Date]],"DDD")</f>
        <v>Sun</v>
      </c>
      <c r="I62" t="str">
        <f>TEXT(walmart[[#This Row],[Purchase_Date]],"MMM")</f>
        <v>Dec</v>
      </c>
      <c r="J62" t="str">
        <f>TEXT(walmart[[#This Row],[Purchase_Date]],"YYY")</f>
        <v>2024</v>
      </c>
      <c r="K62" s="3">
        <v>67.040000000000006</v>
      </c>
      <c r="L62" t="str">
        <f t="shared" si="0"/>
        <v>0% off</v>
      </c>
      <c r="M62" s="3">
        <f t="shared" si="1"/>
        <v>0</v>
      </c>
      <c r="N62" t="str">
        <f t="shared" si="2"/>
        <v>No</v>
      </c>
      <c r="O62" t="s">
        <v>34</v>
      </c>
      <c r="P62" s="3">
        <f t="shared" si="3"/>
        <v>67.040000000000006</v>
      </c>
      <c r="Q62" t="s">
        <v>27</v>
      </c>
      <c r="R62">
        <v>2</v>
      </c>
      <c r="S62" t="str">
        <f t="shared" si="4"/>
        <v>Poor</v>
      </c>
    </row>
    <row r="63" spans="1:19" x14ac:dyDescent="0.25">
      <c r="A63" t="s">
        <v>175</v>
      </c>
      <c r="B63">
        <v>63</v>
      </c>
      <c r="C63" t="s">
        <v>29</v>
      </c>
      <c r="D63" t="s">
        <v>2489</v>
      </c>
      <c r="E63" t="s">
        <v>42</v>
      </c>
      <c r="F63" t="s">
        <v>43</v>
      </c>
      <c r="G63" t="s">
        <v>176</v>
      </c>
      <c r="H63" t="str">
        <f>TEXT(walmart[[#This Row],[Purchase_Date]],"DDD")</f>
        <v>Sat</v>
      </c>
      <c r="I63" t="str">
        <f>TEXT(walmart[[#This Row],[Purchase_Date]],"MMM")</f>
        <v>Oct</v>
      </c>
      <c r="J63" t="str">
        <f>TEXT(walmart[[#This Row],[Purchase_Date]],"YYY")</f>
        <v>2024</v>
      </c>
      <c r="K63" s="3">
        <v>512.94000000000005</v>
      </c>
      <c r="L63" t="str">
        <f t="shared" si="0"/>
        <v>10% off</v>
      </c>
      <c r="M63" s="3">
        <f t="shared" si="1"/>
        <v>51.294000000000011</v>
      </c>
      <c r="N63" t="str">
        <f t="shared" si="2"/>
        <v>Yes</v>
      </c>
      <c r="O63" t="s">
        <v>21</v>
      </c>
      <c r="P63" s="3">
        <f t="shared" si="3"/>
        <v>461.64600000000007</v>
      </c>
      <c r="Q63" t="s">
        <v>27</v>
      </c>
      <c r="R63">
        <v>4</v>
      </c>
      <c r="S63" t="str">
        <f t="shared" si="4"/>
        <v>Good</v>
      </c>
    </row>
    <row r="64" spans="1:19" x14ac:dyDescent="0.25">
      <c r="A64" t="s">
        <v>177</v>
      </c>
      <c r="B64">
        <v>66</v>
      </c>
      <c r="C64" t="s">
        <v>16</v>
      </c>
      <c r="D64" t="s">
        <v>2490</v>
      </c>
      <c r="E64" t="s">
        <v>42</v>
      </c>
      <c r="F64" t="s">
        <v>43</v>
      </c>
      <c r="G64" t="s">
        <v>44</v>
      </c>
      <c r="H64" t="str">
        <f>TEXT(walmart[[#This Row],[Purchase_Date]],"DDD")</f>
        <v>Fri</v>
      </c>
      <c r="I64" t="str">
        <f>TEXT(walmart[[#This Row],[Purchase_Date]],"MMM")</f>
        <v>Aug</v>
      </c>
      <c r="J64" t="str">
        <f>TEXT(walmart[[#This Row],[Purchase_Date]],"YYY")</f>
        <v>2024</v>
      </c>
      <c r="K64" s="3">
        <v>512.94000000000005</v>
      </c>
      <c r="L64" t="str">
        <f t="shared" si="0"/>
        <v>10% off</v>
      </c>
      <c r="M64" s="3">
        <f t="shared" si="1"/>
        <v>51.294000000000011</v>
      </c>
      <c r="N64" t="str">
        <f t="shared" si="2"/>
        <v>Yes</v>
      </c>
      <c r="O64" t="s">
        <v>34</v>
      </c>
      <c r="P64" s="3">
        <f t="shared" si="3"/>
        <v>461.64600000000007</v>
      </c>
      <c r="Q64" t="s">
        <v>22</v>
      </c>
      <c r="R64">
        <v>1</v>
      </c>
      <c r="S64" t="str">
        <f t="shared" si="4"/>
        <v>Very Poor</v>
      </c>
    </row>
    <row r="65" spans="1:19" x14ac:dyDescent="0.25">
      <c r="A65" t="s">
        <v>178</v>
      </c>
      <c r="B65">
        <v>33</v>
      </c>
      <c r="C65" t="s">
        <v>29</v>
      </c>
      <c r="D65" t="s">
        <v>2471</v>
      </c>
      <c r="E65" t="s">
        <v>37</v>
      </c>
      <c r="F65" t="s">
        <v>117</v>
      </c>
      <c r="G65" t="s">
        <v>179</v>
      </c>
      <c r="H65" t="str">
        <f>TEXT(walmart[[#This Row],[Purchase_Date]],"DDD")</f>
        <v>Sat</v>
      </c>
      <c r="I65" t="str">
        <f>TEXT(walmart[[#This Row],[Purchase_Date]],"MMM")</f>
        <v>Jun</v>
      </c>
      <c r="J65" t="str">
        <f>TEXT(walmart[[#This Row],[Purchase_Date]],"YYY")</f>
        <v>2024</v>
      </c>
      <c r="K65" s="3">
        <v>165.68</v>
      </c>
      <c r="L65" t="str">
        <f t="shared" si="0"/>
        <v>5% off</v>
      </c>
      <c r="M65" s="3">
        <f t="shared" si="1"/>
        <v>8.2840000000000007</v>
      </c>
      <c r="N65" t="str">
        <f t="shared" si="2"/>
        <v>Yes</v>
      </c>
      <c r="O65" t="s">
        <v>21</v>
      </c>
      <c r="P65" s="3">
        <f t="shared" si="3"/>
        <v>157.39600000000002</v>
      </c>
      <c r="Q65" t="s">
        <v>22</v>
      </c>
      <c r="R65">
        <v>1</v>
      </c>
      <c r="S65" t="str">
        <f t="shared" si="4"/>
        <v>Very Poor</v>
      </c>
    </row>
    <row r="66" spans="1:19" x14ac:dyDescent="0.25">
      <c r="A66" t="s">
        <v>180</v>
      </c>
      <c r="B66">
        <v>46</v>
      </c>
      <c r="C66" t="s">
        <v>29</v>
      </c>
      <c r="D66" t="s">
        <v>2491</v>
      </c>
      <c r="E66" t="s">
        <v>18</v>
      </c>
      <c r="F66" t="s">
        <v>59</v>
      </c>
      <c r="G66" t="s">
        <v>181</v>
      </c>
      <c r="H66" t="str">
        <f>TEXT(walmart[[#This Row],[Purchase_Date]],"DDD")</f>
        <v>Sat</v>
      </c>
      <c r="I66" t="str">
        <f>TEXT(walmart[[#This Row],[Purchase_Date]],"MMM")</f>
        <v>Oct</v>
      </c>
      <c r="J66" t="str">
        <f>TEXT(walmart[[#This Row],[Purchase_Date]],"YYY")</f>
        <v>2024</v>
      </c>
      <c r="K66" s="3">
        <v>78.349999999999994</v>
      </c>
      <c r="L66" t="str">
        <f t="shared" si="0"/>
        <v>0% off</v>
      </c>
      <c r="M66" s="3">
        <f t="shared" si="1"/>
        <v>0</v>
      </c>
      <c r="N66" t="str">
        <f t="shared" si="2"/>
        <v>No</v>
      </c>
      <c r="O66" t="s">
        <v>21</v>
      </c>
      <c r="P66" s="3">
        <f t="shared" si="3"/>
        <v>78.349999999999994</v>
      </c>
      <c r="Q66" t="s">
        <v>27</v>
      </c>
      <c r="R66">
        <v>3</v>
      </c>
      <c r="S66" t="str">
        <f t="shared" si="4"/>
        <v>Average</v>
      </c>
    </row>
    <row r="67" spans="1:19" x14ac:dyDescent="0.25">
      <c r="A67" t="s">
        <v>182</v>
      </c>
      <c r="B67">
        <v>19</v>
      </c>
      <c r="C67" t="s">
        <v>29</v>
      </c>
      <c r="D67" t="s">
        <v>2492</v>
      </c>
      <c r="E67" t="s">
        <v>37</v>
      </c>
      <c r="F67" t="s">
        <v>117</v>
      </c>
      <c r="G67" t="s">
        <v>183</v>
      </c>
      <c r="H67" t="str">
        <f>TEXT(walmart[[#This Row],[Purchase_Date]],"DDD")</f>
        <v>Thu</v>
      </c>
      <c r="I67" t="str">
        <f>TEXT(walmart[[#This Row],[Purchase_Date]],"MMM")</f>
        <v>May</v>
      </c>
      <c r="J67" t="str">
        <f>TEXT(walmart[[#This Row],[Purchase_Date]],"YYY")</f>
        <v>2024</v>
      </c>
      <c r="K67" s="3">
        <v>165.68</v>
      </c>
      <c r="L67" t="str">
        <f t="shared" ref="L67:L130" si="5">IF(K67&lt;150,"0% off",IF(K67&lt;500,"5% off",IF(K67&lt;700,"10% off",IF(K67&lt;900,"15% off","20% off"))))</f>
        <v>5% off</v>
      </c>
      <c r="M67" s="3">
        <f t="shared" ref="M67:M130" si="6">K67 * (LEFT(L67, LEN(L67)-5) / 100)</f>
        <v>8.2840000000000007</v>
      </c>
      <c r="N67" t="str">
        <f t="shared" ref="N67:N130" si="7">IF(L67="0% off", "No", "Yes")</f>
        <v>Yes</v>
      </c>
      <c r="O67" t="s">
        <v>21</v>
      </c>
      <c r="P67" s="3">
        <f t="shared" ref="P67:P130" si="8">K67-M67</f>
        <v>157.39600000000002</v>
      </c>
      <c r="Q67" t="s">
        <v>35</v>
      </c>
      <c r="R67">
        <v>1</v>
      </c>
      <c r="S67" t="str">
        <f t="shared" ref="S67:S130" si="9">IF(R67=5, "Excellent", IF(R67=4, "Good", IF(R67=3, "Average", IF(R67=2, "Poor", IF(R67=1, "Very Poor", "Invalid Rating")))))</f>
        <v>Very Poor</v>
      </c>
    </row>
    <row r="68" spans="1:19" x14ac:dyDescent="0.25">
      <c r="A68" t="s">
        <v>184</v>
      </c>
      <c r="B68">
        <v>43</v>
      </c>
      <c r="C68" t="s">
        <v>29</v>
      </c>
      <c r="D68" t="s">
        <v>2493</v>
      </c>
      <c r="E68" t="s">
        <v>55</v>
      </c>
      <c r="F68" t="s">
        <v>56</v>
      </c>
      <c r="G68" t="s">
        <v>160</v>
      </c>
      <c r="H68" t="str">
        <f>TEXT(walmart[[#This Row],[Purchase_Date]],"DDD")</f>
        <v>Tue</v>
      </c>
      <c r="I68" t="str">
        <f>TEXT(walmart[[#This Row],[Purchase_Date]],"MMM")</f>
        <v>Oct</v>
      </c>
      <c r="J68" t="str">
        <f>TEXT(walmart[[#This Row],[Purchase_Date]],"YYY")</f>
        <v>2024</v>
      </c>
      <c r="K68" s="3">
        <v>76.81</v>
      </c>
      <c r="L68" t="str">
        <f t="shared" si="5"/>
        <v>0% off</v>
      </c>
      <c r="M68" s="3">
        <f t="shared" si="6"/>
        <v>0</v>
      </c>
      <c r="N68" t="str">
        <f t="shared" si="7"/>
        <v>No</v>
      </c>
      <c r="O68" t="s">
        <v>34</v>
      </c>
      <c r="P68" s="3">
        <f t="shared" si="8"/>
        <v>76.81</v>
      </c>
      <c r="Q68" t="s">
        <v>27</v>
      </c>
      <c r="R68">
        <v>4</v>
      </c>
      <c r="S68" t="str">
        <f t="shared" si="9"/>
        <v>Good</v>
      </c>
    </row>
    <row r="69" spans="1:19" x14ac:dyDescent="0.25">
      <c r="A69" t="s">
        <v>185</v>
      </c>
      <c r="B69">
        <v>65</v>
      </c>
      <c r="C69" t="s">
        <v>29</v>
      </c>
      <c r="D69" t="s">
        <v>2494</v>
      </c>
      <c r="E69" t="s">
        <v>24</v>
      </c>
      <c r="F69" t="s">
        <v>186</v>
      </c>
      <c r="G69" t="s">
        <v>187</v>
      </c>
      <c r="H69" t="str">
        <f>TEXT(walmart[[#This Row],[Purchase_Date]],"DDD")</f>
        <v>Sat</v>
      </c>
      <c r="I69" t="str">
        <f>TEXT(walmart[[#This Row],[Purchase_Date]],"MMM")</f>
        <v>Dec</v>
      </c>
      <c r="J69" t="str">
        <f>TEXT(walmart[[#This Row],[Purchase_Date]],"YYY")</f>
        <v>2024</v>
      </c>
      <c r="K69" s="3">
        <v>527.16999999999996</v>
      </c>
      <c r="L69" t="str">
        <f t="shared" si="5"/>
        <v>10% off</v>
      </c>
      <c r="M69" s="3">
        <f t="shared" si="6"/>
        <v>52.716999999999999</v>
      </c>
      <c r="N69" t="str">
        <f t="shared" si="7"/>
        <v>Yes</v>
      </c>
      <c r="O69" t="s">
        <v>34</v>
      </c>
      <c r="P69" s="3">
        <f t="shared" si="8"/>
        <v>474.45299999999997</v>
      </c>
      <c r="Q69" t="s">
        <v>47</v>
      </c>
      <c r="R69">
        <v>5</v>
      </c>
      <c r="S69" t="str">
        <f t="shared" si="9"/>
        <v>Excellent</v>
      </c>
    </row>
    <row r="70" spans="1:19" x14ac:dyDescent="0.25">
      <c r="A70" t="s">
        <v>188</v>
      </c>
      <c r="B70">
        <v>24</v>
      </c>
      <c r="C70" t="s">
        <v>16</v>
      </c>
      <c r="D70" t="s">
        <v>2495</v>
      </c>
      <c r="E70" t="s">
        <v>55</v>
      </c>
      <c r="F70" t="s">
        <v>67</v>
      </c>
      <c r="G70" t="s">
        <v>189</v>
      </c>
      <c r="H70" t="str">
        <f>TEXT(walmart[[#This Row],[Purchase_Date]],"DDD")</f>
        <v>Sat</v>
      </c>
      <c r="I70" t="str">
        <f>TEXT(walmart[[#This Row],[Purchase_Date]],"MMM")</f>
        <v>Jun</v>
      </c>
      <c r="J70" t="str">
        <f>TEXT(walmart[[#This Row],[Purchase_Date]],"YYY")</f>
        <v>2024</v>
      </c>
      <c r="K70" s="3">
        <v>452.97</v>
      </c>
      <c r="L70" t="str">
        <f t="shared" si="5"/>
        <v>5% off</v>
      </c>
      <c r="M70" s="3">
        <f t="shared" si="6"/>
        <v>22.648500000000002</v>
      </c>
      <c r="N70" t="str">
        <f t="shared" si="7"/>
        <v>Yes</v>
      </c>
      <c r="O70" t="s">
        <v>34</v>
      </c>
      <c r="P70" s="3">
        <f t="shared" si="8"/>
        <v>430.32150000000001</v>
      </c>
      <c r="Q70" t="s">
        <v>47</v>
      </c>
      <c r="R70">
        <v>1</v>
      </c>
      <c r="S70" t="str">
        <f t="shared" si="9"/>
        <v>Very Poor</v>
      </c>
    </row>
    <row r="71" spans="1:19" x14ac:dyDescent="0.25">
      <c r="A71" t="s">
        <v>190</v>
      </c>
      <c r="B71">
        <v>41</v>
      </c>
      <c r="C71" t="s">
        <v>16</v>
      </c>
      <c r="D71" t="s">
        <v>2496</v>
      </c>
      <c r="E71" t="s">
        <v>31</v>
      </c>
      <c r="F71" t="s">
        <v>169</v>
      </c>
      <c r="G71" t="s">
        <v>191</v>
      </c>
      <c r="H71" t="str">
        <f>TEXT(walmart[[#This Row],[Purchase_Date]],"DDD")</f>
        <v>Mon</v>
      </c>
      <c r="I71" t="str">
        <f>TEXT(walmart[[#This Row],[Purchase_Date]],"MMM")</f>
        <v>Apr</v>
      </c>
      <c r="J71" t="str">
        <f>TEXT(walmart[[#This Row],[Purchase_Date]],"YYY")</f>
        <v>2024</v>
      </c>
      <c r="K71" s="3">
        <v>52.44</v>
      </c>
      <c r="L71" t="str">
        <f t="shared" si="5"/>
        <v>0% off</v>
      </c>
      <c r="M71" s="3">
        <f t="shared" si="6"/>
        <v>0</v>
      </c>
      <c r="N71" t="str">
        <f t="shared" si="7"/>
        <v>No</v>
      </c>
      <c r="O71" t="s">
        <v>34</v>
      </c>
      <c r="P71" s="3">
        <f t="shared" si="8"/>
        <v>52.44</v>
      </c>
      <c r="Q71" t="s">
        <v>22</v>
      </c>
      <c r="R71">
        <v>1</v>
      </c>
      <c r="S71" t="str">
        <f t="shared" si="9"/>
        <v>Very Poor</v>
      </c>
    </row>
    <row r="72" spans="1:19" x14ac:dyDescent="0.25">
      <c r="A72" t="s">
        <v>192</v>
      </c>
      <c r="B72">
        <v>55</v>
      </c>
      <c r="C72" t="s">
        <v>16</v>
      </c>
      <c r="D72" t="s">
        <v>2497</v>
      </c>
      <c r="E72" t="s">
        <v>73</v>
      </c>
      <c r="F72" t="s">
        <v>94</v>
      </c>
      <c r="G72" t="s">
        <v>193</v>
      </c>
      <c r="H72" t="str">
        <f>TEXT(walmart[[#This Row],[Purchase_Date]],"DDD")</f>
        <v>Thu</v>
      </c>
      <c r="I72" t="str">
        <f>TEXT(walmart[[#This Row],[Purchase_Date]],"MMM")</f>
        <v>May</v>
      </c>
      <c r="J72" t="str">
        <f>TEXT(walmart[[#This Row],[Purchase_Date]],"YYY")</f>
        <v>2024</v>
      </c>
      <c r="K72" s="3">
        <v>965.09</v>
      </c>
      <c r="L72" t="str">
        <f t="shared" si="5"/>
        <v>20% off</v>
      </c>
      <c r="M72" s="3">
        <f t="shared" si="6"/>
        <v>193.01800000000003</v>
      </c>
      <c r="N72" t="str">
        <f t="shared" si="7"/>
        <v>Yes</v>
      </c>
      <c r="O72" t="s">
        <v>34</v>
      </c>
      <c r="P72" s="3">
        <f t="shared" si="8"/>
        <v>772.072</v>
      </c>
      <c r="Q72" t="s">
        <v>35</v>
      </c>
      <c r="R72">
        <v>1</v>
      </c>
      <c r="S72" t="str">
        <f t="shared" si="9"/>
        <v>Very Poor</v>
      </c>
    </row>
    <row r="73" spans="1:19" x14ac:dyDescent="0.25">
      <c r="A73" t="s">
        <v>194</v>
      </c>
      <c r="B73">
        <v>66</v>
      </c>
      <c r="C73" t="s">
        <v>16</v>
      </c>
      <c r="D73" t="s">
        <v>2498</v>
      </c>
      <c r="E73" t="s">
        <v>73</v>
      </c>
      <c r="F73" t="s">
        <v>138</v>
      </c>
      <c r="G73" t="s">
        <v>195</v>
      </c>
      <c r="H73" t="str">
        <f>TEXT(walmart[[#This Row],[Purchase_Date]],"DDD")</f>
        <v>Thu</v>
      </c>
      <c r="I73" t="str">
        <f>TEXT(walmart[[#This Row],[Purchase_Date]],"MMM")</f>
        <v>Feb</v>
      </c>
      <c r="J73" t="str">
        <f>TEXT(walmart[[#This Row],[Purchase_Date]],"YYY")</f>
        <v>2025</v>
      </c>
      <c r="K73" s="3">
        <v>461.81</v>
      </c>
      <c r="L73" t="str">
        <f t="shared" si="5"/>
        <v>5% off</v>
      </c>
      <c r="M73" s="3">
        <f t="shared" si="6"/>
        <v>23.090500000000002</v>
      </c>
      <c r="N73" t="str">
        <f t="shared" si="7"/>
        <v>Yes</v>
      </c>
      <c r="O73" t="s">
        <v>34</v>
      </c>
      <c r="P73" s="3">
        <f t="shared" si="8"/>
        <v>438.71949999999998</v>
      </c>
      <c r="Q73" t="s">
        <v>27</v>
      </c>
      <c r="R73">
        <v>4</v>
      </c>
      <c r="S73" t="str">
        <f t="shared" si="9"/>
        <v>Good</v>
      </c>
    </row>
    <row r="74" spans="1:19" x14ac:dyDescent="0.25">
      <c r="A74" t="s">
        <v>196</v>
      </c>
      <c r="B74">
        <v>36</v>
      </c>
      <c r="C74" t="s">
        <v>16</v>
      </c>
      <c r="D74" t="s">
        <v>2499</v>
      </c>
      <c r="E74" t="s">
        <v>73</v>
      </c>
      <c r="F74" t="s">
        <v>74</v>
      </c>
      <c r="G74" t="s">
        <v>197</v>
      </c>
      <c r="H74" t="str">
        <f>TEXT(walmart[[#This Row],[Purchase_Date]],"DDD")</f>
        <v>Wed</v>
      </c>
      <c r="I74" t="str">
        <f>TEXT(walmart[[#This Row],[Purchase_Date]],"MMM")</f>
        <v>Feb</v>
      </c>
      <c r="J74" t="str">
        <f>TEXT(walmart[[#This Row],[Purchase_Date]],"YYY")</f>
        <v>2025</v>
      </c>
      <c r="K74" s="3">
        <v>782.29</v>
      </c>
      <c r="L74" t="str">
        <f t="shared" si="5"/>
        <v>15% off</v>
      </c>
      <c r="M74" s="3">
        <f t="shared" si="6"/>
        <v>117.34349999999999</v>
      </c>
      <c r="N74" t="str">
        <f t="shared" si="7"/>
        <v>Yes</v>
      </c>
      <c r="O74" t="s">
        <v>34</v>
      </c>
      <c r="P74" s="3">
        <f t="shared" si="8"/>
        <v>664.94650000000001</v>
      </c>
      <c r="Q74" t="s">
        <v>22</v>
      </c>
      <c r="R74">
        <v>3</v>
      </c>
      <c r="S74" t="str">
        <f t="shared" si="9"/>
        <v>Average</v>
      </c>
    </row>
    <row r="75" spans="1:19" x14ac:dyDescent="0.25">
      <c r="A75" t="s">
        <v>198</v>
      </c>
      <c r="B75">
        <v>67</v>
      </c>
      <c r="C75" t="s">
        <v>16</v>
      </c>
      <c r="D75" t="s">
        <v>2500</v>
      </c>
      <c r="E75" t="s">
        <v>73</v>
      </c>
      <c r="F75" t="s">
        <v>138</v>
      </c>
      <c r="G75" t="s">
        <v>199</v>
      </c>
      <c r="H75" t="str">
        <f>TEXT(walmart[[#This Row],[Purchase_Date]],"DDD")</f>
        <v>Sun</v>
      </c>
      <c r="I75" t="str">
        <f>TEXT(walmart[[#This Row],[Purchase_Date]],"MMM")</f>
        <v>May</v>
      </c>
      <c r="J75" t="str">
        <f>TEXT(walmart[[#This Row],[Purchase_Date]],"YYY")</f>
        <v>2024</v>
      </c>
      <c r="K75" s="3">
        <v>461.81</v>
      </c>
      <c r="L75" t="str">
        <f t="shared" si="5"/>
        <v>5% off</v>
      </c>
      <c r="M75" s="3">
        <f t="shared" si="6"/>
        <v>23.090500000000002</v>
      </c>
      <c r="N75" t="str">
        <f t="shared" si="7"/>
        <v>Yes</v>
      </c>
      <c r="O75" t="s">
        <v>34</v>
      </c>
      <c r="P75" s="3">
        <f t="shared" si="8"/>
        <v>438.71949999999998</v>
      </c>
      <c r="Q75" t="s">
        <v>27</v>
      </c>
      <c r="R75">
        <v>1</v>
      </c>
      <c r="S75" t="str">
        <f t="shared" si="9"/>
        <v>Very Poor</v>
      </c>
    </row>
    <row r="76" spans="1:19" x14ac:dyDescent="0.25">
      <c r="A76" t="s">
        <v>200</v>
      </c>
      <c r="B76">
        <v>52</v>
      </c>
      <c r="C76" t="s">
        <v>16</v>
      </c>
      <c r="D76" t="s">
        <v>2501</v>
      </c>
      <c r="E76" t="s">
        <v>31</v>
      </c>
      <c r="F76" t="s">
        <v>32</v>
      </c>
      <c r="G76" t="s">
        <v>201</v>
      </c>
      <c r="H76" t="str">
        <f>TEXT(walmart[[#This Row],[Purchase_Date]],"DDD")</f>
        <v>Sat</v>
      </c>
      <c r="I76" t="str">
        <f>TEXT(walmart[[#This Row],[Purchase_Date]],"MMM")</f>
        <v>Aug</v>
      </c>
      <c r="J76" t="str">
        <f>TEXT(walmart[[#This Row],[Purchase_Date]],"YYY")</f>
        <v>2024</v>
      </c>
      <c r="K76" s="3">
        <v>493.96</v>
      </c>
      <c r="L76" t="str">
        <f t="shared" si="5"/>
        <v>5% off</v>
      </c>
      <c r="M76" s="3">
        <f t="shared" si="6"/>
        <v>24.698</v>
      </c>
      <c r="N76" t="str">
        <f t="shared" si="7"/>
        <v>Yes</v>
      </c>
      <c r="O76" t="s">
        <v>34</v>
      </c>
      <c r="P76" s="3">
        <f t="shared" si="8"/>
        <v>469.262</v>
      </c>
      <c r="Q76" t="s">
        <v>35</v>
      </c>
      <c r="R76">
        <v>1</v>
      </c>
      <c r="S76" t="str">
        <f t="shared" si="9"/>
        <v>Very Poor</v>
      </c>
    </row>
    <row r="77" spans="1:19" x14ac:dyDescent="0.25">
      <c r="A77" t="s">
        <v>202</v>
      </c>
      <c r="B77">
        <v>30</v>
      </c>
      <c r="C77" t="s">
        <v>29</v>
      </c>
      <c r="D77" t="s">
        <v>2502</v>
      </c>
      <c r="E77" t="s">
        <v>55</v>
      </c>
      <c r="F77" t="s">
        <v>100</v>
      </c>
      <c r="G77" t="s">
        <v>203</v>
      </c>
      <c r="H77" t="str">
        <f>TEXT(walmart[[#This Row],[Purchase_Date]],"DDD")</f>
        <v>Thu</v>
      </c>
      <c r="I77" t="str">
        <f>TEXT(walmart[[#This Row],[Purchase_Date]],"MMM")</f>
        <v>Mar</v>
      </c>
      <c r="J77" t="str">
        <f>TEXT(walmart[[#This Row],[Purchase_Date]],"YYY")</f>
        <v>2024</v>
      </c>
      <c r="K77" s="3">
        <v>592.26</v>
      </c>
      <c r="L77" t="str">
        <f t="shared" si="5"/>
        <v>10% off</v>
      </c>
      <c r="M77" s="3">
        <f t="shared" si="6"/>
        <v>59.225999999999999</v>
      </c>
      <c r="N77" t="str">
        <f t="shared" si="7"/>
        <v>Yes</v>
      </c>
      <c r="O77" t="s">
        <v>34</v>
      </c>
      <c r="P77" s="3">
        <f t="shared" si="8"/>
        <v>533.03399999999999</v>
      </c>
      <c r="Q77" t="s">
        <v>22</v>
      </c>
      <c r="R77">
        <v>3</v>
      </c>
      <c r="S77" t="str">
        <f t="shared" si="9"/>
        <v>Average</v>
      </c>
    </row>
    <row r="78" spans="1:19" x14ac:dyDescent="0.25">
      <c r="A78" t="s">
        <v>204</v>
      </c>
      <c r="B78">
        <v>48</v>
      </c>
      <c r="C78" t="s">
        <v>16</v>
      </c>
      <c r="D78" t="s">
        <v>2503</v>
      </c>
      <c r="E78" t="s">
        <v>42</v>
      </c>
      <c r="F78" t="s">
        <v>103</v>
      </c>
      <c r="G78" t="s">
        <v>205</v>
      </c>
      <c r="H78" t="str">
        <f>TEXT(walmart[[#This Row],[Purchase_Date]],"DDD")</f>
        <v>Mon</v>
      </c>
      <c r="I78" t="str">
        <f>TEXT(walmart[[#This Row],[Purchase_Date]],"MMM")</f>
        <v>Nov</v>
      </c>
      <c r="J78" t="str">
        <f>TEXT(walmart[[#This Row],[Purchase_Date]],"YYY")</f>
        <v>2024</v>
      </c>
      <c r="K78" s="3">
        <v>315.56</v>
      </c>
      <c r="L78" t="str">
        <f t="shared" si="5"/>
        <v>5% off</v>
      </c>
      <c r="M78" s="3">
        <f t="shared" si="6"/>
        <v>15.778</v>
      </c>
      <c r="N78" t="str">
        <f t="shared" si="7"/>
        <v>Yes</v>
      </c>
      <c r="O78" t="s">
        <v>21</v>
      </c>
      <c r="P78" s="3">
        <f t="shared" si="8"/>
        <v>299.78199999999998</v>
      </c>
      <c r="Q78" t="s">
        <v>22</v>
      </c>
      <c r="R78">
        <v>3</v>
      </c>
      <c r="S78" t="str">
        <f t="shared" si="9"/>
        <v>Average</v>
      </c>
    </row>
    <row r="79" spans="1:19" x14ac:dyDescent="0.25">
      <c r="A79" t="s">
        <v>206</v>
      </c>
      <c r="B79">
        <v>55</v>
      </c>
      <c r="C79" t="s">
        <v>29</v>
      </c>
      <c r="D79" t="s">
        <v>2504</v>
      </c>
      <c r="E79" t="s">
        <v>37</v>
      </c>
      <c r="F79" t="s">
        <v>117</v>
      </c>
      <c r="G79" t="s">
        <v>207</v>
      </c>
      <c r="H79" t="str">
        <f>TEXT(walmart[[#This Row],[Purchase_Date]],"DDD")</f>
        <v>Wed</v>
      </c>
      <c r="I79" t="str">
        <f>TEXT(walmart[[#This Row],[Purchase_Date]],"MMM")</f>
        <v>Aug</v>
      </c>
      <c r="J79" t="str">
        <f>TEXT(walmart[[#This Row],[Purchase_Date]],"YYY")</f>
        <v>2024</v>
      </c>
      <c r="K79" s="3">
        <v>165.68</v>
      </c>
      <c r="L79" t="str">
        <f t="shared" si="5"/>
        <v>5% off</v>
      </c>
      <c r="M79" s="3">
        <f t="shared" si="6"/>
        <v>8.2840000000000007</v>
      </c>
      <c r="N79" t="str">
        <f t="shared" si="7"/>
        <v>Yes</v>
      </c>
      <c r="O79" t="s">
        <v>21</v>
      </c>
      <c r="P79" s="3">
        <f t="shared" si="8"/>
        <v>157.39600000000002</v>
      </c>
      <c r="Q79" t="s">
        <v>22</v>
      </c>
      <c r="R79">
        <v>4</v>
      </c>
      <c r="S79" t="str">
        <f t="shared" si="9"/>
        <v>Good</v>
      </c>
    </row>
    <row r="80" spans="1:19" x14ac:dyDescent="0.25">
      <c r="A80" t="s">
        <v>208</v>
      </c>
      <c r="B80">
        <v>18</v>
      </c>
      <c r="C80" t="s">
        <v>29</v>
      </c>
      <c r="D80" t="s">
        <v>2505</v>
      </c>
      <c r="E80" t="s">
        <v>24</v>
      </c>
      <c r="F80" t="s">
        <v>209</v>
      </c>
      <c r="G80" t="s">
        <v>210</v>
      </c>
      <c r="H80" t="str">
        <f>TEXT(walmart[[#This Row],[Purchase_Date]],"DDD")</f>
        <v>Thu</v>
      </c>
      <c r="I80" t="str">
        <f>TEXT(walmart[[#This Row],[Purchase_Date]],"MMM")</f>
        <v>Jun</v>
      </c>
      <c r="J80" t="str">
        <f>TEXT(walmart[[#This Row],[Purchase_Date]],"YYY")</f>
        <v>2024</v>
      </c>
      <c r="K80" s="3">
        <v>775.75</v>
      </c>
      <c r="L80" t="str">
        <f t="shared" si="5"/>
        <v>15% off</v>
      </c>
      <c r="M80" s="3">
        <f t="shared" si="6"/>
        <v>116.3625</v>
      </c>
      <c r="N80" t="str">
        <f t="shared" si="7"/>
        <v>Yes</v>
      </c>
      <c r="O80" t="s">
        <v>34</v>
      </c>
      <c r="P80" s="3">
        <f t="shared" si="8"/>
        <v>659.38750000000005</v>
      </c>
      <c r="Q80" t="s">
        <v>27</v>
      </c>
      <c r="R80">
        <v>1</v>
      </c>
      <c r="S80" t="str">
        <f t="shared" si="9"/>
        <v>Very Poor</v>
      </c>
    </row>
    <row r="81" spans="1:19" x14ac:dyDescent="0.25">
      <c r="A81" t="s">
        <v>211</v>
      </c>
      <c r="B81">
        <v>23</v>
      </c>
      <c r="C81" t="s">
        <v>16</v>
      </c>
      <c r="D81" t="s">
        <v>2506</v>
      </c>
      <c r="E81" t="s">
        <v>24</v>
      </c>
      <c r="F81" t="s">
        <v>162</v>
      </c>
      <c r="G81" t="s">
        <v>212</v>
      </c>
      <c r="H81" t="str">
        <f>TEXT(walmart[[#This Row],[Purchase_Date]],"DDD")</f>
        <v>Sat</v>
      </c>
      <c r="I81" t="str">
        <f>TEXT(walmart[[#This Row],[Purchase_Date]],"MMM")</f>
        <v>Aug</v>
      </c>
      <c r="J81" t="str">
        <f>TEXT(walmart[[#This Row],[Purchase_Date]],"YYY")</f>
        <v>2024</v>
      </c>
      <c r="K81" s="3">
        <v>362.55</v>
      </c>
      <c r="L81" t="str">
        <f t="shared" si="5"/>
        <v>5% off</v>
      </c>
      <c r="M81" s="3">
        <f t="shared" si="6"/>
        <v>18.127500000000001</v>
      </c>
      <c r="N81" t="str">
        <f t="shared" si="7"/>
        <v>Yes</v>
      </c>
      <c r="O81" t="s">
        <v>34</v>
      </c>
      <c r="P81" s="3">
        <f t="shared" si="8"/>
        <v>344.42250000000001</v>
      </c>
      <c r="Q81" t="s">
        <v>22</v>
      </c>
      <c r="R81">
        <v>3</v>
      </c>
      <c r="S81" t="str">
        <f t="shared" si="9"/>
        <v>Average</v>
      </c>
    </row>
    <row r="82" spans="1:19" x14ac:dyDescent="0.25">
      <c r="A82" t="s">
        <v>213</v>
      </c>
      <c r="B82">
        <v>39</v>
      </c>
      <c r="C82" t="s">
        <v>16</v>
      </c>
      <c r="D82" t="s">
        <v>2507</v>
      </c>
      <c r="E82" t="s">
        <v>24</v>
      </c>
      <c r="F82" t="s">
        <v>186</v>
      </c>
      <c r="G82" t="s">
        <v>212</v>
      </c>
      <c r="H82" t="str">
        <f>TEXT(walmart[[#This Row],[Purchase_Date]],"DDD")</f>
        <v>Sat</v>
      </c>
      <c r="I82" t="str">
        <f>TEXT(walmart[[#This Row],[Purchase_Date]],"MMM")</f>
        <v>Aug</v>
      </c>
      <c r="J82" t="str">
        <f>TEXT(walmart[[#This Row],[Purchase_Date]],"YYY")</f>
        <v>2024</v>
      </c>
      <c r="K82" s="3">
        <v>527.16999999999996</v>
      </c>
      <c r="L82" t="str">
        <f t="shared" si="5"/>
        <v>10% off</v>
      </c>
      <c r="M82" s="3">
        <f t="shared" si="6"/>
        <v>52.716999999999999</v>
      </c>
      <c r="N82" t="str">
        <f t="shared" si="7"/>
        <v>Yes</v>
      </c>
      <c r="O82" t="s">
        <v>21</v>
      </c>
      <c r="P82" s="3">
        <f t="shared" si="8"/>
        <v>474.45299999999997</v>
      </c>
      <c r="Q82" t="s">
        <v>47</v>
      </c>
      <c r="R82">
        <v>3</v>
      </c>
      <c r="S82" t="str">
        <f t="shared" si="9"/>
        <v>Average</v>
      </c>
    </row>
    <row r="83" spans="1:19" x14ac:dyDescent="0.25">
      <c r="A83" t="s">
        <v>214</v>
      </c>
      <c r="B83">
        <v>43</v>
      </c>
      <c r="C83" t="s">
        <v>29</v>
      </c>
      <c r="D83" t="s">
        <v>2508</v>
      </c>
      <c r="E83" t="s">
        <v>18</v>
      </c>
      <c r="F83" t="s">
        <v>77</v>
      </c>
      <c r="G83" t="s">
        <v>215</v>
      </c>
      <c r="H83" t="str">
        <f>TEXT(walmart[[#This Row],[Purchase_Date]],"DDD")</f>
        <v>Mon</v>
      </c>
      <c r="I83" t="str">
        <f>TEXT(walmart[[#This Row],[Purchase_Date]],"MMM")</f>
        <v>Feb</v>
      </c>
      <c r="J83" t="str">
        <f>TEXT(walmart[[#This Row],[Purchase_Date]],"YYY")</f>
        <v>2025</v>
      </c>
      <c r="K83" s="3">
        <v>116.78</v>
      </c>
      <c r="L83" t="str">
        <f t="shared" si="5"/>
        <v>0% off</v>
      </c>
      <c r="M83" s="3">
        <f t="shared" si="6"/>
        <v>0</v>
      </c>
      <c r="N83" t="str">
        <f t="shared" si="7"/>
        <v>No</v>
      </c>
      <c r="O83" t="s">
        <v>21</v>
      </c>
      <c r="P83" s="3">
        <f t="shared" si="8"/>
        <v>116.78</v>
      </c>
      <c r="Q83" t="s">
        <v>27</v>
      </c>
      <c r="R83">
        <v>4</v>
      </c>
      <c r="S83" t="str">
        <f t="shared" si="9"/>
        <v>Good</v>
      </c>
    </row>
    <row r="84" spans="1:19" x14ac:dyDescent="0.25">
      <c r="A84" t="s">
        <v>216</v>
      </c>
      <c r="B84">
        <v>38</v>
      </c>
      <c r="C84" t="s">
        <v>16</v>
      </c>
      <c r="D84" t="s">
        <v>2509</v>
      </c>
      <c r="E84" t="s">
        <v>24</v>
      </c>
      <c r="F84" t="s">
        <v>162</v>
      </c>
      <c r="G84" t="s">
        <v>217</v>
      </c>
      <c r="H84" t="str">
        <f>TEXT(walmart[[#This Row],[Purchase_Date]],"DDD")</f>
        <v>Tue</v>
      </c>
      <c r="I84" t="str">
        <f>TEXT(walmart[[#This Row],[Purchase_Date]],"MMM")</f>
        <v>Nov</v>
      </c>
      <c r="J84" t="str">
        <f>TEXT(walmart[[#This Row],[Purchase_Date]],"YYY")</f>
        <v>2024</v>
      </c>
      <c r="K84" s="3">
        <v>362.55</v>
      </c>
      <c r="L84" t="str">
        <f t="shared" si="5"/>
        <v>5% off</v>
      </c>
      <c r="M84" s="3">
        <f t="shared" si="6"/>
        <v>18.127500000000001</v>
      </c>
      <c r="N84" t="str">
        <f t="shared" si="7"/>
        <v>Yes</v>
      </c>
      <c r="O84" t="s">
        <v>34</v>
      </c>
      <c r="P84" s="3">
        <f t="shared" si="8"/>
        <v>344.42250000000001</v>
      </c>
      <c r="Q84" t="s">
        <v>27</v>
      </c>
      <c r="R84">
        <v>2</v>
      </c>
      <c r="S84" t="str">
        <f t="shared" si="9"/>
        <v>Poor</v>
      </c>
    </row>
    <row r="85" spans="1:19" x14ac:dyDescent="0.25">
      <c r="A85" t="s">
        <v>218</v>
      </c>
      <c r="B85">
        <v>69</v>
      </c>
      <c r="C85" t="s">
        <v>29</v>
      </c>
      <c r="D85" t="s">
        <v>2510</v>
      </c>
      <c r="E85" t="s">
        <v>18</v>
      </c>
      <c r="F85" t="s">
        <v>59</v>
      </c>
      <c r="G85" t="s">
        <v>219</v>
      </c>
      <c r="H85" t="str">
        <f>TEXT(walmart[[#This Row],[Purchase_Date]],"DDD")</f>
        <v>Thu</v>
      </c>
      <c r="I85" t="str">
        <f>TEXT(walmart[[#This Row],[Purchase_Date]],"MMM")</f>
        <v>Aug</v>
      </c>
      <c r="J85" t="str">
        <f>TEXT(walmart[[#This Row],[Purchase_Date]],"YYY")</f>
        <v>2024</v>
      </c>
      <c r="K85" s="3">
        <v>78.349999999999994</v>
      </c>
      <c r="L85" t="str">
        <f t="shared" si="5"/>
        <v>0% off</v>
      </c>
      <c r="M85" s="3">
        <f t="shared" si="6"/>
        <v>0</v>
      </c>
      <c r="N85" t="str">
        <f t="shared" si="7"/>
        <v>No</v>
      </c>
      <c r="O85" t="s">
        <v>34</v>
      </c>
      <c r="P85" s="3">
        <f t="shared" si="8"/>
        <v>78.349999999999994</v>
      </c>
      <c r="Q85" t="s">
        <v>47</v>
      </c>
      <c r="R85">
        <v>2</v>
      </c>
      <c r="S85" t="str">
        <f t="shared" si="9"/>
        <v>Poor</v>
      </c>
    </row>
    <row r="86" spans="1:19" x14ac:dyDescent="0.25">
      <c r="A86" t="s">
        <v>220</v>
      </c>
      <c r="B86">
        <v>19</v>
      </c>
      <c r="C86" t="s">
        <v>16</v>
      </c>
      <c r="D86" t="s">
        <v>2511</v>
      </c>
      <c r="E86" t="s">
        <v>31</v>
      </c>
      <c r="F86" t="s">
        <v>112</v>
      </c>
      <c r="G86" t="s">
        <v>221</v>
      </c>
      <c r="H86" t="str">
        <f>TEXT(walmart[[#This Row],[Purchase_Date]],"DDD")</f>
        <v>Fri</v>
      </c>
      <c r="I86" t="str">
        <f>TEXT(walmart[[#This Row],[Purchase_Date]],"MMM")</f>
        <v>Dec</v>
      </c>
      <c r="J86" t="str">
        <f>TEXT(walmart[[#This Row],[Purchase_Date]],"YYY")</f>
        <v>2024</v>
      </c>
      <c r="K86" s="3">
        <v>492.1</v>
      </c>
      <c r="L86" t="str">
        <f t="shared" si="5"/>
        <v>5% off</v>
      </c>
      <c r="M86" s="3">
        <f t="shared" si="6"/>
        <v>24.605000000000004</v>
      </c>
      <c r="N86" t="str">
        <f t="shared" si="7"/>
        <v>Yes</v>
      </c>
      <c r="O86" t="s">
        <v>21</v>
      </c>
      <c r="P86" s="3">
        <f t="shared" si="8"/>
        <v>467.495</v>
      </c>
      <c r="Q86" t="s">
        <v>35</v>
      </c>
      <c r="R86">
        <v>2</v>
      </c>
      <c r="S86" t="str">
        <f t="shared" si="9"/>
        <v>Poor</v>
      </c>
    </row>
    <row r="87" spans="1:19" x14ac:dyDescent="0.25">
      <c r="A87" t="s">
        <v>222</v>
      </c>
      <c r="B87">
        <v>37</v>
      </c>
      <c r="C87" t="s">
        <v>29</v>
      </c>
      <c r="D87" t="s">
        <v>2512</v>
      </c>
      <c r="E87" t="s">
        <v>37</v>
      </c>
      <c r="F87" t="s">
        <v>38</v>
      </c>
      <c r="G87" t="s">
        <v>215</v>
      </c>
      <c r="H87" t="str">
        <f>TEXT(walmart[[#This Row],[Purchase_Date]],"DDD")</f>
        <v>Mon</v>
      </c>
      <c r="I87" t="str">
        <f>TEXT(walmart[[#This Row],[Purchase_Date]],"MMM")</f>
        <v>Feb</v>
      </c>
      <c r="J87" t="str">
        <f>TEXT(walmart[[#This Row],[Purchase_Date]],"YYY")</f>
        <v>2025</v>
      </c>
      <c r="K87" s="3">
        <v>211.46</v>
      </c>
      <c r="L87" t="str">
        <f t="shared" si="5"/>
        <v>5% off</v>
      </c>
      <c r="M87" s="3">
        <f t="shared" si="6"/>
        <v>10.573</v>
      </c>
      <c r="N87" t="str">
        <f t="shared" si="7"/>
        <v>Yes</v>
      </c>
      <c r="O87" t="s">
        <v>21</v>
      </c>
      <c r="P87" s="3">
        <f t="shared" si="8"/>
        <v>200.887</v>
      </c>
      <c r="Q87" t="s">
        <v>27</v>
      </c>
      <c r="R87">
        <v>2</v>
      </c>
      <c r="S87" t="str">
        <f t="shared" si="9"/>
        <v>Poor</v>
      </c>
    </row>
    <row r="88" spans="1:19" x14ac:dyDescent="0.25">
      <c r="A88" t="s">
        <v>223</v>
      </c>
      <c r="B88">
        <v>67</v>
      </c>
      <c r="C88" t="s">
        <v>16</v>
      </c>
      <c r="D88" t="s">
        <v>2513</v>
      </c>
      <c r="E88" t="s">
        <v>55</v>
      </c>
      <c r="F88" t="s">
        <v>56</v>
      </c>
      <c r="G88" t="s">
        <v>224</v>
      </c>
      <c r="H88" t="str">
        <f>TEXT(walmart[[#This Row],[Purchase_Date]],"DDD")</f>
        <v>Thu</v>
      </c>
      <c r="I88" t="str">
        <f>TEXT(walmart[[#This Row],[Purchase_Date]],"MMM")</f>
        <v>Mar</v>
      </c>
      <c r="J88" t="str">
        <f>TEXT(walmart[[#This Row],[Purchase_Date]],"YYY")</f>
        <v>2025</v>
      </c>
      <c r="K88" s="3">
        <v>76.81</v>
      </c>
      <c r="L88" t="str">
        <f t="shared" si="5"/>
        <v>0% off</v>
      </c>
      <c r="M88" s="3">
        <f t="shared" si="6"/>
        <v>0</v>
      </c>
      <c r="N88" t="str">
        <f t="shared" si="7"/>
        <v>No</v>
      </c>
      <c r="O88" t="s">
        <v>34</v>
      </c>
      <c r="P88" s="3">
        <f t="shared" si="8"/>
        <v>76.81</v>
      </c>
      <c r="Q88" t="s">
        <v>22</v>
      </c>
      <c r="R88">
        <v>5</v>
      </c>
      <c r="S88" t="str">
        <f t="shared" si="9"/>
        <v>Excellent</v>
      </c>
    </row>
    <row r="89" spans="1:19" x14ac:dyDescent="0.25">
      <c r="A89" t="s">
        <v>225</v>
      </c>
      <c r="B89">
        <v>18</v>
      </c>
      <c r="C89" t="s">
        <v>29</v>
      </c>
      <c r="D89" t="s">
        <v>2514</v>
      </c>
      <c r="E89" t="s">
        <v>24</v>
      </c>
      <c r="F89" t="s">
        <v>25</v>
      </c>
      <c r="G89" t="s">
        <v>226</v>
      </c>
      <c r="H89" t="str">
        <f>TEXT(walmart[[#This Row],[Purchase_Date]],"DDD")</f>
        <v>Tue</v>
      </c>
      <c r="I89" t="str">
        <f>TEXT(walmart[[#This Row],[Purchase_Date]],"MMM")</f>
        <v>Jan</v>
      </c>
      <c r="J89" t="str">
        <f>TEXT(walmart[[#This Row],[Purchase_Date]],"YYY")</f>
        <v>2025</v>
      </c>
      <c r="K89" s="3">
        <v>67.040000000000006</v>
      </c>
      <c r="L89" t="str">
        <f t="shared" si="5"/>
        <v>0% off</v>
      </c>
      <c r="M89" s="3">
        <f t="shared" si="6"/>
        <v>0</v>
      </c>
      <c r="N89" t="str">
        <f t="shared" si="7"/>
        <v>No</v>
      </c>
      <c r="O89" t="s">
        <v>21</v>
      </c>
      <c r="P89" s="3">
        <f t="shared" si="8"/>
        <v>67.040000000000006</v>
      </c>
      <c r="Q89" t="s">
        <v>47</v>
      </c>
      <c r="R89">
        <v>1</v>
      </c>
      <c r="S89" t="str">
        <f t="shared" si="9"/>
        <v>Very Poor</v>
      </c>
    </row>
    <row r="90" spans="1:19" x14ac:dyDescent="0.25">
      <c r="A90" t="s">
        <v>227</v>
      </c>
      <c r="B90">
        <v>20</v>
      </c>
      <c r="C90" t="s">
        <v>16</v>
      </c>
      <c r="D90" t="s">
        <v>2515</v>
      </c>
      <c r="E90" t="s">
        <v>24</v>
      </c>
      <c r="F90" t="s">
        <v>25</v>
      </c>
      <c r="G90" t="s">
        <v>75</v>
      </c>
      <c r="H90" t="str">
        <f>TEXT(walmart[[#This Row],[Purchase_Date]],"DDD")</f>
        <v>Mon</v>
      </c>
      <c r="I90" t="str">
        <f>TEXT(walmart[[#This Row],[Purchase_Date]],"MMM")</f>
        <v>Feb</v>
      </c>
      <c r="J90" t="str">
        <f>TEXT(walmart[[#This Row],[Purchase_Date]],"YYY")</f>
        <v>2025</v>
      </c>
      <c r="K90" s="3">
        <v>67.040000000000006</v>
      </c>
      <c r="L90" t="str">
        <f t="shared" si="5"/>
        <v>0% off</v>
      </c>
      <c r="M90" s="3">
        <f t="shared" si="6"/>
        <v>0</v>
      </c>
      <c r="N90" t="str">
        <f t="shared" si="7"/>
        <v>No</v>
      </c>
      <c r="O90" t="s">
        <v>21</v>
      </c>
      <c r="P90" s="3">
        <f t="shared" si="8"/>
        <v>67.040000000000006</v>
      </c>
      <c r="Q90" t="s">
        <v>27</v>
      </c>
      <c r="R90">
        <v>4</v>
      </c>
      <c r="S90" t="str">
        <f t="shared" si="9"/>
        <v>Good</v>
      </c>
    </row>
    <row r="91" spans="1:19" x14ac:dyDescent="0.25">
      <c r="A91" t="s">
        <v>228</v>
      </c>
      <c r="B91">
        <v>27</v>
      </c>
      <c r="C91" t="s">
        <v>29</v>
      </c>
      <c r="D91" t="s">
        <v>2516</v>
      </c>
      <c r="E91" t="s">
        <v>24</v>
      </c>
      <c r="F91" t="s">
        <v>186</v>
      </c>
      <c r="G91" t="s">
        <v>229</v>
      </c>
      <c r="H91" t="str">
        <f>TEXT(walmart[[#This Row],[Purchase_Date]],"DDD")</f>
        <v>Fri</v>
      </c>
      <c r="I91" t="str">
        <f>TEXT(walmart[[#This Row],[Purchase_Date]],"MMM")</f>
        <v>Sep</v>
      </c>
      <c r="J91" t="str">
        <f>TEXT(walmart[[#This Row],[Purchase_Date]],"YYY")</f>
        <v>2024</v>
      </c>
      <c r="K91" s="3">
        <v>527.16999999999996</v>
      </c>
      <c r="L91" t="str">
        <f t="shared" si="5"/>
        <v>10% off</v>
      </c>
      <c r="M91" s="3">
        <f t="shared" si="6"/>
        <v>52.716999999999999</v>
      </c>
      <c r="N91" t="str">
        <f t="shared" si="7"/>
        <v>Yes</v>
      </c>
      <c r="O91" t="s">
        <v>21</v>
      </c>
      <c r="P91" s="3">
        <f t="shared" si="8"/>
        <v>474.45299999999997</v>
      </c>
      <c r="Q91" t="s">
        <v>47</v>
      </c>
      <c r="R91">
        <v>5</v>
      </c>
      <c r="S91" t="str">
        <f t="shared" si="9"/>
        <v>Excellent</v>
      </c>
    </row>
    <row r="92" spans="1:19" x14ac:dyDescent="0.25">
      <c r="A92" t="s">
        <v>230</v>
      </c>
      <c r="B92">
        <v>20</v>
      </c>
      <c r="C92" t="s">
        <v>29</v>
      </c>
      <c r="D92" t="s">
        <v>2517</v>
      </c>
      <c r="E92" t="s">
        <v>31</v>
      </c>
      <c r="F92" t="s">
        <v>32</v>
      </c>
      <c r="G92" t="s">
        <v>231</v>
      </c>
      <c r="H92" t="str">
        <f>TEXT(walmart[[#This Row],[Purchase_Date]],"DDD")</f>
        <v>Thu</v>
      </c>
      <c r="I92" t="str">
        <f>TEXT(walmart[[#This Row],[Purchase_Date]],"MMM")</f>
        <v>Oct</v>
      </c>
      <c r="J92" t="str">
        <f>TEXT(walmart[[#This Row],[Purchase_Date]],"YYY")</f>
        <v>2024</v>
      </c>
      <c r="K92" s="3">
        <v>493.96</v>
      </c>
      <c r="L92" t="str">
        <f t="shared" si="5"/>
        <v>5% off</v>
      </c>
      <c r="M92" s="3">
        <f t="shared" si="6"/>
        <v>24.698</v>
      </c>
      <c r="N92" t="str">
        <f t="shared" si="7"/>
        <v>Yes</v>
      </c>
      <c r="O92" t="s">
        <v>34</v>
      </c>
      <c r="P92" s="3">
        <f t="shared" si="8"/>
        <v>469.262</v>
      </c>
      <c r="Q92" t="s">
        <v>47</v>
      </c>
      <c r="R92">
        <v>4</v>
      </c>
      <c r="S92" t="str">
        <f t="shared" si="9"/>
        <v>Good</v>
      </c>
    </row>
    <row r="93" spans="1:19" x14ac:dyDescent="0.25">
      <c r="A93" t="s">
        <v>232</v>
      </c>
      <c r="B93">
        <v>41</v>
      </c>
      <c r="C93" t="s">
        <v>29</v>
      </c>
      <c r="D93" t="s">
        <v>2518</v>
      </c>
      <c r="E93" t="s">
        <v>31</v>
      </c>
      <c r="F93" t="s">
        <v>169</v>
      </c>
      <c r="G93" t="s">
        <v>140</v>
      </c>
      <c r="H93" t="str">
        <f>TEXT(walmart[[#This Row],[Purchase_Date]],"DDD")</f>
        <v>Sun</v>
      </c>
      <c r="I93" t="str">
        <f>TEXT(walmart[[#This Row],[Purchase_Date]],"MMM")</f>
        <v>Mar</v>
      </c>
      <c r="J93" t="str">
        <f>TEXT(walmart[[#This Row],[Purchase_Date]],"YYY")</f>
        <v>2025</v>
      </c>
      <c r="K93" s="3">
        <v>52.44</v>
      </c>
      <c r="L93" t="str">
        <f t="shared" si="5"/>
        <v>0% off</v>
      </c>
      <c r="M93" s="3">
        <f t="shared" si="6"/>
        <v>0</v>
      </c>
      <c r="N93" t="str">
        <f t="shared" si="7"/>
        <v>No</v>
      </c>
      <c r="O93" t="s">
        <v>34</v>
      </c>
      <c r="P93" s="3">
        <f t="shared" si="8"/>
        <v>52.44</v>
      </c>
      <c r="Q93" t="s">
        <v>22</v>
      </c>
      <c r="R93">
        <v>1</v>
      </c>
      <c r="S93" t="str">
        <f t="shared" si="9"/>
        <v>Very Poor</v>
      </c>
    </row>
    <row r="94" spans="1:19" x14ac:dyDescent="0.25">
      <c r="A94" t="s">
        <v>233</v>
      </c>
      <c r="B94">
        <v>29</v>
      </c>
      <c r="C94" t="s">
        <v>16</v>
      </c>
      <c r="D94" t="s">
        <v>2519</v>
      </c>
      <c r="E94" t="s">
        <v>42</v>
      </c>
      <c r="F94" t="s">
        <v>43</v>
      </c>
      <c r="G94" t="s">
        <v>234</v>
      </c>
      <c r="H94" t="str">
        <f>TEXT(walmart[[#This Row],[Purchase_Date]],"DDD")</f>
        <v>Fri</v>
      </c>
      <c r="I94" t="str">
        <f>TEXT(walmart[[#This Row],[Purchase_Date]],"MMM")</f>
        <v>Jul</v>
      </c>
      <c r="J94" t="str">
        <f>TEXT(walmart[[#This Row],[Purchase_Date]],"YYY")</f>
        <v>2024</v>
      </c>
      <c r="K94" s="3">
        <v>512.94000000000005</v>
      </c>
      <c r="L94" t="str">
        <f t="shared" si="5"/>
        <v>10% off</v>
      </c>
      <c r="M94" s="3">
        <f t="shared" si="6"/>
        <v>51.294000000000011</v>
      </c>
      <c r="N94" t="str">
        <f t="shared" si="7"/>
        <v>Yes</v>
      </c>
      <c r="O94" t="s">
        <v>21</v>
      </c>
      <c r="P94" s="3">
        <f t="shared" si="8"/>
        <v>461.64600000000007</v>
      </c>
      <c r="Q94" t="s">
        <v>35</v>
      </c>
      <c r="R94">
        <v>3</v>
      </c>
      <c r="S94" t="str">
        <f t="shared" si="9"/>
        <v>Average</v>
      </c>
    </row>
    <row r="95" spans="1:19" x14ac:dyDescent="0.25">
      <c r="A95" t="s">
        <v>235</v>
      </c>
      <c r="B95">
        <v>57</v>
      </c>
      <c r="C95" t="s">
        <v>16</v>
      </c>
      <c r="D95" t="s">
        <v>2520</v>
      </c>
      <c r="E95" t="s">
        <v>24</v>
      </c>
      <c r="F95" t="s">
        <v>186</v>
      </c>
      <c r="G95" t="s">
        <v>236</v>
      </c>
      <c r="H95" t="str">
        <f>TEXT(walmart[[#This Row],[Purchase_Date]],"DDD")</f>
        <v>Wed</v>
      </c>
      <c r="I95" t="str">
        <f>TEXT(walmart[[#This Row],[Purchase_Date]],"MMM")</f>
        <v>Dec</v>
      </c>
      <c r="J95" t="str">
        <f>TEXT(walmart[[#This Row],[Purchase_Date]],"YYY")</f>
        <v>2024</v>
      </c>
      <c r="K95" s="3">
        <v>527.16999999999996</v>
      </c>
      <c r="L95" t="str">
        <f t="shared" si="5"/>
        <v>10% off</v>
      </c>
      <c r="M95" s="3">
        <f t="shared" si="6"/>
        <v>52.716999999999999</v>
      </c>
      <c r="N95" t="str">
        <f t="shared" si="7"/>
        <v>Yes</v>
      </c>
      <c r="O95" t="s">
        <v>34</v>
      </c>
      <c r="P95" s="3">
        <f t="shared" si="8"/>
        <v>474.45299999999997</v>
      </c>
      <c r="Q95" t="s">
        <v>35</v>
      </c>
      <c r="R95">
        <v>3</v>
      </c>
      <c r="S95" t="str">
        <f t="shared" si="9"/>
        <v>Average</v>
      </c>
    </row>
    <row r="96" spans="1:19" x14ac:dyDescent="0.25">
      <c r="A96" t="s">
        <v>237</v>
      </c>
      <c r="B96">
        <v>37</v>
      </c>
      <c r="C96" t="s">
        <v>29</v>
      </c>
      <c r="D96" t="s">
        <v>2521</v>
      </c>
      <c r="E96" t="s">
        <v>24</v>
      </c>
      <c r="F96" t="s">
        <v>162</v>
      </c>
      <c r="G96" t="s">
        <v>238</v>
      </c>
      <c r="H96" t="str">
        <f>TEXT(walmart[[#This Row],[Purchase_Date]],"DDD")</f>
        <v>Wed</v>
      </c>
      <c r="I96" t="str">
        <f>TEXT(walmart[[#This Row],[Purchase_Date]],"MMM")</f>
        <v>Apr</v>
      </c>
      <c r="J96" t="str">
        <f>TEXT(walmart[[#This Row],[Purchase_Date]],"YYY")</f>
        <v>2024</v>
      </c>
      <c r="K96" s="3">
        <v>362.55</v>
      </c>
      <c r="L96" t="str">
        <f t="shared" si="5"/>
        <v>5% off</v>
      </c>
      <c r="M96" s="3">
        <f t="shared" si="6"/>
        <v>18.127500000000001</v>
      </c>
      <c r="N96" t="str">
        <f t="shared" si="7"/>
        <v>Yes</v>
      </c>
      <c r="O96" t="s">
        <v>21</v>
      </c>
      <c r="P96" s="3">
        <f t="shared" si="8"/>
        <v>344.42250000000001</v>
      </c>
      <c r="Q96" t="s">
        <v>47</v>
      </c>
      <c r="R96">
        <v>2</v>
      </c>
      <c r="S96" t="str">
        <f t="shared" si="9"/>
        <v>Poor</v>
      </c>
    </row>
    <row r="97" spans="1:19" x14ac:dyDescent="0.25">
      <c r="A97" t="s">
        <v>239</v>
      </c>
      <c r="B97">
        <v>24</v>
      </c>
      <c r="C97" t="s">
        <v>29</v>
      </c>
      <c r="D97" t="s">
        <v>2522</v>
      </c>
      <c r="E97" t="s">
        <v>37</v>
      </c>
      <c r="F97" t="s">
        <v>117</v>
      </c>
      <c r="G97" t="s">
        <v>240</v>
      </c>
      <c r="H97" t="str">
        <f>TEXT(walmart[[#This Row],[Purchase_Date]],"DDD")</f>
        <v>Mon</v>
      </c>
      <c r="I97" t="str">
        <f>TEXT(walmart[[#This Row],[Purchase_Date]],"MMM")</f>
        <v>Apr</v>
      </c>
      <c r="J97" t="str">
        <f>TEXT(walmart[[#This Row],[Purchase_Date]],"YYY")</f>
        <v>2024</v>
      </c>
      <c r="K97" s="3">
        <v>165.68</v>
      </c>
      <c r="L97" t="str">
        <f t="shared" si="5"/>
        <v>5% off</v>
      </c>
      <c r="M97" s="3">
        <f t="shared" si="6"/>
        <v>8.2840000000000007</v>
      </c>
      <c r="N97" t="str">
        <f t="shared" si="7"/>
        <v>Yes</v>
      </c>
      <c r="O97" t="s">
        <v>34</v>
      </c>
      <c r="P97" s="3">
        <f t="shared" si="8"/>
        <v>157.39600000000002</v>
      </c>
      <c r="Q97" t="s">
        <v>35</v>
      </c>
      <c r="R97">
        <v>2</v>
      </c>
      <c r="S97" t="str">
        <f t="shared" si="9"/>
        <v>Poor</v>
      </c>
    </row>
    <row r="98" spans="1:19" x14ac:dyDescent="0.25">
      <c r="A98" t="s">
        <v>241</v>
      </c>
      <c r="B98">
        <v>21</v>
      </c>
      <c r="C98" t="s">
        <v>16</v>
      </c>
      <c r="D98" t="s">
        <v>2485</v>
      </c>
      <c r="E98" t="s">
        <v>73</v>
      </c>
      <c r="F98" t="s">
        <v>138</v>
      </c>
      <c r="G98" t="s">
        <v>242</v>
      </c>
      <c r="H98" t="str">
        <f>TEXT(walmart[[#This Row],[Purchase_Date]],"DDD")</f>
        <v>Fri</v>
      </c>
      <c r="I98" t="str">
        <f>TEXT(walmart[[#This Row],[Purchase_Date]],"MMM")</f>
        <v>Nov</v>
      </c>
      <c r="J98" t="str">
        <f>TEXT(walmart[[#This Row],[Purchase_Date]],"YYY")</f>
        <v>2024</v>
      </c>
      <c r="K98" s="3">
        <v>461.81</v>
      </c>
      <c r="L98" t="str">
        <f t="shared" si="5"/>
        <v>5% off</v>
      </c>
      <c r="M98" s="3">
        <f t="shared" si="6"/>
        <v>23.090500000000002</v>
      </c>
      <c r="N98" t="str">
        <f t="shared" si="7"/>
        <v>Yes</v>
      </c>
      <c r="O98" t="s">
        <v>21</v>
      </c>
      <c r="P98" s="3">
        <f t="shared" si="8"/>
        <v>438.71949999999998</v>
      </c>
      <c r="Q98" t="s">
        <v>47</v>
      </c>
      <c r="R98">
        <v>5</v>
      </c>
      <c r="S98" t="str">
        <f t="shared" si="9"/>
        <v>Excellent</v>
      </c>
    </row>
    <row r="99" spans="1:19" x14ac:dyDescent="0.25">
      <c r="A99" t="s">
        <v>243</v>
      </c>
      <c r="B99">
        <v>34</v>
      </c>
      <c r="C99" t="s">
        <v>29</v>
      </c>
      <c r="D99" t="s">
        <v>2523</v>
      </c>
      <c r="E99" t="s">
        <v>73</v>
      </c>
      <c r="F99" t="s">
        <v>94</v>
      </c>
      <c r="G99" t="s">
        <v>244</v>
      </c>
      <c r="H99" t="str">
        <f>TEXT(walmart[[#This Row],[Purchase_Date]],"DDD")</f>
        <v>Sat</v>
      </c>
      <c r="I99" t="str">
        <f>TEXT(walmart[[#This Row],[Purchase_Date]],"MMM")</f>
        <v>Feb</v>
      </c>
      <c r="J99" t="str">
        <f>TEXT(walmart[[#This Row],[Purchase_Date]],"YYY")</f>
        <v>2025</v>
      </c>
      <c r="K99" s="3">
        <v>965.09</v>
      </c>
      <c r="L99" t="str">
        <f t="shared" si="5"/>
        <v>20% off</v>
      </c>
      <c r="M99" s="3">
        <f t="shared" si="6"/>
        <v>193.01800000000003</v>
      </c>
      <c r="N99" t="str">
        <f t="shared" si="7"/>
        <v>Yes</v>
      </c>
      <c r="O99" t="s">
        <v>34</v>
      </c>
      <c r="P99" s="3">
        <f t="shared" si="8"/>
        <v>772.072</v>
      </c>
      <c r="Q99" t="s">
        <v>35</v>
      </c>
      <c r="R99">
        <v>5</v>
      </c>
      <c r="S99" t="str">
        <f t="shared" si="9"/>
        <v>Excellent</v>
      </c>
    </row>
    <row r="100" spans="1:19" x14ac:dyDescent="0.25">
      <c r="A100" t="s">
        <v>245</v>
      </c>
      <c r="B100">
        <v>66</v>
      </c>
      <c r="C100" t="s">
        <v>16</v>
      </c>
      <c r="D100" t="s">
        <v>2518</v>
      </c>
      <c r="E100" t="s">
        <v>18</v>
      </c>
      <c r="F100" t="s">
        <v>59</v>
      </c>
      <c r="G100" t="s">
        <v>246</v>
      </c>
      <c r="H100" t="str">
        <f>TEXT(walmart[[#This Row],[Purchase_Date]],"DDD")</f>
        <v>Tue</v>
      </c>
      <c r="I100" t="str">
        <f>TEXT(walmart[[#This Row],[Purchase_Date]],"MMM")</f>
        <v>Apr</v>
      </c>
      <c r="J100" t="str">
        <f>TEXT(walmart[[#This Row],[Purchase_Date]],"YYY")</f>
        <v>2024</v>
      </c>
      <c r="K100" s="3">
        <v>78.349999999999994</v>
      </c>
      <c r="L100" t="str">
        <f t="shared" si="5"/>
        <v>0% off</v>
      </c>
      <c r="M100" s="3">
        <f t="shared" si="6"/>
        <v>0</v>
      </c>
      <c r="N100" t="str">
        <f t="shared" si="7"/>
        <v>No</v>
      </c>
      <c r="O100" t="s">
        <v>34</v>
      </c>
      <c r="P100" s="3">
        <f t="shared" si="8"/>
        <v>78.349999999999994</v>
      </c>
      <c r="Q100" t="s">
        <v>27</v>
      </c>
      <c r="R100">
        <v>5</v>
      </c>
      <c r="S100" t="str">
        <f t="shared" si="9"/>
        <v>Excellent</v>
      </c>
    </row>
    <row r="101" spans="1:19" x14ac:dyDescent="0.25">
      <c r="A101" t="s">
        <v>247</v>
      </c>
      <c r="B101">
        <v>64</v>
      </c>
      <c r="C101" t="s">
        <v>29</v>
      </c>
      <c r="D101" t="s">
        <v>2524</v>
      </c>
      <c r="E101" t="s">
        <v>55</v>
      </c>
      <c r="F101" t="s">
        <v>64</v>
      </c>
      <c r="G101" t="s">
        <v>248</v>
      </c>
      <c r="H101" t="str">
        <f>TEXT(walmart[[#This Row],[Purchase_Date]],"DDD")</f>
        <v>Tue</v>
      </c>
      <c r="I101" t="str">
        <f>TEXT(walmart[[#This Row],[Purchase_Date]],"MMM")</f>
        <v>Apr</v>
      </c>
      <c r="J101" t="str">
        <f>TEXT(walmart[[#This Row],[Purchase_Date]],"YYY")</f>
        <v>2024</v>
      </c>
      <c r="K101" s="3">
        <v>374.92</v>
      </c>
      <c r="L101" t="str">
        <f t="shared" si="5"/>
        <v>5% off</v>
      </c>
      <c r="M101" s="3">
        <f t="shared" si="6"/>
        <v>18.746000000000002</v>
      </c>
      <c r="N101" t="str">
        <f t="shared" si="7"/>
        <v>Yes</v>
      </c>
      <c r="O101" t="s">
        <v>21</v>
      </c>
      <c r="P101" s="3">
        <f t="shared" si="8"/>
        <v>356.17400000000004</v>
      </c>
      <c r="Q101" t="s">
        <v>22</v>
      </c>
      <c r="R101">
        <v>1</v>
      </c>
      <c r="S101" t="str">
        <f t="shared" si="9"/>
        <v>Very Poor</v>
      </c>
    </row>
    <row r="102" spans="1:19" x14ac:dyDescent="0.25">
      <c r="A102" t="s">
        <v>249</v>
      </c>
      <c r="B102">
        <v>58</v>
      </c>
      <c r="C102" t="s">
        <v>29</v>
      </c>
      <c r="D102" t="s">
        <v>2525</v>
      </c>
      <c r="E102" t="s">
        <v>42</v>
      </c>
      <c r="F102" t="s">
        <v>103</v>
      </c>
      <c r="G102" t="s">
        <v>250</v>
      </c>
      <c r="H102" t="str">
        <f>TEXT(walmart[[#This Row],[Purchase_Date]],"DDD")</f>
        <v>Sun</v>
      </c>
      <c r="I102" t="str">
        <f>TEXT(walmart[[#This Row],[Purchase_Date]],"MMM")</f>
        <v>Jul</v>
      </c>
      <c r="J102" t="str">
        <f>TEXT(walmart[[#This Row],[Purchase_Date]],"YYY")</f>
        <v>2024</v>
      </c>
      <c r="K102" s="3">
        <v>315.56</v>
      </c>
      <c r="L102" t="str">
        <f t="shared" si="5"/>
        <v>5% off</v>
      </c>
      <c r="M102" s="3">
        <f t="shared" si="6"/>
        <v>15.778</v>
      </c>
      <c r="N102" t="str">
        <f t="shared" si="7"/>
        <v>Yes</v>
      </c>
      <c r="O102" t="s">
        <v>21</v>
      </c>
      <c r="P102" s="3">
        <f t="shared" si="8"/>
        <v>299.78199999999998</v>
      </c>
      <c r="Q102" t="s">
        <v>22</v>
      </c>
      <c r="R102">
        <v>4</v>
      </c>
      <c r="S102" t="str">
        <f t="shared" si="9"/>
        <v>Good</v>
      </c>
    </row>
    <row r="103" spans="1:19" x14ac:dyDescent="0.25">
      <c r="A103" t="s">
        <v>251</v>
      </c>
      <c r="B103">
        <v>55</v>
      </c>
      <c r="C103" t="s">
        <v>16</v>
      </c>
      <c r="D103" t="s">
        <v>2487</v>
      </c>
      <c r="E103" t="s">
        <v>31</v>
      </c>
      <c r="F103" t="s">
        <v>32</v>
      </c>
      <c r="G103" t="s">
        <v>252</v>
      </c>
      <c r="H103" t="str">
        <f>TEXT(walmart[[#This Row],[Purchase_Date]],"DDD")</f>
        <v>Tue</v>
      </c>
      <c r="I103" t="str">
        <f>TEXT(walmart[[#This Row],[Purchase_Date]],"MMM")</f>
        <v>Jun</v>
      </c>
      <c r="J103" t="str">
        <f>TEXT(walmart[[#This Row],[Purchase_Date]],"YYY")</f>
        <v>2024</v>
      </c>
      <c r="K103" s="3">
        <v>493.96</v>
      </c>
      <c r="L103" t="str">
        <f t="shared" si="5"/>
        <v>5% off</v>
      </c>
      <c r="M103" s="3">
        <f t="shared" si="6"/>
        <v>24.698</v>
      </c>
      <c r="N103" t="str">
        <f t="shared" si="7"/>
        <v>Yes</v>
      </c>
      <c r="O103" t="s">
        <v>21</v>
      </c>
      <c r="P103" s="3">
        <f t="shared" si="8"/>
        <v>469.262</v>
      </c>
      <c r="Q103" t="s">
        <v>35</v>
      </c>
      <c r="R103">
        <v>5</v>
      </c>
      <c r="S103" t="str">
        <f t="shared" si="9"/>
        <v>Excellent</v>
      </c>
    </row>
    <row r="104" spans="1:19" x14ac:dyDescent="0.25">
      <c r="A104" t="s">
        <v>253</v>
      </c>
      <c r="B104">
        <v>65</v>
      </c>
      <c r="C104" t="s">
        <v>29</v>
      </c>
      <c r="D104" t="s">
        <v>2519</v>
      </c>
      <c r="E104" t="s">
        <v>55</v>
      </c>
      <c r="F104" t="s">
        <v>100</v>
      </c>
      <c r="G104" t="s">
        <v>254</v>
      </c>
      <c r="H104" t="str">
        <f>TEXT(walmart[[#This Row],[Purchase_Date]],"DDD")</f>
        <v>Fri</v>
      </c>
      <c r="I104" t="str">
        <f>TEXT(walmart[[#This Row],[Purchase_Date]],"MMM")</f>
        <v>Mar</v>
      </c>
      <c r="J104" t="str">
        <f>TEXT(walmart[[#This Row],[Purchase_Date]],"YYY")</f>
        <v>2025</v>
      </c>
      <c r="K104" s="3">
        <v>592.26</v>
      </c>
      <c r="L104" t="str">
        <f t="shared" si="5"/>
        <v>10% off</v>
      </c>
      <c r="M104" s="3">
        <f t="shared" si="6"/>
        <v>59.225999999999999</v>
      </c>
      <c r="N104" t="str">
        <f t="shared" si="7"/>
        <v>Yes</v>
      </c>
      <c r="O104" t="s">
        <v>21</v>
      </c>
      <c r="P104" s="3">
        <f t="shared" si="8"/>
        <v>533.03399999999999</v>
      </c>
      <c r="Q104" t="s">
        <v>35</v>
      </c>
      <c r="R104">
        <v>1</v>
      </c>
      <c r="S104" t="str">
        <f t="shared" si="9"/>
        <v>Very Poor</v>
      </c>
    </row>
    <row r="105" spans="1:19" x14ac:dyDescent="0.25">
      <c r="A105" t="s">
        <v>255</v>
      </c>
      <c r="B105">
        <v>45</v>
      </c>
      <c r="C105" t="s">
        <v>29</v>
      </c>
      <c r="D105" t="s">
        <v>2520</v>
      </c>
      <c r="E105" t="s">
        <v>37</v>
      </c>
      <c r="F105" t="s">
        <v>97</v>
      </c>
      <c r="G105" t="s">
        <v>256</v>
      </c>
      <c r="H105" t="str">
        <f>TEXT(walmart[[#This Row],[Purchase_Date]],"DDD")</f>
        <v>Sat</v>
      </c>
      <c r="I105" t="str">
        <f>TEXT(walmart[[#This Row],[Purchase_Date]],"MMM")</f>
        <v>May</v>
      </c>
      <c r="J105" t="str">
        <f>TEXT(walmart[[#This Row],[Purchase_Date]],"YYY")</f>
        <v>2024</v>
      </c>
      <c r="K105" s="3">
        <v>855.21</v>
      </c>
      <c r="L105" t="str">
        <f t="shared" si="5"/>
        <v>15% off</v>
      </c>
      <c r="M105" s="3">
        <f t="shared" si="6"/>
        <v>128.28149999999999</v>
      </c>
      <c r="N105" t="str">
        <f t="shared" si="7"/>
        <v>Yes</v>
      </c>
      <c r="O105" t="s">
        <v>21</v>
      </c>
      <c r="P105" s="3">
        <f t="shared" si="8"/>
        <v>726.92849999999999</v>
      </c>
      <c r="Q105" t="s">
        <v>47</v>
      </c>
      <c r="R105">
        <v>2</v>
      </c>
      <c r="S105" t="str">
        <f t="shared" si="9"/>
        <v>Poor</v>
      </c>
    </row>
    <row r="106" spans="1:19" x14ac:dyDescent="0.25">
      <c r="A106" t="s">
        <v>257</v>
      </c>
      <c r="B106">
        <v>27</v>
      </c>
      <c r="C106" t="s">
        <v>29</v>
      </c>
      <c r="D106" t="s">
        <v>2526</v>
      </c>
      <c r="E106" t="s">
        <v>73</v>
      </c>
      <c r="F106" t="s">
        <v>74</v>
      </c>
      <c r="G106" t="s">
        <v>258</v>
      </c>
      <c r="H106" t="str">
        <f>TEXT(walmart[[#This Row],[Purchase_Date]],"DDD")</f>
        <v>Fri</v>
      </c>
      <c r="I106" t="str">
        <f>TEXT(walmart[[#This Row],[Purchase_Date]],"MMM")</f>
        <v>Oct</v>
      </c>
      <c r="J106" t="str">
        <f>TEXT(walmart[[#This Row],[Purchase_Date]],"YYY")</f>
        <v>2024</v>
      </c>
      <c r="K106" s="3">
        <v>782.29</v>
      </c>
      <c r="L106" t="str">
        <f t="shared" si="5"/>
        <v>15% off</v>
      </c>
      <c r="M106" s="3">
        <f t="shared" si="6"/>
        <v>117.34349999999999</v>
      </c>
      <c r="N106" t="str">
        <f t="shared" si="7"/>
        <v>Yes</v>
      </c>
      <c r="O106" t="s">
        <v>34</v>
      </c>
      <c r="P106" s="3">
        <f t="shared" si="8"/>
        <v>664.94650000000001</v>
      </c>
      <c r="Q106" t="s">
        <v>35</v>
      </c>
      <c r="R106">
        <v>3</v>
      </c>
      <c r="S106" t="str">
        <f t="shared" si="9"/>
        <v>Average</v>
      </c>
    </row>
    <row r="107" spans="1:19" x14ac:dyDescent="0.25">
      <c r="A107" t="s">
        <v>259</v>
      </c>
      <c r="B107">
        <v>70</v>
      </c>
      <c r="C107" t="s">
        <v>29</v>
      </c>
      <c r="D107" t="s">
        <v>2527</v>
      </c>
      <c r="E107" t="s">
        <v>31</v>
      </c>
      <c r="F107" t="s">
        <v>169</v>
      </c>
      <c r="G107" t="s">
        <v>260</v>
      </c>
      <c r="H107" t="str">
        <f>TEXT(walmart[[#This Row],[Purchase_Date]],"DDD")</f>
        <v>Thu</v>
      </c>
      <c r="I107" t="str">
        <f>TEXT(walmart[[#This Row],[Purchase_Date]],"MMM")</f>
        <v>Mar</v>
      </c>
      <c r="J107" t="str">
        <f>TEXT(walmart[[#This Row],[Purchase_Date]],"YYY")</f>
        <v>2025</v>
      </c>
      <c r="K107" s="3">
        <v>52.44</v>
      </c>
      <c r="L107" t="str">
        <f t="shared" si="5"/>
        <v>0% off</v>
      </c>
      <c r="M107" s="3">
        <f t="shared" si="6"/>
        <v>0</v>
      </c>
      <c r="N107" t="str">
        <f t="shared" si="7"/>
        <v>No</v>
      </c>
      <c r="O107" t="s">
        <v>21</v>
      </c>
      <c r="P107" s="3">
        <f t="shared" si="8"/>
        <v>52.44</v>
      </c>
      <c r="Q107" t="s">
        <v>27</v>
      </c>
      <c r="R107">
        <v>3</v>
      </c>
      <c r="S107" t="str">
        <f t="shared" si="9"/>
        <v>Average</v>
      </c>
    </row>
    <row r="108" spans="1:19" x14ac:dyDescent="0.25">
      <c r="A108" t="s">
        <v>261</v>
      </c>
      <c r="B108">
        <v>18</v>
      </c>
      <c r="C108" t="s">
        <v>29</v>
      </c>
      <c r="D108" t="s">
        <v>2528</v>
      </c>
      <c r="E108" t="s">
        <v>24</v>
      </c>
      <c r="F108" t="s">
        <v>162</v>
      </c>
      <c r="G108" t="s">
        <v>262</v>
      </c>
      <c r="H108" t="str">
        <f>TEXT(walmart[[#This Row],[Purchase_Date]],"DDD")</f>
        <v>Wed</v>
      </c>
      <c r="I108" t="str">
        <f>TEXT(walmart[[#This Row],[Purchase_Date]],"MMM")</f>
        <v>Sep</v>
      </c>
      <c r="J108" t="str">
        <f>TEXT(walmart[[#This Row],[Purchase_Date]],"YYY")</f>
        <v>2024</v>
      </c>
      <c r="K108" s="3">
        <v>362.55</v>
      </c>
      <c r="L108" t="str">
        <f t="shared" si="5"/>
        <v>5% off</v>
      </c>
      <c r="M108" s="3">
        <f t="shared" si="6"/>
        <v>18.127500000000001</v>
      </c>
      <c r="N108" t="str">
        <f t="shared" si="7"/>
        <v>Yes</v>
      </c>
      <c r="O108" t="s">
        <v>34</v>
      </c>
      <c r="P108" s="3">
        <f t="shared" si="8"/>
        <v>344.42250000000001</v>
      </c>
      <c r="Q108" t="s">
        <v>27</v>
      </c>
      <c r="R108">
        <v>5</v>
      </c>
      <c r="S108" t="str">
        <f t="shared" si="9"/>
        <v>Excellent</v>
      </c>
    </row>
    <row r="109" spans="1:19" x14ac:dyDescent="0.25">
      <c r="A109" t="s">
        <v>263</v>
      </c>
      <c r="B109">
        <v>65</v>
      </c>
      <c r="C109" t="s">
        <v>16</v>
      </c>
      <c r="D109" t="s">
        <v>2529</v>
      </c>
      <c r="E109" t="s">
        <v>24</v>
      </c>
      <c r="F109" t="s">
        <v>186</v>
      </c>
      <c r="G109" t="s">
        <v>195</v>
      </c>
      <c r="H109" t="str">
        <f>TEXT(walmart[[#This Row],[Purchase_Date]],"DDD")</f>
        <v>Thu</v>
      </c>
      <c r="I109" t="str">
        <f>TEXT(walmart[[#This Row],[Purchase_Date]],"MMM")</f>
        <v>Feb</v>
      </c>
      <c r="J109" t="str">
        <f>TEXT(walmart[[#This Row],[Purchase_Date]],"YYY")</f>
        <v>2025</v>
      </c>
      <c r="K109" s="3">
        <v>527.16999999999996</v>
      </c>
      <c r="L109" t="str">
        <f t="shared" si="5"/>
        <v>10% off</v>
      </c>
      <c r="M109" s="3">
        <f t="shared" si="6"/>
        <v>52.716999999999999</v>
      </c>
      <c r="N109" t="str">
        <f t="shared" si="7"/>
        <v>Yes</v>
      </c>
      <c r="O109" t="s">
        <v>21</v>
      </c>
      <c r="P109" s="3">
        <f t="shared" si="8"/>
        <v>474.45299999999997</v>
      </c>
      <c r="Q109" t="s">
        <v>35</v>
      </c>
      <c r="R109">
        <v>3</v>
      </c>
      <c r="S109" t="str">
        <f t="shared" si="9"/>
        <v>Average</v>
      </c>
    </row>
    <row r="110" spans="1:19" x14ac:dyDescent="0.25">
      <c r="A110" t="s">
        <v>264</v>
      </c>
      <c r="B110">
        <v>55</v>
      </c>
      <c r="C110" t="s">
        <v>16</v>
      </c>
      <c r="D110" t="s">
        <v>2530</v>
      </c>
      <c r="E110" t="s">
        <v>73</v>
      </c>
      <c r="F110" t="s">
        <v>91</v>
      </c>
      <c r="G110" t="s">
        <v>181</v>
      </c>
      <c r="H110" t="str">
        <f>TEXT(walmart[[#This Row],[Purchase_Date]],"DDD")</f>
        <v>Sat</v>
      </c>
      <c r="I110" t="str">
        <f>TEXT(walmart[[#This Row],[Purchase_Date]],"MMM")</f>
        <v>Oct</v>
      </c>
      <c r="J110" t="str">
        <f>TEXT(walmart[[#This Row],[Purchase_Date]],"YYY")</f>
        <v>2024</v>
      </c>
      <c r="K110" s="3">
        <v>418.55</v>
      </c>
      <c r="L110" t="str">
        <f t="shared" si="5"/>
        <v>5% off</v>
      </c>
      <c r="M110" s="3">
        <f t="shared" si="6"/>
        <v>20.927500000000002</v>
      </c>
      <c r="N110" t="str">
        <f t="shared" si="7"/>
        <v>Yes</v>
      </c>
      <c r="O110" t="s">
        <v>21</v>
      </c>
      <c r="P110" s="3">
        <f t="shared" si="8"/>
        <v>397.6225</v>
      </c>
      <c r="Q110" t="s">
        <v>47</v>
      </c>
      <c r="R110">
        <v>5</v>
      </c>
      <c r="S110" t="str">
        <f t="shared" si="9"/>
        <v>Excellent</v>
      </c>
    </row>
    <row r="111" spans="1:19" x14ac:dyDescent="0.25">
      <c r="A111" t="s">
        <v>265</v>
      </c>
      <c r="B111">
        <v>35</v>
      </c>
      <c r="C111" t="s">
        <v>29</v>
      </c>
      <c r="D111" t="s">
        <v>2531</v>
      </c>
      <c r="E111" t="s">
        <v>24</v>
      </c>
      <c r="F111" t="s">
        <v>209</v>
      </c>
      <c r="G111" t="s">
        <v>266</v>
      </c>
      <c r="H111" t="str">
        <f>TEXT(walmart[[#This Row],[Purchase_Date]],"DDD")</f>
        <v>Fri</v>
      </c>
      <c r="I111" t="str">
        <f>TEXT(walmart[[#This Row],[Purchase_Date]],"MMM")</f>
        <v>Feb</v>
      </c>
      <c r="J111" t="str">
        <f>TEXT(walmart[[#This Row],[Purchase_Date]],"YYY")</f>
        <v>2025</v>
      </c>
      <c r="K111" s="3">
        <v>775.75</v>
      </c>
      <c r="L111" t="str">
        <f t="shared" si="5"/>
        <v>15% off</v>
      </c>
      <c r="M111" s="3">
        <f t="shared" si="6"/>
        <v>116.3625</v>
      </c>
      <c r="N111" t="str">
        <f t="shared" si="7"/>
        <v>Yes</v>
      </c>
      <c r="O111" t="s">
        <v>21</v>
      </c>
      <c r="P111" s="3">
        <f t="shared" si="8"/>
        <v>659.38750000000005</v>
      </c>
      <c r="Q111" t="s">
        <v>47</v>
      </c>
      <c r="R111">
        <v>2</v>
      </c>
      <c r="S111" t="str">
        <f t="shared" si="9"/>
        <v>Poor</v>
      </c>
    </row>
    <row r="112" spans="1:19" x14ac:dyDescent="0.25">
      <c r="A112" t="s">
        <v>267</v>
      </c>
      <c r="B112">
        <v>70</v>
      </c>
      <c r="C112" t="s">
        <v>29</v>
      </c>
      <c r="D112" t="s">
        <v>2532</v>
      </c>
      <c r="E112" t="s">
        <v>24</v>
      </c>
      <c r="F112" t="s">
        <v>186</v>
      </c>
      <c r="G112" t="s">
        <v>268</v>
      </c>
      <c r="H112" t="str">
        <f>TEXT(walmart[[#This Row],[Purchase_Date]],"DDD")</f>
        <v>Fri</v>
      </c>
      <c r="I112" t="str">
        <f>TEXT(walmart[[#This Row],[Purchase_Date]],"MMM")</f>
        <v>Oct</v>
      </c>
      <c r="J112" t="str">
        <f>TEXT(walmart[[#This Row],[Purchase_Date]],"YYY")</f>
        <v>2024</v>
      </c>
      <c r="K112" s="3">
        <v>527.16999999999996</v>
      </c>
      <c r="L112" t="str">
        <f t="shared" si="5"/>
        <v>10% off</v>
      </c>
      <c r="M112" s="3">
        <f t="shared" si="6"/>
        <v>52.716999999999999</v>
      </c>
      <c r="N112" t="str">
        <f t="shared" si="7"/>
        <v>Yes</v>
      </c>
      <c r="O112" t="s">
        <v>21</v>
      </c>
      <c r="P112" s="3">
        <f t="shared" si="8"/>
        <v>474.45299999999997</v>
      </c>
      <c r="Q112" t="s">
        <v>22</v>
      </c>
      <c r="R112">
        <v>5</v>
      </c>
      <c r="S112" t="str">
        <f t="shared" si="9"/>
        <v>Excellent</v>
      </c>
    </row>
    <row r="113" spans="1:19" x14ac:dyDescent="0.25">
      <c r="A113" t="s">
        <v>269</v>
      </c>
      <c r="B113">
        <v>34</v>
      </c>
      <c r="C113" t="s">
        <v>16</v>
      </c>
      <c r="D113" t="s">
        <v>2533</v>
      </c>
      <c r="E113" t="s">
        <v>42</v>
      </c>
      <c r="F113" t="s">
        <v>103</v>
      </c>
      <c r="G113" t="s">
        <v>270</v>
      </c>
      <c r="H113" t="str">
        <f>TEXT(walmart[[#This Row],[Purchase_Date]],"DDD")</f>
        <v>Sat</v>
      </c>
      <c r="I113" t="str">
        <f>TEXT(walmart[[#This Row],[Purchase_Date]],"MMM")</f>
        <v>Dec</v>
      </c>
      <c r="J113" t="str">
        <f>TEXT(walmart[[#This Row],[Purchase_Date]],"YYY")</f>
        <v>2024</v>
      </c>
      <c r="K113" s="3">
        <v>315.56</v>
      </c>
      <c r="L113" t="str">
        <f t="shared" si="5"/>
        <v>5% off</v>
      </c>
      <c r="M113" s="3">
        <f t="shared" si="6"/>
        <v>15.778</v>
      </c>
      <c r="N113" t="str">
        <f t="shared" si="7"/>
        <v>Yes</v>
      </c>
      <c r="O113" t="s">
        <v>34</v>
      </c>
      <c r="P113" s="3">
        <f t="shared" si="8"/>
        <v>299.78199999999998</v>
      </c>
      <c r="Q113" t="s">
        <v>22</v>
      </c>
      <c r="R113">
        <v>3</v>
      </c>
      <c r="S113" t="str">
        <f t="shared" si="9"/>
        <v>Average</v>
      </c>
    </row>
    <row r="114" spans="1:19" x14ac:dyDescent="0.25">
      <c r="A114" t="s">
        <v>271</v>
      </c>
      <c r="B114">
        <v>23</v>
      </c>
      <c r="C114" t="s">
        <v>29</v>
      </c>
      <c r="D114" t="s">
        <v>2534</v>
      </c>
      <c r="E114" t="s">
        <v>55</v>
      </c>
      <c r="F114" t="s">
        <v>67</v>
      </c>
      <c r="G114" t="s">
        <v>272</v>
      </c>
      <c r="H114" t="str">
        <f>TEXT(walmart[[#This Row],[Purchase_Date]],"DDD")</f>
        <v>Mon</v>
      </c>
      <c r="I114" t="str">
        <f>TEXT(walmart[[#This Row],[Purchase_Date]],"MMM")</f>
        <v>Jan</v>
      </c>
      <c r="J114" t="str">
        <f>TEXT(walmart[[#This Row],[Purchase_Date]],"YYY")</f>
        <v>2025</v>
      </c>
      <c r="K114" s="3">
        <v>452.97</v>
      </c>
      <c r="L114" t="str">
        <f t="shared" si="5"/>
        <v>5% off</v>
      </c>
      <c r="M114" s="3">
        <f t="shared" si="6"/>
        <v>22.648500000000002</v>
      </c>
      <c r="N114" t="str">
        <f t="shared" si="7"/>
        <v>Yes</v>
      </c>
      <c r="O114" t="s">
        <v>34</v>
      </c>
      <c r="P114" s="3">
        <f t="shared" si="8"/>
        <v>430.32150000000001</v>
      </c>
      <c r="Q114" t="s">
        <v>27</v>
      </c>
      <c r="R114">
        <v>3</v>
      </c>
      <c r="S114" t="str">
        <f t="shared" si="9"/>
        <v>Average</v>
      </c>
    </row>
    <row r="115" spans="1:19" x14ac:dyDescent="0.25">
      <c r="A115" t="s">
        <v>273</v>
      </c>
      <c r="B115">
        <v>54</v>
      </c>
      <c r="C115" t="s">
        <v>16</v>
      </c>
      <c r="D115" t="s">
        <v>2535</v>
      </c>
      <c r="E115" t="s">
        <v>24</v>
      </c>
      <c r="F115" t="s">
        <v>209</v>
      </c>
      <c r="G115" t="s">
        <v>53</v>
      </c>
      <c r="H115" t="str">
        <f>TEXT(walmart[[#This Row],[Purchase_Date]],"DDD")</f>
        <v>Sat</v>
      </c>
      <c r="I115" t="str">
        <f>TEXT(walmart[[#This Row],[Purchase_Date]],"MMM")</f>
        <v>Mar</v>
      </c>
      <c r="J115" t="str">
        <f>TEXT(walmart[[#This Row],[Purchase_Date]],"YYY")</f>
        <v>2025</v>
      </c>
      <c r="K115" s="3">
        <v>775.75</v>
      </c>
      <c r="L115" t="str">
        <f t="shared" si="5"/>
        <v>15% off</v>
      </c>
      <c r="M115" s="3">
        <f t="shared" si="6"/>
        <v>116.3625</v>
      </c>
      <c r="N115" t="str">
        <f t="shared" si="7"/>
        <v>Yes</v>
      </c>
      <c r="O115" t="s">
        <v>21</v>
      </c>
      <c r="P115" s="3">
        <f t="shared" si="8"/>
        <v>659.38750000000005</v>
      </c>
      <c r="Q115" t="s">
        <v>35</v>
      </c>
      <c r="R115">
        <v>4</v>
      </c>
      <c r="S115" t="str">
        <f t="shared" si="9"/>
        <v>Good</v>
      </c>
    </row>
    <row r="116" spans="1:19" x14ac:dyDescent="0.25">
      <c r="A116" t="s">
        <v>274</v>
      </c>
      <c r="B116">
        <v>58</v>
      </c>
      <c r="C116" t="s">
        <v>16</v>
      </c>
      <c r="D116" t="s">
        <v>2518</v>
      </c>
      <c r="E116" t="s">
        <v>24</v>
      </c>
      <c r="F116" t="s">
        <v>186</v>
      </c>
      <c r="G116" t="s">
        <v>275</v>
      </c>
      <c r="H116" t="str">
        <f>TEXT(walmart[[#This Row],[Purchase_Date]],"DDD")</f>
        <v>Sat</v>
      </c>
      <c r="I116" t="str">
        <f>TEXT(walmart[[#This Row],[Purchase_Date]],"MMM")</f>
        <v>Jun</v>
      </c>
      <c r="J116" t="str">
        <f>TEXT(walmart[[#This Row],[Purchase_Date]],"YYY")</f>
        <v>2024</v>
      </c>
      <c r="K116" s="3">
        <v>527.16999999999996</v>
      </c>
      <c r="L116" t="str">
        <f t="shared" si="5"/>
        <v>10% off</v>
      </c>
      <c r="M116" s="3">
        <f t="shared" si="6"/>
        <v>52.716999999999999</v>
      </c>
      <c r="N116" t="str">
        <f t="shared" si="7"/>
        <v>Yes</v>
      </c>
      <c r="O116" t="s">
        <v>34</v>
      </c>
      <c r="P116" s="3">
        <f t="shared" si="8"/>
        <v>474.45299999999997</v>
      </c>
      <c r="Q116" t="s">
        <v>35</v>
      </c>
      <c r="R116">
        <v>5</v>
      </c>
      <c r="S116" t="str">
        <f t="shared" si="9"/>
        <v>Excellent</v>
      </c>
    </row>
    <row r="117" spans="1:19" x14ac:dyDescent="0.25">
      <c r="A117" t="s">
        <v>276</v>
      </c>
      <c r="B117">
        <v>64</v>
      </c>
      <c r="C117" t="s">
        <v>29</v>
      </c>
      <c r="D117" t="s">
        <v>2536</v>
      </c>
      <c r="E117" t="s">
        <v>31</v>
      </c>
      <c r="F117" t="s">
        <v>32</v>
      </c>
      <c r="G117" t="s">
        <v>277</v>
      </c>
      <c r="H117" t="str">
        <f>TEXT(walmart[[#This Row],[Purchase_Date]],"DDD")</f>
        <v>Thu</v>
      </c>
      <c r="I117" t="str">
        <f>TEXT(walmart[[#This Row],[Purchase_Date]],"MMM")</f>
        <v>Apr</v>
      </c>
      <c r="J117" t="str">
        <f>TEXT(walmart[[#This Row],[Purchase_Date]],"YYY")</f>
        <v>2024</v>
      </c>
      <c r="K117" s="3">
        <v>493.96</v>
      </c>
      <c r="L117" t="str">
        <f t="shared" si="5"/>
        <v>5% off</v>
      </c>
      <c r="M117" s="3">
        <f t="shared" si="6"/>
        <v>24.698</v>
      </c>
      <c r="N117" t="str">
        <f t="shared" si="7"/>
        <v>Yes</v>
      </c>
      <c r="O117" t="s">
        <v>34</v>
      </c>
      <c r="P117" s="3">
        <f t="shared" si="8"/>
        <v>469.262</v>
      </c>
      <c r="Q117" t="s">
        <v>47</v>
      </c>
      <c r="R117">
        <v>1</v>
      </c>
      <c r="S117" t="str">
        <f t="shared" si="9"/>
        <v>Very Poor</v>
      </c>
    </row>
    <row r="118" spans="1:19" x14ac:dyDescent="0.25">
      <c r="A118" t="s">
        <v>278</v>
      </c>
      <c r="B118">
        <v>33</v>
      </c>
      <c r="C118" t="s">
        <v>16</v>
      </c>
      <c r="D118" t="s">
        <v>2537</v>
      </c>
      <c r="E118" t="s">
        <v>55</v>
      </c>
      <c r="F118" t="s">
        <v>100</v>
      </c>
      <c r="G118" t="s">
        <v>279</v>
      </c>
      <c r="H118" t="str">
        <f>TEXT(walmart[[#This Row],[Purchase_Date]],"DDD")</f>
        <v>Thu</v>
      </c>
      <c r="I118" t="str">
        <f>TEXT(walmart[[#This Row],[Purchase_Date]],"MMM")</f>
        <v>Jul</v>
      </c>
      <c r="J118" t="str">
        <f>TEXT(walmart[[#This Row],[Purchase_Date]],"YYY")</f>
        <v>2024</v>
      </c>
      <c r="K118" s="3">
        <v>592.26</v>
      </c>
      <c r="L118" t="str">
        <f t="shared" si="5"/>
        <v>10% off</v>
      </c>
      <c r="M118" s="3">
        <f t="shared" si="6"/>
        <v>59.225999999999999</v>
      </c>
      <c r="N118" t="str">
        <f t="shared" si="7"/>
        <v>Yes</v>
      </c>
      <c r="O118" t="s">
        <v>34</v>
      </c>
      <c r="P118" s="3">
        <f t="shared" si="8"/>
        <v>533.03399999999999</v>
      </c>
      <c r="Q118" t="s">
        <v>27</v>
      </c>
      <c r="R118">
        <v>2</v>
      </c>
      <c r="S118" t="str">
        <f t="shared" si="9"/>
        <v>Poor</v>
      </c>
    </row>
    <row r="119" spans="1:19" x14ac:dyDescent="0.25">
      <c r="A119" t="s">
        <v>280</v>
      </c>
      <c r="B119">
        <v>26</v>
      </c>
      <c r="C119" t="s">
        <v>16</v>
      </c>
      <c r="D119" t="s">
        <v>2538</v>
      </c>
      <c r="E119" t="s">
        <v>18</v>
      </c>
      <c r="F119" t="s">
        <v>77</v>
      </c>
      <c r="G119" t="s">
        <v>244</v>
      </c>
      <c r="H119" t="str">
        <f>TEXT(walmart[[#This Row],[Purchase_Date]],"DDD")</f>
        <v>Sat</v>
      </c>
      <c r="I119" t="str">
        <f>TEXT(walmart[[#This Row],[Purchase_Date]],"MMM")</f>
        <v>Feb</v>
      </c>
      <c r="J119" t="str">
        <f>TEXT(walmart[[#This Row],[Purchase_Date]],"YYY")</f>
        <v>2025</v>
      </c>
      <c r="K119" s="3">
        <v>116.78</v>
      </c>
      <c r="L119" t="str">
        <f t="shared" si="5"/>
        <v>0% off</v>
      </c>
      <c r="M119" s="3">
        <f t="shared" si="6"/>
        <v>0</v>
      </c>
      <c r="N119" t="str">
        <f t="shared" si="7"/>
        <v>No</v>
      </c>
      <c r="O119" t="s">
        <v>34</v>
      </c>
      <c r="P119" s="3">
        <f t="shared" si="8"/>
        <v>116.78</v>
      </c>
      <c r="Q119" t="s">
        <v>22</v>
      </c>
      <c r="R119">
        <v>4</v>
      </c>
      <c r="S119" t="str">
        <f t="shared" si="9"/>
        <v>Good</v>
      </c>
    </row>
    <row r="120" spans="1:19" x14ac:dyDescent="0.25">
      <c r="A120" t="s">
        <v>281</v>
      </c>
      <c r="B120">
        <v>45</v>
      </c>
      <c r="C120" t="s">
        <v>16</v>
      </c>
      <c r="D120" t="s">
        <v>2539</v>
      </c>
      <c r="E120" t="s">
        <v>37</v>
      </c>
      <c r="F120" t="s">
        <v>38</v>
      </c>
      <c r="G120" t="s">
        <v>143</v>
      </c>
      <c r="H120" t="str">
        <f>TEXT(walmart[[#This Row],[Purchase_Date]],"DDD")</f>
        <v>Thu</v>
      </c>
      <c r="I120" t="str">
        <f>TEXT(walmart[[#This Row],[Purchase_Date]],"MMM")</f>
        <v>Dec</v>
      </c>
      <c r="J120" t="str">
        <f>TEXT(walmart[[#This Row],[Purchase_Date]],"YYY")</f>
        <v>2024</v>
      </c>
      <c r="K120" s="3">
        <v>211.46</v>
      </c>
      <c r="L120" t="str">
        <f t="shared" si="5"/>
        <v>5% off</v>
      </c>
      <c r="M120" s="3">
        <f t="shared" si="6"/>
        <v>10.573</v>
      </c>
      <c r="N120" t="str">
        <f t="shared" si="7"/>
        <v>Yes</v>
      </c>
      <c r="O120" t="s">
        <v>21</v>
      </c>
      <c r="P120" s="3">
        <f t="shared" si="8"/>
        <v>200.887</v>
      </c>
      <c r="Q120" t="s">
        <v>22</v>
      </c>
      <c r="R120">
        <v>5</v>
      </c>
      <c r="S120" t="str">
        <f t="shared" si="9"/>
        <v>Excellent</v>
      </c>
    </row>
    <row r="121" spans="1:19" x14ac:dyDescent="0.25">
      <c r="A121" t="s">
        <v>282</v>
      </c>
      <c r="B121">
        <v>55</v>
      </c>
      <c r="C121" t="s">
        <v>29</v>
      </c>
      <c r="D121" t="s">
        <v>2540</v>
      </c>
      <c r="E121" t="s">
        <v>24</v>
      </c>
      <c r="F121" t="s">
        <v>186</v>
      </c>
      <c r="G121" t="s">
        <v>283</v>
      </c>
      <c r="H121" t="str">
        <f>TEXT(walmart[[#This Row],[Purchase_Date]],"DDD")</f>
        <v>Fri</v>
      </c>
      <c r="I121" t="str">
        <f>TEXT(walmart[[#This Row],[Purchase_Date]],"MMM")</f>
        <v>Jan</v>
      </c>
      <c r="J121" t="str">
        <f>TEXT(walmart[[#This Row],[Purchase_Date]],"YYY")</f>
        <v>2025</v>
      </c>
      <c r="K121" s="3">
        <v>527.16999999999996</v>
      </c>
      <c r="L121" t="str">
        <f t="shared" si="5"/>
        <v>10% off</v>
      </c>
      <c r="M121" s="3">
        <f t="shared" si="6"/>
        <v>52.716999999999999</v>
      </c>
      <c r="N121" t="str">
        <f t="shared" si="7"/>
        <v>Yes</v>
      </c>
      <c r="O121" t="s">
        <v>21</v>
      </c>
      <c r="P121" s="3">
        <f t="shared" si="8"/>
        <v>474.45299999999997</v>
      </c>
      <c r="Q121" t="s">
        <v>47</v>
      </c>
      <c r="R121">
        <v>4</v>
      </c>
      <c r="S121" t="str">
        <f t="shared" si="9"/>
        <v>Good</v>
      </c>
    </row>
    <row r="122" spans="1:19" x14ac:dyDescent="0.25">
      <c r="A122" t="s">
        <v>284</v>
      </c>
      <c r="B122">
        <v>57</v>
      </c>
      <c r="C122" t="s">
        <v>16</v>
      </c>
      <c r="D122" t="s">
        <v>2488</v>
      </c>
      <c r="E122" t="s">
        <v>73</v>
      </c>
      <c r="F122" t="s">
        <v>74</v>
      </c>
      <c r="G122" t="s">
        <v>285</v>
      </c>
      <c r="H122" t="str">
        <f>TEXT(walmart[[#This Row],[Purchase_Date]],"DDD")</f>
        <v>Sun</v>
      </c>
      <c r="I122" t="str">
        <f>TEXT(walmart[[#This Row],[Purchase_Date]],"MMM")</f>
        <v>Feb</v>
      </c>
      <c r="J122" t="str">
        <f>TEXT(walmart[[#This Row],[Purchase_Date]],"YYY")</f>
        <v>2025</v>
      </c>
      <c r="K122" s="3">
        <v>782.29</v>
      </c>
      <c r="L122" t="str">
        <f t="shared" si="5"/>
        <v>15% off</v>
      </c>
      <c r="M122" s="3">
        <f t="shared" si="6"/>
        <v>117.34349999999999</v>
      </c>
      <c r="N122" t="str">
        <f t="shared" si="7"/>
        <v>Yes</v>
      </c>
      <c r="O122" t="s">
        <v>34</v>
      </c>
      <c r="P122" s="3">
        <f t="shared" si="8"/>
        <v>664.94650000000001</v>
      </c>
      <c r="Q122" t="s">
        <v>35</v>
      </c>
      <c r="R122">
        <v>4</v>
      </c>
      <c r="S122" t="str">
        <f t="shared" si="9"/>
        <v>Good</v>
      </c>
    </row>
    <row r="123" spans="1:19" x14ac:dyDescent="0.25">
      <c r="A123" t="s">
        <v>286</v>
      </c>
      <c r="B123">
        <v>67</v>
      </c>
      <c r="C123" t="s">
        <v>29</v>
      </c>
      <c r="D123" t="s">
        <v>2541</v>
      </c>
      <c r="E123" t="s">
        <v>55</v>
      </c>
      <c r="F123" t="s">
        <v>64</v>
      </c>
      <c r="G123" t="s">
        <v>287</v>
      </c>
      <c r="H123" t="str">
        <f>TEXT(walmart[[#This Row],[Purchase_Date]],"DDD")</f>
        <v>Sun</v>
      </c>
      <c r="I123" t="str">
        <f>TEXT(walmart[[#This Row],[Purchase_Date]],"MMM")</f>
        <v>Jul</v>
      </c>
      <c r="J123" t="str">
        <f>TEXT(walmart[[#This Row],[Purchase_Date]],"YYY")</f>
        <v>2024</v>
      </c>
      <c r="K123" s="3">
        <v>374.92</v>
      </c>
      <c r="L123" t="str">
        <f t="shared" si="5"/>
        <v>5% off</v>
      </c>
      <c r="M123" s="3">
        <f t="shared" si="6"/>
        <v>18.746000000000002</v>
      </c>
      <c r="N123" t="str">
        <f t="shared" si="7"/>
        <v>Yes</v>
      </c>
      <c r="O123" t="s">
        <v>21</v>
      </c>
      <c r="P123" s="3">
        <f t="shared" si="8"/>
        <v>356.17400000000004</v>
      </c>
      <c r="Q123" t="s">
        <v>22</v>
      </c>
      <c r="R123">
        <v>3</v>
      </c>
      <c r="S123" t="str">
        <f t="shared" si="9"/>
        <v>Average</v>
      </c>
    </row>
    <row r="124" spans="1:19" x14ac:dyDescent="0.25">
      <c r="A124" t="s">
        <v>288</v>
      </c>
      <c r="B124">
        <v>25</v>
      </c>
      <c r="C124" t="s">
        <v>16</v>
      </c>
      <c r="D124" t="s">
        <v>2542</v>
      </c>
      <c r="E124" t="s">
        <v>31</v>
      </c>
      <c r="F124" t="s">
        <v>169</v>
      </c>
      <c r="G124" t="s">
        <v>289</v>
      </c>
      <c r="H124" t="str">
        <f>TEXT(walmart[[#This Row],[Purchase_Date]],"DDD")</f>
        <v>Sat</v>
      </c>
      <c r="I124" t="str">
        <f>TEXT(walmart[[#This Row],[Purchase_Date]],"MMM")</f>
        <v>Sep</v>
      </c>
      <c r="J124" t="str">
        <f>TEXT(walmart[[#This Row],[Purchase_Date]],"YYY")</f>
        <v>2024</v>
      </c>
      <c r="K124" s="3">
        <v>52.44</v>
      </c>
      <c r="L124" t="str">
        <f t="shared" si="5"/>
        <v>0% off</v>
      </c>
      <c r="M124" s="3">
        <f t="shared" si="6"/>
        <v>0</v>
      </c>
      <c r="N124" t="str">
        <f t="shared" si="7"/>
        <v>No</v>
      </c>
      <c r="O124" t="s">
        <v>21</v>
      </c>
      <c r="P124" s="3">
        <f t="shared" si="8"/>
        <v>52.44</v>
      </c>
      <c r="Q124" t="s">
        <v>22</v>
      </c>
      <c r="R124">
        <v>1</v>
      </c>
      <c r="S124" t="str">
        <f t="shared" si="9"/>
        <v>Very Poor</v>
      </c>
    </row>
    <row r="125" spans="1:19" x14ac:dyDescent="0.25">
      <c r="A125" t="s">
        <v>290</v>
      </c>
      <c r="B125">
        <v>45</v>
      </c>
      <c r="C125" t="s">
        <v>29</v>
      </c>
      <c r="D125" t="s">
        <v>2543</v>
      </c>
      <c r="E125" t="s">
        <v>31</v>
      </c>
      <c r="F125" t="s">
        <v>169</v>
      </c>
      <c r="G125" t="s">
        <v>291</v>
      </c>
      <c r="H125" t="str">
        <f>TEXT(walmart[[#This Row],[Purchase_Date]],"DDD")</f>
        <v>Fri</v>
      </c>
      <c r="I125" t="str">
        <f>TEXT(walmart[[#This Row],[Purchase_Date]],"MMM")</f>
        <v>Sep</v>
      </c>
      <c r="J125" t="str">
        <f>TEXT(walmart[[#This Row],[Purchase_Date]],"YYY")</f>
        <v>2024</v>
      </c>
      <c r="K125" s="3">
        <v>52.44</v>
      </c>
      <c r="L125" t="str">
        <f t="shared" si="5"/>
        <v>0% off</v>
      </c>
      <c r="M125" s="3">
        <f t="shared" si="6"/>
        <v>0</v>
      </c>
      <c r="N125" t="str">
        <f t="shared" si="7"/>
        <v>No</v>
      </c>
      <c r="O125" t="s">
        <v>21</v>
      </c>
      <c r="P125" s="3">
        <f t="shared" si="8"/>
        <v>52.44</v>
      </c>
      <c r="Q125" t="s">
        <v>27</v>
      </c>
      <c r="R125">
        <v>2</v>
      </c>
      <c r="S125" t="str">
        <f t="shared" si="9"/>
        <v>Poor</v>
      </c>
    </row>
    <row r="126" spans="1:19" x14ac:dyDescent="0.25">
      <c r="A126" t="s">
        <v>292</v>
      </c>
      <c r="B126">
        <v>61</v>
      </c>
      <c r="C126" t="s">
        <v>29</v>
      </c>
      <c r="D126" t="s">
        <v>2544</v>
      </c>
      <c r="E126" t="s">
        <v>37</v>
      </c>
      <c r="F126" t="s">
        <v>38</v>
      </c>
      <c r="G126" t="s">
        <v>293</v>
      </c>
      <c r="H126" t="str">
        <f>TEXT(walmart[[#This Row],[Purchase_Date]],"DDD")</f>
        <v>Wed</v>
      </c>
      <c r="I126" t="str">
        <f>TEXT(walmart[[#This Row],[Purchase_Date]],"MMM")</f>
        <v>May</v>
      </c>
      <c r="J126" t="str">
        <f>TEXT(walmart[[#This Row],[Purchase_Date]],"YYY")</f>
        <v>2024</v>
      </c>
      <c r="K126" s="3">
        <v>211.46</v>
      </c>
      <c r="L126" t="str">
        <f t="shared" si="5"/>
        <v>5% off</v>
      </c>
      <c r="M126" s="3">
        <f t="shared" si="6"/>
        <v>10.573</v>
      </c>
      <c r="N126" t="str">
        <f t="shared" si="7"/>
        <v>Yes</v>
      </c>
      <c r="O126" t="s">
        <v>21</v>
      </c>
      <c r="P126" s="3">
        <f t="shared" si="8"/>
        <v>200.887</v>
      </c>
      <c r="Q126" t="s">
        <v>47</v>
      </c>
      <c r="R126">
        <v>1</v>
      </c>
      <c r="S126" t="str">
        <f t="shared" si="9"/>
        <v>Very Poor</v>
      </c>
    </row>
    <row r="127" spans="1:19" x14ac:dyDescent="0.25">
      <c r="A127" t="s">
        <v>294</v>
      </c>
      <c r="B127">
        <v>54</v>
      </c>
      <c r="C127" t="s">
        <v>29</v>
      </c>
      <c r="D127" t="s">
        <v>2545</v>
      </c>
      <c r="E127" t="s">
        <v>55</v>
      </c>
      <c r="F127" t="s">
        <v>64</v>
      </c>
      <c r="G127" t="s">
        <v>295</v>
      </c>
      <c r="H127" t="str">
        <f>TEXT(walmart[[#This Row],[Purchase_Date]],"DDD")</f>
        <v>Sun</v>
      </c>
      <c r="I127" t="str">
        <f>TEXT(walmart[[#This Row],[Purchase_Date]],"MMM")</f>
        <v>Mar</v>
      </c>
      <c r="J127" t="str">
        <f>TEXT(walmart[[#This Row],[Purchase_Date]],"YYY")</f>
        <v>2025</v>
      </c>
      <c r="K127" s="3">
        <v>374.92</v>
      </c>
      <c r="L127" t="str">
        <f t="shared" si="5"/>
        <v>5% off</v>
      </c>
      <c r="M127" s="3">
        <f t="shared" si="6"/>
        <v>18.746000000000002</v>
      </c>
      <c r="N127" t="str">
        <f t="shared" si="7"/>
        <v>Yes</v>
      </c>
      <c r="O127" t="s">
        <v>21</v>
      </c>
      <c r="P127" s="3">
        <f t="shared" si="8"/>
        <v>356.17400000000004</v>
      </c>
      <c r="Q127" t="s">
        <v>35</v>
      </c>
      <c r="R127">
        <v>4</v>
      </c>
      <c r="S127" t="str">
        <f t="shared" si="9"/>
        <v>Good</v>
      </c>
    </row>
    <row r="128" spans="1:19" x14ac:dyDescent="0.25">
      <c r="A128" t="s">
        <v>296</v>
      </c>
      <c r="B128">
        <v>63</v>
      </c>
      <c r="C128" t="s">
        <v>29</v>
      </c>
      <c r="D128" t="s">
        <v>2546</v>
      </c>
      <c r="E128" t="s">
        <v>31</v>
      </c>
      <c r="F128" t="s">
        <v>32</v>
      </c>
      <c r="G128" t="s">
        <v>57</v>
      </c>
      <c r="H128" t="str">
        <f>TEXT(walmart[[#This Row],[Purchase_Date]],"DDD")</f>
        <v>Wed</v>
      </c>
      <c r="I128" t="str">
        <f>TEXT(walmart[[#This Row],[Purchase_Date]],"MMM")</f>
        <v>May</v>
      </c>
      <c r="J128" t="str">
        <f>TEXT(walmart[[#This Row],[Purchase_Date]],"YYY")</f>
        <v>2024</v>
      </c>
      <c r="K128" s="3">
        <v>493.96</v>
      </c>
      <c r="L128" t="str">
        <f t="shared" si="5"/>
        <v>5% off</v>
      </c>
      <c r="M128" s="3">
        <f t="shared" si="6"/>
        <v>24.698</v>
      </c>
      <c r="N128" t="str">
        <f t="shared" si="7"/>
        <v>Yes</v>
      </c>
      <c r="O128" t="s">
        <v>21</v>
      </c>
      <c r="P128" s="3">
        <f t="shared" si="8"/>
        <v>469.262</v>
      </c>
      <c r="Q128" t="s">
        <v>35</v>
      </c>
      <c r="R128">
        <v>5</v>
      </c>
      <c r="S128" t="str">
        <f t="shared" si="9"/>
        <v>Excellent</v>
      </c>
    </row>
    <row r="129" spans="1:19" x14ac:dyDescent="0.25">
      <c r="A129" t="s">
        <v>297</v>
      </c>
      <c r="B129">
        <v>30</v>
      </c>
      <c r="C129" t="s">
        <v>16</v>
      </c>
      <c r="D129" t="s">
        <v>2547</v>
      </c>
      <c r="E129" t="s">
        <v>42</v>
      </c>
      <c r="F129" t="s">
        <v>52</v>
      </c>
      <c r="G129" t="s">
        <v>256</v>
      </c>
      <c r="H129" t="str">
        <f>TEXT(walmart[[#This Row],[Purchase_Date]],"DDD")</f>
        <v>Sat</v>
      </c>
      <c r="I129" t="str">
        <f>TEXT(walmart[[#This Row],[Purchase_Date]],"MMM")</f>
        <v>May</v>
      </c>
      <c r="J129" t="str">
        <f>TEXT(walmart[[#This Row],[Purchase_Date]],"YYY")</f>
        <v>2024</v>
      </c>
      <c r="K129" s="3">
        <v>988.77</v>
      </c>
      <c r="L129" t="str">
        <f t="shared" si="5"/>
        <v>20% off</v>
      </c>
      <c r="M129" s="3">
        <f t="shared" si="6"/>
        <v>197.75400000000002</v>
      </c>
      <c r="N129" t="str">
        <f t="shared" si="7"/>
        <v>Yes</v>
      </c>
      <c r="O129" t="s">
        <v>21</v>
      </c>
      <c r="P129" s="3">
        <f t="shared" si="8"/>
        <v>791.01599999999996</v>
      </c>
      <c r="Q129" t="s">
        <v>22</v>
      </c>
      <c r="R129">
        <v>3</v>
      </c>
      <c r="S129" t="str">
        <f t="shared" si="9"/>
        <v>Average</v>
      </c>
    </row>
    <row r="130" spans="1:19" x14ac:dyDescent="0.25">
      <c r="A130" t="s">
        <v>298</v>
      </c>
      <c r="B130">
        <v>67</v>
      </c>
      <c r="C130" t="s">
        <v>16</v>
      </c>
      <c r="D130" t="s">
        <v>2548</v>
      </c>
      <c r="E130" t="s">
        <v>37</v>
      </c>
      <c r="F130" t="s">
        <v>82</v>
      </c>
      <c r="G130" t="s">
        <v>104</v>
      </c>
      <c r="H130" t="str">
        <f>TEXT(walmart[[#This Row],[Purchase_Date]],"DDD")</f>
        <v>Sat</v>
      </c>
      <c r="I130" t="str">
        <f>TEXT(walmart[[#This Row],[Purchase_Date]],"MMM")</f>
        <v>Mar</v>
      </c>
      <c r="J130" t="str">
        <f>TEXT(walmart[[#This Row],[Purchase_Date]],"YYY")</f>
        <v>2025</v>
      </c>
      <c r="K130" s="3">
        <v>270.41000000000003</v>
      </c>
      <c r="L130" t="str">
        <f t="shared" si="5"/>
        <v>5% off</v>
      </c>
      <c r="M130" s="3">
        <f t="shared" si="6"/>
        <v>13.520500000000002</v>
      </c>
      <c r="N130" t="str">
        <f t="shared" si="7"/>
        <v>Yes</v>
      </c>
      <c r="O130" t="s">
        <v>21</v>
      </c>
      <c r="P130" s="3">
        <f t="shared" si="8"/>
        <v>256.8895</v>
      </c>
      <c r="Q130" t="s">
        <v>35</v>
      </c>
      <c r="R130">
        <v>5</v>
      </c>
      <c r="S130" t="str">
        <f t="shared" si="9"/>
        <v>Excellent</v>
      </c>
    </row>
    <row r="131" spans="1:19" x14ac:dyDescent="0.25">
      <c r="A131" t="s">
        <v>299</v>
      </c>
      <c r="B131">
        <v>69</v>
      </c>
      <c r="C131" t="s">
        <v>29</v>
      </c>
      <c r="D131" t="s">
        <v>2549</v>
      </c>
      <c r="E131" t="s">
        <v>31</v>
      </c>
      <c r="F131" t="s">
        <v>300</v>
      </c>
      <c r="G131" t="s">
        <v>157</v>
      </c>
      <c r="H131" t="str">
        <f>TEXT(walmart[[#This Row],[Purchase_Date]],"DDD")</f>
        <v>Mon</v>
      </c>
      <c r="I131" t="str">
        <f>TEXT(walmart[[#This Row],[Purchase_Date]],"MMM")</f>
        <v>Jun</v>
      </c>
      <c r="J131" t="str">
        <f>TEXT(walmart[[#This Row],[Purchase_Date]],"YYY")</f>
        <v>2024</v>
      </c>
      <c r="K131" s="3">
        <v>340.04</v>
      </c>
      <c r="L131" t="str">
        <f t="shared" ref="L131:L194" si="10">IF(K131&lt;150,"0% off",IF(K131&lt;500,"5% off",IF(K131&lt;700,"10% off",IF(K131&lt;900,"15% off","20% off"))))</f>
        <v>5% off</v>
      </c>
      <c r="M131" s="3">
        <f t="shared" ref="M131:M194" si="11">K131 * (LEFT(L131, LEN(L131)-5) / 100)</f>
        <v>17.002000000000002</v>
      </c>
      <c r="N131" t="str">
        <f t="shared" ref="N131:N194" si="12">IF(L131="0% off", "No", "Yes")</f>
        <v>Yes</v>
      </c>
      <c r="O131" t="s">
        <v>34</v>
      </c>
      <c r="P131" s="3">
        <f t="shared" ref="P131:P194" si="13">K131-M131</f>
        <v>323.03800000000001</v>
      </c>
      <c r="Q131" t="s">
        <v>47</v>
      </c>
      <c r="R131">
        <v>1</v>
      </c>
      <c r="S131" t="str">
        <f t="shared" ref="S131:S194" si="14">IF(R131=5, "Excellent", IF(R131=4, "Good", IF(R131=3, "Average", IF(R131=2, "Poor", IF(R131=1, "Very Poor", "Invalid Rating")))))</f>
        <v>Very Poor</v>
      </c>
    </row>
    <row r="132" spans="1:19" x14ac:dyDescent="0.25">
      <c r="A132" t="s">
        <v>301</v>
      </c>
      <c r="B132">
        <v>48</v>
      </c>
      <c r="C132" t="s">
        <v>16</v>
      </c>
      <c r="D132" t="s">
        <v>2550</v>
      </c>
      <c r="E132" t="s">
        <v>31</v>
      </c>
      <c r="F132" t="s">
        <v>112</v>
      </c>
      <c r="G132" t="s">
        <v>302</v>
      </c>
      <c r="H132" t="str">
        <f>TEXT(walmart[[#This Row],[Purchase_Date]],"DDD")</f>
        <v>Sun</v>
      </c>
      <c r="I132" t="str">
        <f>TEXT(walmart[[#This Row],[Purchase_Date]],"MMM")</f>
        <v>Mar</v>
      </c>
      <c r="J132" t="str">
        <f>TEXT(walmart[[#This Row],[Purchase_Date]],"YYY")</f>
        <v>2025</v>
      </c>
      <c r="K132" s="3">
        <v>492.1</v>
      </c>
      <c r="L132" t="str">
        <f t="shared" si="10"/>
        <v>5% off</v>
      </c>
      <c r="M132" s="3">
        <f t="shared" si="11"/>
        <v>24.605000000000004</v>
      </c>
      <c r="N132" t="str">
        <f t="shared" si="12"/>
        <v>Yes</v>
      </c>
      <c r="O132" t="s">
        <v>21</v>
      </c>
      <c r="P132" s="3">
        <f t="shared" si="13"/>
        <v>467.495</v>
      </c>
      <c r="Q132" t="s">
        <v>27</v>
      </c>
      <c r="R132">
        <v>4</v>
      </c>
      <c r="S132" t="str">
        <f t="shared" si="14"/>
        <v>Good</v>
      </c>
    </row>
    <row r="133" spans="1:19" x14ac:dyDescent="0.25">
      <c r="A133" t="s">
        <v>303</v>
      </c>
      <c r="B133">
        <v>65</v>
      </c>
      <c r="C133" t="s">
        <v>29</v>
      </c>
      <c r="D133" t="s">
        <v>2551</v>
      </c>
      <c r="E133" t="s">
        <v>55</v>
      </c>
      <c r="F133" t="s">
        <v>64</v>
      </c>
      <c r="G133" t="s">
        <v>304</v>
      </c>
      <c r="H133" t="str">
        <f>TEXT(walmart[[#This Row],[Purchase_Date]],"DDD")</f>
        <v>Wed</v>
      </c>
      <c r="I133" t="str">
        <f>TEXT(walmart[[#This Row],[Purchase_Date]],"MMM")</f>
        <v>Aug</v>
      </c>
      <c r="J133" t="str">
        <f>TEXT(walmart[[#This Row],[Purchase_Date]],"YYY")</f>
        <v>2024</v>
      </c>
      <c r="K133" s="3">
        <v>374.92</v>
      </c>
      <c r="L133" t="str">
        <f t="shared" si="10"/>
        <v>5% off</v>
      </c>
      <c r="M133" s="3">
        <f t="shared" si="11"/>
        <v>18.746000000000002</v>
      </c>
      <c r="N133" t="str">
        <f t="shared" si="12"/>
        <v>Yes</v>
      </c>
      <c r="O133" t="s">
        <v>21</v>
      </c>
      <c r="P133" s="3">
        <f t="shared" si="13"/>
        <v>356.17400000000004</v>
      </c>
      <c r="Q133" t="s">
        <v>27</v>
      </c>
      <c r="R133">
        <v>3</v>
      </c>
      <c r="S133" t="str">
        <f t="shared" si="14"/>
        <v>Average</v>
      </c>
    </row>
    <row r="134" spans="1:19" x14ac:dyDescent="0.25">
      <c r="A134" t="s">
        <v>305</v>
      </c>
      <c r="B134">
        <v>30</v>
      </c>
      <c r="C134" t="s">
        <v>29</v>
      </c>
      <c r="D134" t="s">
        <v>2552</v>
      </c>
      <c r="E134" t="s">
        <v>31</v>
      </c>
      <c r="F134" t="s">
        <v>300</v>
      </c>
      <c r="G134" t="s">
        <v>306</v>
      </c>
      <c r="H134" t="str">
        <f>TEXT(walmart[[#This Row],[Purchase_Date]],"DDD")</f>
        <v>Sat</v>
      </c>
      <c r="I134" t="str">
        <f>TEXT(walmart[[#This Row],[Purchase_Date]],"MMM")</f>
        <v>Dec</v>
      </c>
      <c r="J134" t="str">
        <f>TEXT(walmart[[#This Row],[Purchase_Date]],"YYY")</f>
        <v>2024</v>
      </c>
      <c r="K134" s="3">
        <v>340.04</v>
      </c>
      <c r="L134" t="str">
        <f t="shared" si="10"/>
        <v>5% off</v>
      </c>
      <c r="M134" s="3">
        <f t="shared" si="11"/>
        <v>17.002000000000002</v>
      </c>
      <c r="N134" t="str">
        <f t="shared" si="12"/>
        <v>Yes</v>
      </c>
      <c r="O134" t="s">
        <v>34</v>
      </c>
      <c r="P134" s="3">
        <f t="shared" si="13"/>
        <v>323.03800000000001</v>
      </c>
      <c r="Q134" t="s">
        <v>22</v>
      </c>
      <c r="R134">
        <v>1</v>
      </c>
      <c r="S134" t="str">
        <f t="shared" si="14"/>
        <v>Very Poor</v>
      </c>
    </row>
    <row r="135" spans="1:19" x14ac:dyDescent="0.25">
      <c r="A135" t="s">
        <v>307</v>
      </c>
      <c r="B135">
        <v>59</v>
      </c>
      <c r="C135" t="s">
        <v>29</v>
      </c>
      <c r="D135" t="s">
        <v>2553</v>
      </c>
      <c r="E135" t="s">
        <v>24</v>
      </c>
      <c r="F135" t="s">
        <v>162</v>
      </c>
      <c r="G135" t="s">
        <v>145</v>
      </c>
      <c r="H135" t="str">
        <f>TEXT(walmart[[#This Row],[Purchase_Date]],"DDD")</f>
        <v>Mon</v>
      </c>
      <c r="I135" t="str">
        <f>TEXT(walmart[[#This Row],[Purchase_Date]],"MMM")</f>
        <v>Jun</v>
      </c>
      <c r="J135" t="str">
        <f>TEXT(walmart[[#This Row],[Purchase_Date]],"YYY")</f>
        <v>2024</v>
      </c>
      <c r="K135" s="3">
        <v>362.55</v>
      </c>
      <c r="L135" t="str">
        <f t="shared" si="10"/>
        <v>5% off</v>
      </c>
      <c r="M135" s="3">
        <f t="shared" si="11"/>
        <v>18.127500000000001</v>
      </c>
      <c r="N135" t="str">
        <f t="shared" si="12"/>
        <v>Yes</v>
      </c>
      <c r="O135" t="s">
        <v>21</v>
      </c>
      <c r="P135" s="3">
        <f t="shared" si="13"/>
        <v>344.42250000000001</v>
      </c>
      <c r="Q135" t="s">
        <v>35</v>
      </c>
      <c r="R135">
        <v>5</v>
      </c>
      <c r="S135" t="str">
        <f t="shared" si="14"/>
        <v>Excellent</v>
      </c>
    </row>
    <row r="136" spans="1:19" x14ac:dyDescent="0.25">
      <c r="A136" t="s">
        <v>308</v>
      </c>
      <c r="B136">
        <v>53</v>
      </c>
      <c r="C136" t="s">
        <v>16</v>
      </c>
      <c r="D136" t="s">
        <v>2554</v>
      </c>
      <c r="E136" t="s">
        <v>24</v>
      </c>
      <c r="F136" t="s">
        <v>209</v>
      </c>
      <c r="G136" t="s">
        <v>207</v>
      </c>
      <c r="H136" t="str">
        <f>TEXT(walmart[[#This Row],[Purchase_Date]],"DDD")</f>
        <v>Wed</v>
      </c>
      <c r="I136" t="str">
        <f>TEXT(walmart[[#This Row],[Purchase_Date]],"MMM")</f>
        <v>Aug</v>
      </c>
      <c r="J136" t="str">
        <f>TEXT(walmart[[#This Row],[Purchase_Date]],"YYY")</f>
        <v>2024</v>
      </c>
      <c r="K136" s="3">
        <v>775.75</v>
      </c>
      <c r="L136" t="str">
        <f t="shared" si="10"/>
        <v>15% off</v>
      </c>
      <c r="M136" s="3">
        <f t="shared" si="11"/>
        <v>116.3625</v>
      </c>
      <c r="N136" t="str">
        <f t="shared" si="12"/>
        <v>Yes</v>
      </c>
      <c r="O136" t="s">
        <v>34</v>
      </c>
      <c r="P136" s="3">
        <f t="shared" si="13"/>
        <v>659.38750000000005</v>
      </c>
      <c r="Q136" t="s">
        <v>47</v>
      </c>
      <c r="R136">
        <v>2</v>
      </c>
      <c r="S136" t="str">
        <f t="shared" si="14"/>
        <v>Poor</v>
      </c>
    </row>
    <row r="137" spans="1:19" x14ac:dyDescent="0.25">
      <c r="A137" t="s">
        <v>309</v>
      </c>
      <c r="B137">
        <v>35</v>
      </c>
      <c r="C137" t="s">
        <v>29</v>
      </c>
      <c r="D137" t="s">
        <v>2555</v>
      </c>
      <c r="E137" t="s">
        <v>31</v>
      </c>
      <c r="F137" t="s">
        <v>32</v>
      </c>
      <c r="G137" t="s">
        <v>183</v>
      </c>
      <c r="H137" t="str">
        <f>TEXT(walmart[[#This Row],[Purchase_Date]],"DDD")</f>
        <v>Thu</v>
      </c>
      <c r="I137" t="str">
        <f>TEXT(walmart[[#This Row],[Purchase_Date]],"MMM")</f>
        <v>May</v>
      </c>
      <c r="J137" t="str">
        <f>TEXT(walmart[[#This Row],[Purchase_Date]],"YYY")</f>
        <v>2024</v>
      </c>
      <c r="K137" s="3">
        <v>493.96</v>
      </c>
      <c r="L137" t="str">
        <f t="shared" si="10"/>
        <v>5% off</v>
      </c>
      <c r="M137" s="3">
        <f t="shared" si="11"/>
        <v>24.698</v>
      </c>
      <c r="N137" t="str">
        <f t="shared" si="12"/>
        <v>Yes</v>
      </c>
      <c r="O137" t="s">
        <v>21</v>
      </c>
      <c r="P137" s="3">
        <f t="shared" si="13"/>
        <v>469.262</v>
      </c>
      <c r="Q137" t="s">
        <v>35</v>
      </c>
      <c r="R137">
        <v>1</v>
      </c>
      <c r="S137" t="str">
        <f t="shared" si="14"/>
        <v>Very Poor</v>
      </c>
    </row>
    <row r="138" spans="1:19" x14ac:dyDescent="0.25">
      <c r="A138" t="s">
        <v>310</v>
      </c>
      <c r="B138">
        <v>41</v>
      </c>
      <c r="C138" t="s">
        <v>16</v>
      </c>
      <c r="D138" t="s">
        <v>2556</v>
      </c>
      <c r="E138" t="s">
        <v>55</v>
      </c>
      <c r="F138" t="s">
        <v>64</v>
      </c>
      <c r="G138" t="s">
        <v>311</v>
      </c>
      <c r="H138" t="str">
        <f>TEXT(walmart[[#This Row],[Purchase_Date]],"DDD")</f>
        <v>Mon</v>
      </c>
      <c r="I138" t="str">
        <f>TEXT(walmart[[#This Row],[Purchase_Date]],"MMM")</f>
        <v>Mar</v>
      </c>
      <c r="J138" t="str">
        <f>TEXT(walmart[[#This Row],[Purchase_Date]],"YYY")</f>
        <v>2025</v>
      </c>
      <c r="K138" s="3">
        <v>374.92</v>
      </c>
      <c r="L138" t="str">
        <f t="shared" si="10"/>
        <v>5% off</v>
      </c>
      <c r="M138" s="3">
        <f t="shared" si="11"/>
        <v>18.746000000000002</v>
      </c>
      <c r="N138" t="str">
        <f t="shared" si="12"/>
        <v>Yes</v>
      </c>
      <c r="O138" t="s">
        <v>34</v>
      </c>
      <c r="P138" s="3">
        <f t="shared" si="13"/>
        <v>356.17400000000004</v>
      </c>
      <c r="Q138" t="s">
        <v>47</v>
      </c>
      <c r="R138">
        <v>5</v>
      </c>
      <c r="S138" t="str">
        <f t="shared" si="14"/>
        <v>Excellent</v>
      </c>
    </row>
    <row r="139" spans="1:19" x14ac:dyDescent="0.25">
      <c r="A139" t="s">
        <v>312</v>
      </c>
      <c r="B139">
        <v>49</v>
      </c>
      <c r="C139" t="s">
        <v>16</v>
      </c>
      <c r="D139" t="s">
        <v>2557</v>
      </c>
      <c r="E139" t="s">
        <v>42</v>
      </c>
      <c r="F139" t="s">
        <v>43</v>
      </c>
      <c r="G139" t="s">
        <v>313</v>
      </c>
      <c r="H139" t="str">
        <f>TEXT(walmart[[#This Row],[Purchase_Date]],"DDD")</f>
        <v>Fri</v>
      </c>
      <c r="I139" t="str">
        <f>TEXT(walmart[[#This Row],[Purchase_Date]],"MMM")</f>
        <v>Aug</v>
      </c>
      <c r="J139" t="str">
        <f>TEXT(walmart[[#This Row],[Purchase_Date]],"YYY")</f>
        <v>2024</v>
      </c>
      <c r="K139" s="3">
        <v>512.94000000000005</v>
      </c>
      <c r="L139" t="str">
        <f t="shared" si="10"/>
        <v>10% off</v>
      </c>
      <c r="M139" s="3">
        <f t="shared" si="11"/>
        <v>51.294000000000011</v>
      </c>
      <c r="N139" t="str">
        <f t="shared" si="12"/>
        <v>Yes</v>
      </c>
      <c r="O139" t="s">
        <v>34</v>
      </c>
      <c r="P139" s="3">
        <f t="shared" si="13"/>
        <v>461.64600000000007</v>
      </c>
      <c r="Q139" t="s">
        <v>47</v>
      </c>
      <c r="R139">
        <v>4</v>
      </c>
      <c r="S139" t="str">
        <f t="shared" si="14"/>
        <v>Good</v>
      </c>
    </row>
    <row r="140" spans="1:19" x14ac:dyDescent="0.25">
      <c r="A140" t="s">
        <v>314</v>
      </c>
      <c r="B140">
        <v>38</v>
      </c>
      <c r="C140" t="s">
        <v>16</v>
      </c>
      <c r="D140" t="s">
        <v>2558</v>
      </c>
      <c r="E140" t="s">
        <v>55</v>
      </c>
      <c r="F140" t="s">
        <v>67</v>
      </c>
      <c r="G140" t="s">
        <v>315</v>
      </c>
      <c r="H140" t="str">
        <f>TEXT(walmart[[#This Row],[Purchase_Date]],"DDD")</f>
        <v>Mon</v>
      </c>
      <c r="I140" t="str">
        <f>TEXT(walmart[[#This Row],[Purchase_Date]],"MMM")</f>
        <v>Apr</v>
      </c>
      <c r="J140" t="str">
        <f>TEXT(walmart[[#This Row],[Purchase_Date]],"YYY")</f>
        <v>2024</v>
      </c>
      <c r="K140" s="3">
        <v>452.97</v>
      </c>
      <c r="L140" t="str">
        <f t="shared" si="10"/>
        <v>5% off</v>
      </c>
      <c r="M140" s="3">
        <f t="shared" si="11"/>
        <v>22.648500000000002</v>
      </c>
      <c r="N140" t="str">
        <f t="shared" si="12"/>
        <v>Yes</v>
      </c>
      <c r="O140" t="s">
        <v>34</v>
      </c>
      <c r="P140" s="3">
        <f t="shared" si="13"/>
        <v>430.32150000000001</v>
      </c>
      <c r="Q140" t="s">
        <v>27</v>
      </c>
      <c r="R140">
        <v>2</v>
      </c>
      <c r="S140" t="str">
        <f t="shared" si="14"/>
        <v>Poor</v>
      </c>
    </row>
    <row r="141" spans="1:19" x14ac:dyDescent="0.25">
      <c r="A141" t="s">
        <v>316</v>
      </c>
      <c r="B141">
        <v>25</v>
      </c>
      <c r="C141" t="s">
        <v>16</v>
      </c>
      <c r="D141" t="s">
        <v>2559</v>
      </c>
      <c r="E141" t="s">
        <v>42</v>
      </c>
      <c r="F141" t="s">
        <v>43</v>
      </c>
      <c r="G141" t="s">
        <v>317</v>
      </c>
      <c r="H141" t="str">
        <f>TEXT(walmart[[#This Row],[Purchase_Date]],"DDD")</f>
        <v>Mon</v>
      </c>
      <c r="I141" t="str">
        <f>TEXT(walmart[[#This Row],[Purchase_Date]],"MMM")</f>
        <v>Aug</v>
      </c>
      <c r="J141" t="str">
        <f>TEXT(walmart[[#This Row],[Purchase_Date]],"YYY")</f>
        <v>2024</v>
      </c>
      <c r="K141" s="3">
        <v>512.94000000000005</v>
      </c>
      <c r="L141" t="str">
        <f t="shared" si="10"/>
        <v>10% off</v>
      </c>
      <c r="M141" s="3">
        <f t="shared" si="11"/>
        <v>51.294000000000011</v>
      </c>
      <c r="N141" t="str">
        <f t="shared" si="12"/>
        <v>Yes</v>
      </c>
      <c r="O141" t="s">
        <v>21</v>
      </c>
      <c r="P141" s="3">
        <f t="shared" si="13"/>
        <v>461.64600000000007</v>
      </c>
      <c r="Q141" t="s">
        <v>27</v>
      </c>
      <c r="R141">
        <v>2</v>
      </c>
      <c r="S141" t="str">
        <f t="shared" si="14"/>
        <v>Poor</v>
      </c>
    </row>
    <row r="142" spans="1:19" x14ac:dyDescent="0.25">
      <c r="A142" t="s">
        <v>318</v>
      </c>
      <c r="B142">
        <v>38</v>
      </c>
      <c r="C142" t="s">
        <v>16</v>
      </c>
      <c r="D142" t="s">
        <v>2560</v>
      </c>
      <c r="E142" t="s">
        <v>55</v>
      </c>
      <c r="F142" t="s">
        <v>67</v>
      </c>
      <c r="G142" t="s">
        <v>319</v>
      </c>
      <c r="H142" t="str">
        <f>TEXT(walmart[[#This Row],[Purchase_Date]],"DDD")</f>
        <v>Tue</v>
      </c>
      <c r="I142" t="str">
        <f>TEXT(walmart[[#This Row],[Purchase_Date]],"MMM")</f>
        <v>May</v>
      </c>
      <c r="J142" t="str">
        <f>TEXT(walmart[[#This Row],[Purchase_Date]],"YYY")</f>
        <v>2024</v>
      </c>
      <c r="K142" s="3">
        <v>452.97</v>
      </c>
      <c r="L142" t="str">
        <f t="shared" si="10"/>
        <v>5% off</v>
      </c>
      <c r="M142" s="3">
        <f t="shared" si="11"/>
        <v>22.648500000000002</v>
      </c>
      <c r="N142" t="str">
        <f t="shared" si="12"/>
        <v>Yes</v>
      </c>
      <c r="O142" t="s">
        <v>21</v>
      </c>
      <c r="P142" s="3">
        <f t="shared" si="13"/>
        <v>430.32150000000001</v>
      </c>
      <c r="Q142" t="s">
        <v>22</v>
      </c>
      <c r="R142">
        <v>4</v>
      </c>
      <c r="S142" t="str">
        <f t="shared" si="14"/>
        <v>Good</v>
      </c>
    </row>
    <row r="143" spans="1:19" x14ac:dyDescent="0.25">
      <c r="A143" t="s">
        <v>320</v>
      </c>
      <c r="B143">
        <v>21</v>
      </c>
      <c r="C143" t="s">
        <v>16</v>
      </c>
      <c r="D143" t="s">
        <v>2561</v>
      </c>
      <c r="E143" t="s">
        <v>37</v>
      </c>
      <c r="F143" t="s">
        <v>97</v>
      </c>
      <c r="G143" t="s">
        <v>321</v>
      </c>
      <c r="H143" t="str">
        <f>TEXT(walmart[[#This Row],[Purchase_Date]],"DDD")</f>
        <v>Tue</v>
      </c>
      <c r="I143" t="str">
        <f>TEXT(walmart[[#This Row],[Purchase_Date]],"MMM")</f>
        <v>Dec</v>
      </c>
      <c r="J143" t="str">
        <f>TEXT(walmart[[#This Row],[Purchase_Date]],"YYY")</f>
        <v>2024</v>
      </c>
      <c r="K143" s="3">
        <v>855.21</v>
      </c>
      <c r="L143" t="str">
        <f t="shared" si="10"/>
        <v>15% off</v>
      </c>
      <c r="M143" s="3">
        <f t="shared" si="11"/>
        <v>128.28149999999999</v>
      </c>
      <c r="N143" t="str">
        <f t="shared" si="12"/>
        <v>Yes</v>
      </c>
      <c r="O143" t="s">
        <v>21</v>
      </c>
      <c r="P143" s="3">
        <f t="shared" si="13"/>
        <v>726.92849999999999</v>
      </c>
      <c r="Q143" t="s">
        <v>35</v>
      </c>
      <c r="R143">
        <v>2</v>
      </c>
      <c r="S143" t="str">
        <f t="shared" si="14"/>
        <v>Poor</v>
      </c>
    </row>
    <row r="144" spans="1:19" x14ac:dyDescent="0.25">
      <c r="A144" t="s">
        <v>322</v>
      </c>
      <c r="B144">
        <v>56</v>
      </c>
      <c r="C144" t="s">
        <v>16</v>
      </c>
      <c r="D144" t="s">
        <v>2501</v>
      </c>
      <c r="E144" t="s">
        <v>37</v>
      </c>
      <c r="F144" t="s">
        <v>82</v>
      </c>
      <c r="G144" t="s">
        <v>323</v>
      </c>
      <c r="H144" t="str">
        <f>TEXT(walmart[[#This Row],[Purchase_Date]],"DDD")</f>
        <v>Tue</v>
      </c>
      <c r="I144" t="str">
        <f>TEXT(walmart[[#This Row],[Purchase_Date]],"MMM")</f>
        <v>Feb</v>
      </c>
      <c r="J144" t="str">
        <f>TEXT(walmart[[#This Row],[Purchase_Date]],"YYY")</f>
        <v>2025</v>
      </c>
      <c r="K144" s="3">
        <v>270.41000000000003</v>
      </c>
      <c r="L144" t="str">
        <f t="shared" si="10"/>
        <v>5% off</v>
      </c>
      <c r="M144" s="3">
        <f t="shared" si="11"/>
        <v>13.520500000000002</v>
      </c>
      <c r="N144" t="str">
        <f t="shared" si="12"/>
        <v>Yes</v>
      </c>
      <c r="O144" t="s">
        <v>34</v>
      </c>
      <c r="P144" s="3">
        <f t="shared" si="13"/>
        <v>256.8895</v>
      </c>
      <c r="Q144" t="s">
        <v>22</v>
      </c>
      <c r="R144">
        <v>3</v>
      </c>
      <c r="S144" t="str">
        <f t="shared" si="14"/>
        <v>Average</v>
      </c>
    </row>
    <row r="145" spans="1:19" x14ac:dyDescent="0.25">
      <c r="A145" t="s">
        <v>324</v>
      </c>
      <c r="B145">
        <v>60</v>
      </c>
      <c r="C145" t="s">
        <v>16</v>
      </c>
      <c r="D145" t="s">
        <v>2504</v>
      </c>
      <c r="E145" t="s">
        <v>18</v>
      </c>
      <c r="F145" t="s">
        <v>19</v>
      </c>
      <c r="G145" t="s">
        <v>325</v>
      </c>
      <c r="H145" t="str">
        <f>TEXT(walmart[[#This Row],[Purchase_Date]],"DDD")</f>
        <v>Sat</v>
      </c>
      <c r="I145" t="str">
        <f>TEXT(walmart[[#This Row],[Purchase_Date]],"MMM")</f>
        <v>Jun</v>
      </c>
      <c r="J145" t="str">
        <f>TEXT(walmart[[#This Row],[Purchase_Date]],"YYY")</f>
        <v>2024</v>
      </c>
      <c r="K145" s="3">
        <v>697.86</v>
      </c>
      <c r="L145" t="str">
        <f t="shared" si="10"/>
        <v>10% off</v>
      </c>
      <c r="M145" s="3">
        <f t="shared" si="11"/>
        <v>69.786000000000001</v>
      </c>
      <c r="N145" t="str">
        <f t="shared" si="12"/>
        <v>Yes</v>
      </c>
      <c r="O145" t="s">
        <v>21</v>
      </c>
      <c r="P145" s="3">
        <f t="shared" si="13"/>
        <v>628.07400000000007</v>
      </c>
      <c r="Q145" t="s">
        <v>47</v>
      </c>
      <c r="R145">
        <v>1</v>
      </c>
      <c r="S145" t="str">
        <f t="shared" si="14"/>
        <v>Very Poor</v>
      </c>
    </row>
    <row r="146" spans="1:19" x14ac:dyDescent="0.25">
      <c r="A146" t="s">
        <v>326</v>
      </c>
      <c r="B146">
        <v>47</v>
      </c>
      <c r="C146" t="s">
        <v>29</v>
      </c>
      <c r="D146" t="s">
        <v>2505</v>
      </c>
      <c r="E146" t="s">
        <v>24</v>
      </c>
      <c r="F146" t="s">
        <v>25</v>
      </c>
      <c r="G146" t="s">
        <v>191</v>
      </c>
      <c r="H146" t="str">
        <f>TEXT(walmart[[#This Row],[Purchase_Date]],"DDD")</f>
        <v>Mon</v>
      </c>
      <c r="I146" t="str">
        <f>TEXT(walmart[[#This Row],[Purchase_Date]],"MMM")</f>
        <v>Apr</v>
      </c>
      <c r="J146" t="str">
        <f>TEXT(walmart[[#This Row],[Purchase_Date]],"YYY")</f>
        <v>2024</v>
      </c>
      <c r="K146" s="3">
        <v>67.040000000000006</v>
      </c>
      <c r="L146" t="str">
        <f t="shared" si="10"/>
        <v>0% off</v>
      </c>
      <c r="M146" s="3">
        <f t="shared" si="11"/>
        <v>0</v>
      </c>
      <c r="N146" t="str">
        <f t="shared" si="12"/>
        <v>No</v>
      </c>
      <c r="O146" t="s">
        <v>34</v>
      </c>
      <c r="P146" s="3">
        <f t="shared" si="13"/>
        <v>67.040000000000006</v>
      </c>
      <c r="Q146" t="s">
        <v>47</v>
      </c>
      <c r="R146">
        <v>2</v>
      </c>
      <c r="S146" t="str">
        <f t="shared" si="14"/>
        <v>Poor</v>
      </c>
    </row>
    <row r="147" spans="1:19" x14ac:dyDescent="0.25">
      <c r="A147" t="s">
        <v>327</v>
      </c>
      <c r="B147">
        <v>39</v>
      </c>
      <c r="C147" t="s">
        <v>29</v>
      </c>
      <c r="D147" t="s">
        <v>2562</v>
      </c>
      <c r="E147" t="s">
        <v>73</v>
      </c>
      <c r="F147" t="s">
        <v>91</v>
      </c>
      <c r="G147" t="s">
        <v>272</v>
      </c>
      <c r="H147" t="str">
        <f>TEXT(walmart[[#This Row],[Purchase_Date]],"DDD")</f>
        <v>Mon</v>
      </c>
      <c r="I147" t="str">
        <f>TEXT(walmart[[#This Row],[Purchase_Date]],"MMM")</f>
        <v>Jan</v>
      </c>
      <c r="J147" t="str">
        <f>TEXT(walmart[[#This Row],[Purchase_Date]],"YYY")</f>
        <v>2025</v>
      </c>
      <c r="K147" s="3">
        <v>418.55</v>
      </c>
      <c r="L147" t="str">
        <f t="shared" si="10"/>
        <v>5% off</v>
      </c>
      <c r="M147" s="3">
        <f t="shared" si="11"/>
        <v>20.927500000000002</v>
      </c>
      <c r="N147" t="str">
        <f t="shared" si="12"/>
        <v>Yes</v>
      </c>
      <c r="O147" t="s">
        <v>34</v>
      </c>
      <c r="P147" s="3">
        <f t="shared" si="13"/>
        <v>397.6225</v>
      </c>
      <c r="Q147" t="s">
        <v>35</v>
      </c>
      <c r="R147">
        <v>1</v>
      </c>
      <c r="S147" t="str">
        <f t="shared" si="14"/>
        <v>Very Poor</v>
      </c>
    </row>
    <row r="148" spans="1:19" x14ac:dyDescent="0.25">
      <c r="A148" t="s">
        <v>328</v>
      </c>
      <c r="B148">
        <v>20</v>
      </c>
      <c r="C148" t="s">
        <v>29</v>
      </c>
      <c r="D148" t="s">
        <v>2563</v>
      </c>
      <c r="E148" t="s">
        <v>31</v>
      </c>
      <c r="F148" t="s">
        <v>169</v>
      </c>
      <c r="G148" t="s">
        <v>329</v>
      </c>
      <c r="H148" t="str">
        <f>TEXT(walmart[[#This Row],[Purchase_Date]],"DDD")</f>
        <v>Fri</v>
      </c>
      <c r="I148" t="str">
        <f>TEXT(walmart[[#This Row],[Purchase_Date]],"MMM")</f>
        <v>Jan</v>
      </c>
      <c r="J148" t="str">
        <f>TEXT(walmart[[#This Row],[Purchase_Date]],"YYY")</f>
        <v>2025</v>
      </c>
      <c r="K148" s="3">
        <v>52.44</v>
      </c>
      <c r="L148" t="str">
        <f t="shared" si="10"/>
        <v>0% off</v>
      </c>
      <c r="M148" s="3">
        <f t="shared" si="11"/>
        <v>0</v>
      </c>
      <c r="N148" t="str">
        <f t="shared" si="12"/>
        <v>No</v>
      </c>
      <c r="O148" t="s">
        <v>34</v>
      </c>
      <c r="P148" s="3">
        <f t="shared" si="13"/>
        <v>52.44</v>
      </c>
      <c r="Q148" t="s">
        <v>22</v>
      </c>
      <c r="R148">
        <v>1</v>
      </c>
      <c r="S148" t="str">
        <f t="shared" si="14"/>
        <v>Very Poor</v>
      </c>
    </row>
    <row r="149" spans="1:19" x14ac:dyDescent="0.25">
      <c r="A149" t="s">
        <v>330</v>
      </c>
      <c r="B149">
        <v>35</v>
      </c>
      <c r="C149" t="s">
        <v>16</v>
      </c>
      <c r="D149" t="s">
        <v>2564</v>
      </c>
      <c r="E149" t="s">
        <v>42</v>
      </c>
      <c r="F149" t="s">
        <v>120</v>
      </c>
      <c r="G149" t="s">
        <v>149</v>
      </c>
      <c r="H149" t="str">
        <f>TEXT(walmart[[#This Row],[Purchase_Date]],"DDD")</f>
        <v>Thu</v>
      </c>
      <c r="I149" t="str">
        <f>TEXT(walmart[[#This Row],[Purchase_Date]],"MMM")</f>
        <v>Oct</v>
      </c>
      <c r="J149" t="str">
        <f>TEXT(walmart[[#This Row],[Purchase_Date]],"YYY")</f>
        <v>2024</v>
      </c>
      <c r="K149" s="3">
        <v>260.77999999999997</v>
      </c>
      <c r="L149" t="str">
        <f t="shared" si="10"/>
        <v>5% off</v>
      </c>
      <c r="M149" s="3">
        <f t="shared" si="11"/>
        <v>13.039</v>
      </c>
      <c r="N149" t="str">
        <f t="shared" si="12"/>
        <v>Yes</v>
      </c>
      <c r="O149" t="s">
        <v>21</v>
      </c>
      <c r="P149" s="3">
        <f t="shared" si="13"/>
        <v>247.74099999999999</v>
      </c>
      <c r="Q149" t="s">
        <v>22</v>
      </c>
      <c r="R149">
        <v>3</v>
      </c>
      <c r="S149" t="str">
        <f t="shared" si="14"/>
        <v>Average</v>
      </c>
    </row>
    <row r="150" spans="1:19" x14ac:dyDescent="0.25">
      <c r="A150" t="s">
        <v>331</v>
      </c>
      <c r="B150">
        <v>58</v>
      </c>
      <c r="C150" t="s">
        <v>29</v>
      </c>
      <c r="D150" t="s">
        <v>2565</v>
      </c>
      <c r="E150" t="s">
        <v>18</v>
      </c>
      <c r="F150" t="s">
        <v>19</v>
      </c>
      <c r="G150" t="s">
        <v>113</v>
      </c>
      <c r="H150" t="str">
        <f>TEXT(walmart[[#This Row],[Purchase_Date]],"DDD")</f>
        <v>Wed</v>
      </c>
      <c r="I150" t="str">
        <f>TEXT(walmart[[#This Row],[Purchase_Date]],"MMM")</f>
        <v>Nov</v>
      </c>
      <c r="J150" t="str">
        <f>TEXT(walmart[[#This Row],[Purchase_Date]],"YYY")</f>
        <v>2024</v>
      </c>
      <c r="K150" s="3">
        <v>697.86</v>
      </c>
      <c r="L150" t="str">
        <f t="shared" si="10"/>
        <v>10% off</v>
      </c>
      <c r="M150" s="3">
        <f t="shared" si="11"/>
        <v>69.786000000000001</v>
      </c>
      <c r="N150" t="str">
        <f t="shared" si="12"/>
        <v>Yes</v>
      </c>
      <c r="O150" t="s">
        <v>21</v>
      </c>
      <c r="P150" s="3">
        <f t="shared" si="13"/>
        <v>628.07400000000007</v>
      </c>
      <c r="Q150" t="s">
        <v>47</v>
      </c>
      <c r="R150">
        <v>5</v>
      </c>
      <c r="S150" t="str">
        <f t="shared" si="14"/>
        <v>Excellent</v>
      </c>
    </row>
    <row r="151" spans="1:19" x14ac:dyDescent="0.25">
      <c r="A151" t="s">
        <v>332</v>
      </c>
      <c r="B151">
        <v>67</v>
      </c>
      <c r="C151" t="s">
        <v>29</v>
      </c>
      <c r="D151" t="s">
        <v>2566</v>
      </c>
      <c r="E151" t="s">
        <v>42</v>
      </c>
      <c r="F151" t="s">
        <v>120</v>
      </c>
      <c r="G151" t="s">
        <v>333</v>
      </c>
      <c r="H151" t="str">
        <f>TEXT(walmart[[#This Row],[Purchase_Date]],"DDD")</f>
        <v>Sat</v>
      </c>
      <c r="I151" t="str">
        <f>TEXT(walmart[[#This Row],[Purchase_Date]],"MMM")</f>
        <v>Jul</v>
      </c>
      <c r="J151" t="str">
        <f>TEXT(walmart[[#This Row],[Purchase_Date]],"YYY")</f>
        <v>2024</v>
      </c>
      <c r="K151" s="3">
        <v>260.77999999999997</v>
      </c>
      <c r="L151" t="str">
        <f t="shared" si="10"/>
        <v>5% off</v>
      </c>
      <c r="M151" s="3">
        <f t="shared" si="11"/>
        <v>13.039</v>
      </c>
      <c r="N151" t="str">
        <f t="shared" si="12"/>
        <v>Yes</v>
      </c>
      <c r="O151" t="s">
        <v>21</v>
      </c>
      <c r="P151" s="3">
        <f t="shared" si="13"/>
        <v>247.74099999999999</v>
      </c>
      <c r="Q151" t="s">
        <v>22</v>
      </c>
      <c r="R151">
        <v>1</v>
      </c>
      <c r="S151" t="str">
        <f t="shared" si="14"/>
        <v>Very Poor</v>
      </c>
    </row>
    <row r="152" spans="1:19" x14ac:dyDescent="0.25">
      <c r="A152" t="s">
        <v>334</v>
      </c>
      <c r="B152">
        <v>33</v>
      </c>
      <c r="C152" t="s">
        <v>29</v>
      </c>
      <c r="D152" t="s">
        <v>2433</v>
      </c>
      <c r="E152" t="s">
        <v>42</v>
      </c>
      <c r="F152" t="s">
        <v>52</v>
      </c>
      <c r="G152" t="s">
        <v>101</v>
      </c>
      <c r="H152" t="str">
        <f>TEXT(walmart[[#This Row],[Purchase_Date]],"DDD")</f>
        <v>Mon</v>
      </c>
      <c r="I152" t="str">
        <f>TEXT(walmart[[#This Row],[Purchase_Date]],"MMM")</f>
        <v>Feb</v>
      </c>
      <c r="J152" t="str">
        <f>TEXT(walmart[[#This Row],[Purchase_Date]],"YYY")</f>
        <v>2025</v>
      </c>
      <c r="K152" s="3">
        <v>988.77</v>
      </c>
      <c r="L152" t="str">
        <f t="shared" si="10"/>
        <v>20% off</v>
      </c>
      <c r="M152" s="3">
        <f t="shared" si="11"/>
        <v>197.75400000000002</v>
      </c>
      <c r="N152" t="str">
        <f t="shared" si="12"/>
        <v>Yes</v>
      </c>
      <c r="O152" t="s">
        <v>34</v>
      </c>
      <c r="P152" s="3">
        <f t="shared" si="13"/>
        <v>791.01599999999996</v>
      </c>
      <c r="Q152" t="s">
        <v>22</v>
      </c>
      <c r="R152">
        <v>3</v>
      </c>
      <c r="S152" t="str">
        <f t="shared" si="14"/>
        <v>Average</v>
      </c>
    </row>
    <row r="153" spans="1:19" x14ac:dyDescent="0.25">
      <c r="A153" t="s">
        <v>335</v>
      </c>
      <c r="B153">
        <v>40</v>
      </c>
      <c r="C153" t="s">
        <v>16</v>
      </c>
      <c r="D153" t="s">
        <v>49</v>
      </c>
      <c r="E153" t="s">
        <v>42</v>
      </c>
      <c r="F153" t="s">
        <v>52</v>
      </c>
      <c r="G153" t="s">
        <v>336</v>
      </c>
      <c r="H153" t="str">
        <f>TEXT(walmart[[#This Row],[Purchase_Date]],"DDD")</f>
        <v>Mon</v>
      </c>
      <c r="I153" t="str">
        <f>TEXT(walmart[[#This Row],[Purchase_Date]],"MMM")</f>
        <v>Jul</v>
      </c>
      <c r="J153" t="str">
        <f>TEXT(walmart[[#This Row],[Purchase_Date]],"YYY")</f>
        <v>2024</v>
      </c>
      <c r="K153" s="3">
        <v>988.77</v>
      </c>
      <c r="L153" t="str">
        <f t="shared" si="10"/>
        <v>20% off</v>
      </c>
      <c r="M153" s="3">
        <f t="shared" si="11"/>
        <v>197.75400000000002</v>
      </c>
      <c r="N153" t="str">
        <f t="shared" si="12"/>
        <v>Yes</v>
      </c>
      <c r="O153" t="s">
        <v>21</v>
      </c>
      <c r="P153" s="3">
        <f t="shared" si="13"/>
        <v>791.01599999999996</v>
      </c>
      <c r="Q153" t="s">
        <v>35</v>
      </c>
      <c r="R153">
        <v>3</v>
      </c>
      <c r="S153" t="str">
        <f t="shared" si="14"/>
        <v>Average</v>
      </c>
    </row>
    <row r="154" spans="1:19" x14ac:dyDescent="0.25">
      <c r="A154" t="s">
        <v>337</v>
      </c>
      <c r="B154">
        <v>41</v>
      </c>
      <c r="C154" t="s">
        <v>29</v>
      </c>
      <c r="D154" t="s">
        <v>30</v>
      </c>
      <c r="E154" t="s">
        <v>37</v>
      </c>
      <c r="F154" t="s">
        <v>82</v>
      </c>
      <c r="G154" t="s">
        <v>338</v>
      </c>
      <c r="H154" t="str">
        <f>TEXT(walmart[[#This Row],[Purchase_Date]],"DDD")</f>
        <v>Tue</v>
      </c>
      <c r="I154" t="str">
        <f>TEXT(walmart[[#This Row],[Purchase_Date]],"MMM")</f>
        <v>Oct</v>
      </c>
      <c r="J154" t="str">
        <f>TEXT(walmart[[#This Row],[Purchase_Date]],"YYY")</f>
        <v>2024</v>
      </c>
      <c r="K154" s="3">
        <v>270.41000000000003</v>
      </c>
      <c r="L154" t="str">
        <f t="shared" si="10"/>
        <v>5% off</v>
      </c>
      <c r="M154" s="3">
        <f t="shared" si="11"/>
        <v>13.520500000000002</v>
      </c>
      <c r="N154" t="str">
        <f t="shared" si="12"/>
        <v>Yes</v>
      </c>
      <c r="O154" t="s">
        <v>21</v>
      </c>
      <c r="P154" s="3">
        <f t="shared" si="13"/>
        <v>256.8895</v>
      </c>
      <c r="Q154" t="s">
        <v>35</v>
      </c>
      <c r="R154">
        <v>3</v>
      </c>
      <c r="S154" t="str">
        <f t="shared" si="14"/>
        <v>Average</v>
      </c>
    </row>
    <row r="155" spans="1:19" x14ac:dyDescent="0.25">
      <c r="A155" t="s">
        <v>339</v>
      </c>
      <c r="B155">
        <v>18</v>
      </c>
      <c r="C155" t="s">
        <v>29</v>
      </c>
      <c r="D155" t="s">
        <v>41</v>
      </c>
      <c r="E155" t="s">
        <v>55</v>
      </c>
      <c r="F155" t="s">
        <v>64</v>
      </c>
      <c r="G155" t="s">
        <v>340</v>
      </c>
      <c r="H155" t="str">
        <f>TEXT(walmart[[#This Row],[Purchase_Date]],"DDD")</f>
        <v>Thu</v>
      </c>
      <c r="I155" t="str">
        <f>TEXT(walmart[[#This Row],[Purchase_Date]],"MMM")</f>
        <v>Jun</v>
      </c>
      <c r="J155" t="str">
        <f>TEXT(walmart[[#This Row],[Purchase_Date]],"YYY")</f>
        <v>2024</v>
      </c>
      <c r="K155" s="3">
        <v>374.92</v>
      </c>
      <c r="L155" t="str">
        <f t="shared" si="10"/>
        <v>5% off</v>
      </c>
      <c r="M155" s="3">
        <f t="shared" si="11"/>
        <v>18.746000000000002</v>
      </c>
      <c r="N155" t="str">
        <f t="shared" si="12"/>
        <v>Yes</v>
      </c>
      <c r="O155" t="s">
        <v>21</v>
      </c>
      <c r="P155" s="3">
        <f t="shared" si="13"/>
        <v>356.17400000000004</v>
      </c>
      <c r="Q155" t="s">
        <v>47</v>
      </c>
      <c r="R155">
        <v>5</v>
      </c>
      <c r="S155" t="str">
        <f t="shared" si="14"/>
        <v>Excellent</v>
      </c>
    </row>
    <row r="156" spans="1:19" x14ac:dyDescent="0.25">
      <c r="A156" t="s">
        <v>341</v>
      </c>
      <c r="B156">
        <v>47</v>
      </c>
      <c r="C156" t="s">
        <v>16</v>
      </c>
      <c r="D156" t="s">
        <v>2434</v>
      </c>
      <c r="E156" t="s">
        <v>73</v>
      </c>
      <c r="F156" t="s">
        <v>94</v>
      </c>
      <c r="G156" t="s">
        <v>342</v>
      </c>
      <c r="H156" t="str">
        <f>TEXT(walmart[[#This Row],[Purchase_Date]],"DDD")</f>
        <v>Mon</v>
      </c>
      <c r="I156" t="str">
        <f>TEXT(walmart[[#This Row],[Purchase_Date]],"MMM")</f>
        <v>Apr</v>
      </c>
      <c r="J156" t="str">
        <f>TEXT(walmart[[#This Row],[Purchase_Date]],"YYY")</f>
        <v>2024</v>
      </c>
      <c r="K156" s="3">
        <v>965.09</v>
      </c>
      <c r="L156" t="str">
        <f t="shared" si="10"/>
        <v>20% off</v>
      </c>
      <c r="M156" s="3">
        <f t="shared" si="11"/>
        <v>193.01800000000003</v>
      </c>
      <c r="N156" t="str">
        <f t="shared" si="12"/>
        <v>Yes</v>
      </c>
      <c r="O156" t="s">
        <v>34</v>
      </c>
      <c r="P156" s="3">
        <f t="shared" si="13"/>
        <v>772.072</v>
      </c>
      <c r="Q156" t="s">
        <v>47</v>
      </c>
      <c r="R156">
        <v>2</v>
      </c>
      <c r="S156" t="str">
        <f t="shared" si="14"/>
        <v>Poor</v>
      </c>
    </row>
    <row r="157" spans="1:19" x14ac:dyDescent="0.25">
      <c r="A157" t="s">
        <v>343</v>
      </c>
      <c r="B157">
        <v>50</v>
      </c>
      <c r="C157" t="s">
        <v>29</v>
      </c>
      <c r="D157" t="s">
        <v>2435</v>
      </c>
      <c r="E157" t="s">
        <v>18</v>
      </c>
      <c r="F157" t="s">
        <v>77</v>
      </c>
      <c r="G157" t="s">
        <v>344</v>
      </c>
      <c r="H157" t="str">
        <f>TEXT(walmart[[#This Row],[Purchase_Date]],"DDD")</f>
        <v>Fri</v>
      </c>
      <c r="I157" t="str">
        <f>TEXT(walmart[[#This Row],[Purchase_Date]],"MMM")</f>
        <v>Oct</v>
      </c>
      <c r="J157" t="str">
        <f>TEXT(walmart[[#This Row],[Purchase_Date]],"YYY")</f>
        <v>2024</v>
      </c>
      <c r="K157" s="3">
        <v>116.78</v>
      </c>
      <c r="L157" t="str">
        <f t="shared" si="10"/>
        <v>0% off</v>
      </c>
      <c r="M157" s="3">
        <f t="shared" si="11"/>
        <v>0</v>
      </c>
      <c r="N157" t="str">
        <f t="shared" si="12"/>
        <v>No</v>
      </c>
      <c r="O157" t="s">
        <v>34</v>
      </c>
      <c r="P157" s="3">
        <f t="shared" si="13"/>
        <v>116.78</v>
      </c>
      <c r="Q157" t="s">
        <v>35</v>
      </c>
      <c r="R157">
        <v>1</v>
      </c>
      <c r="S157" t="str">
        <f t="shared" si="14"/>
        <v>Very Poor</v>
      </c>
    </row>
    <row r="158" spans="1:19" x14ac:dyDescent="0.25">
      <c r="A158" t="s">
        <v>345</v>
      </c>
      <c r="B158">
        <v>51</v>
      </c>
      <c r="C158" t="s">
        <v>16</v>
      </c>
      <c r="D158" t="s">
        <v>2436</v>
      </c>
      <c r="E158" t="s">
        <v>24</v>
      </c>
      <c r="F158" t="s">
        <v>25</v>
      </c>
      <c r="G158" t="s">
        <v>346</v>
      </c>
      <c r="H158" t="str">
        <f>TEXT(walmart[[#This Row],[Purchase_Date]],"DDD")</f>
        <v>Fri</v>
      </c>
      <c r="I158" t="str">
        <f>TEXT(walmart[[#This Row],[Purchase_Date]],"MMM")</f>
        <v>Aug</v>
      </c>
      <c r="J158" t="str">
        <f>TEXT(walmart[[#This Row],[Purchase_Date]],"YYY")</f>
        <v>2024</v>
      </c>
      <c r="K158" s="3">
        <v>67.040000000000006</v>
      </c>
      <c r="L158" t="str">
        <f t="shared" si="10"/>
        <v>0% off</v>
      </c>
      <c r="M158" s="3">
        <f t="shared" si="11"/>
        <v>0</v>
      </c>
      <c r="N158" t="str">
        <f t="shared" si="12"/>
        <v>No</v>
      </c>
      <c r="O158" t="s">
        <v>34</v>
      </c>
      <c r="P158" s="3">
        <f t="shared" si="13"/>
        <v>67.040000000000006</v>
      </c>
      <c r="Q158" t="s">
        <v>47</v>
      </c>
      <c r="R158">
        <v>1</v>
      </c>
      <c r="S158" t="str">
        <f t="shared" si="14"/>
        <v>Very Poor</v>
      </c>
    </row>
    <row r="159" spans="1:19" x14ac:dyDescent="0.25">
      <c r="A159" t="s">
        <v>347</v>
      </c>
      <c r="B159">
        <v>68</v>
      </c>
      <c r="C159" t="s">
        <v>29</v>
      </c>
      <c r="D159" t="s">
        <v>2437</v>
      </c>
      <c r="E159" t="s">
        <v>24</v>
      </c>
      <c r="F159" t="s">
        <v>25</v>
      </c>
      <c r="G159" t="s">
        <v>33</v>
      </c>
      <c r="H159" t="str">
        <f>TEXT(walmart[[#This Row],[Purchase_Date]],"DDD")</f>
        <v>Sat</v>
      </c>
      <c r="I159" t="str">
        <f>TEXT(walmart[[#This Row],[Purchase_Date]],"MMM")</f>
        <v>Jul</v>
      </c>
      <c r="J159" t="str">
        <f>TEXT(walmart[[#This Row],[Purchase_Date]],"YYY")</f>
        <v>2024</v>
      </c>
      <c r="K159" s="3">
        <v>67.040000000000006</v>
      </c>
      <c r="L159" t="str">
        <f t="shared" si="10"/>
        <v>0% off</v>
      </c>
      <c r="M159" s="3">
        <f t="shared" si="11"/>
        <v>0</v>
      </c>
      <c r="N159" t="str">
        <f t="shared" si="12"/>
        <v>No</v>
      </c>
      <c r="O159" t="s">
        <v>34</v>
      </c>
      <c r="P159" s="3">
        <f t="shared" si="13"/>
        <v>67.040000000000006</v>
      </c>
      <c r="Q159" t="s">
        <v>22</v>
      </c>
      <c r="R159">
        <v>3</v>
      </c>
      <c r="S159" t="str">
        <f t="shared" si="14"/>
        <v>Average</v>
      </c>
    </row>
    <row r="160" spans="1:19" x14ac:dyDescent="0.25">
      <c r="A160" t="s">
        <v>348</v>
      </c>
      <c r="B160">
        <v>61</v>
      </c>
      <c r="C160" t="s">
        <v>16</v>
      </c>
      <c r="D160" t="s">
        <v>2438</v>
      </c>
      <c r="E160" t="s">
        <v>31</v>
      </c>
      <c r="F160" t="s">
        <v>112</v>
      </c>
      <c r="G160" t="s">
        <v>349</v>
      </c>
      <c r="H160" t="str">
        <f>TEXT(walmart[[#This Row],[Purchase_Date]],"DDD")</f>
        <v>Thu</v>
      </c>
      <c r="I160" t="str">
        <f>TEXT(walmart[[#This Row],[Purchase_Date]],"MMM")</f>
        <v>Dec</v>
      </c>
      <c r="J160" t="str">
        <f>TEXT(walmart[[#This Row],[Purchase_Date]],"YYY")</f>
        <v>2024</v>
      </c>
      <c r="K160" s="3">
        <v>492.1</v>
      </c>
      <c r="L160" t="str">
        <f t="shared" si="10"/>
        <v>5% off</v>
      </c>
      <c r="M160" s="3">
        <f t="shared" si="11"/>
        <v>24.605000000000004</v>
      </c>
      <c r="N160" t="str">
        <f t="shared" si="12"/>
        <v>Yes</v>
      </c>
      <c r="O160" t="s">
        <v>34</v>
      </c>
      <c r="P160" s="3">
        <f t="shared" si="13"/>
        <v>467.495</v>
      </c>
      <c r="Q160" t="s">
        <v>22</v>
      </c>
      <c r="R160">
        <v>5</v>
      </c>
      <c r="S160" t="str">
        <f t="shared" si="14"/>
        <v>Excellent</v>
      </c>
    </row>
    <row r="161" spans="1:19" x14ac:dyDescent="0.25">
      <c r="A161" t="s">
        <v>350</v>
      </c>
      <c r="B161">
        <v>30</v>
      </c>
      <c r="C161" t="s">
        <v>29</v>
      </c>
      <c r="D161" t="s">
        <v>2439</v>
      </c>
      <c r="E161" t="s">
        <v>31</v>
      </c>
      <c r="F161" t="s">
        <v>300</v>
      </c>
      <c r="G161" t="s">
        <v>351</v>
      </c>
      <c r="H161" t="str">
        <f>TEXT(walmart[[#This Row],[Purchase_Date]],"DDD")</f>
        <v>Tue</v>
      </c>
      <c r="I161" t="str">
        <f>TEXT(walmart[[#This Row],[Purchase_Date]],"MMM")</f>
        <v>Apr</v>
      </c>
      <c r="J161" t="str">
        <f>TEXT(walmart[[#This Row],[Purchase_Date]],"YYY")</f>
        <v>2024</v>
      </c>
      <c r="K161" s="3">
        <v>340.04</v>
      </c>
      <c r="L161" t="str">
        <f t="shared" si="10"/>
        <v>5% off</v>
      </c>
      <c r="M161" s="3">
        <f t="shared" si="11"/>
        <v>17.002000000000002</v>
      </c>
      <c r="N161" t="str">
        <f t="shared" si="12"/>
        <v>Yes</v>
      </c>
      <c r="O161" t="s">
        <v>21</v>
      </c>
      <c r="P161" s="3">
        <f t="shared" si="13"/>
        <v>323.03800000000001</v>
      </c>
      <c r="Q161" t="s">
        <v>47</v>
      </c>
      <c r="R161">
        <v>4</v>
      </c>
      <c r="S161" t="str">
        <f t="shared" si="14"/>
        <v>Good</v>
      </c>
    </row>
    <row r="162" spans="1:19" x14ac:dyDescent="0.25">
      <c r="A162" t="s">
        <v>352</v>
      </c>
      <c r="B162">
        <v>20</v>
      </c>
      <c r="C162" t="s">
        <v>29</v>
      </c>
      <c r="D162" t="s">
        <v>2440</v>
      </c>
      <c r="E162" t="s">
        <v>31</v>
      </c>
      <c r="F162" t="s">
        <v>300</v>
      </c>
      <c r="G162" t="s">
        <v>353</v>
      </c>
      <c r="H162" t="str">
        <f>TEXT(walmart[[#This Row],[Purchase_Date]],"DDD")</f>
        <v>Tue</v>
      </c>
      <c r="I162" t="str">
        <f>TEXT(walmart[[#This Row],[Purchase_Date]],"MMM")</f>
        <v>Jul</v>
      </c>
      <c r="J162" t="str">
        <f>TEXT(walmart[[#This Row],[Purchase_Date]],"YYY")</f>
        <v>2024</v>
      </c>
      <c r="K162" s="3">
        <v>340.04</v>
      </c>
      <c r="L162" t="str">
        <f t="shared" si="10"/>
        <v>5% off</v>
      </c>
      <c r="M162" s="3">
        <f t="shared" si="11"/>
        <v>17.002000000000002</v>
      </c>
      <c r="N162" t="str">
        <f t="shared" si="12"/>
        <v>Yes</v>
      </c>
      <c r="O162" t="s">
        <v>21</v>
      </c>
      <c r="P162" s="3">
        <f t="shared" si="13"/>
        <v>323.03800000000001</v>
      </c>
      <c r="Q162" t="s">
        <v>47</v>
      </c>
      <c r="R162">
        <v>3</v>
      </c>
      <c r="S162" t="str">
        <f t="shared" si="14"/>
        <v>Average</v>
      </c>
    </row>
    <row r="163" spans="1:19" x14ac:dyDescent="0.25">
      <c r="A163" t="s">
        <v>354</v>
      </c>
      <c r="B163">
        <v>58</v>
      </c>
      <c r="C163" t="s">
        <v>16</v>
      </c>
      <c r="D163" t="s">
        <v>2441</v>
      </c>
      <c r="E163" t="s">
        <v>37</v>
      </c>
      <c r="F163" t="s">
        <v>38</v>
      </c>
      <c r="G163" t="s">
        <v>355</v>
      </c>
      <c r="H163" t="str">
        <f>TEXT(walmart[[#This Row],[Purchase_Date]],"DDD")</f>
        <v>Fri</v>
      </c>
      <c r="I163" t="str">
        <f>TEXT(walmart[[#This Row],[Purchase_Date]],"MMM")</f>
        <v>Nov</v>
      </c>
      <c r="J163" t="str">
        <f>TEXT(walmart[[#This Row],[Purchase_Date]],"YYY")</f>
        <v>2024</v>
      </c>
      <c r="K163" s="3">
        <v>211.46</v>
      </c>
      <c r="L163" t="str">
        <f t="shared" si="10"/>
        <v>5% off</v>
      </c>
      <c r="M163" s="3">
        <f t="shared" si="11"/>
        <v>10.573</v>
      </c>
      <c r="N163" t="str">
        <f t="shared" si="12"/>
        <v>Yes</v>
      </c>
      <c r="O163" t="s">
        <v>21</v>
      </c>
      <c r="P163" s="3">
        <f t="shared" si="13"/>
        <v>200.887</v>
      </c>
      <c r="Q163" t="s">
        <v>22</v>
      </c>
      <c r="R163">
        <v>4</v>
      </c>
      <c r="S163" t="str">
        <f t="shared" si="14"/>
        <v>Good</v>
      </c>
    </row>
    <row r="164" spans="1:19" x14ac:dyDescent="0.25">
      <c r="A164" t="s">
        <v>356</v>
      </c>
      <c r="B164">
        <v>50</v>
      </c>
      <c r="C164" t="s">
        <v>16</v>
      </c>
      <c r="D164" t="s">
        <v>17</v>
      </c>
      <c r="E164" t="s">
        <v>42</v>
      </c>
      <c r="F164" t="s">
        <v>103</v>
      </c>
      <c r="G164" t="s">
        <v>357</v>
      </c>
      <c r="H164" t="str">
        <f>TEXT(walmart[[#This Row],[Purchase_Date]],"DDD")</f>
        <v>Fri</v>
      </c>
      <c r="I164" t="str">
        <f>TEXT(walmart[[#This Row],[Purchase_Date]],"MMM")</f>
        <v>Nov</v>
      </c>
      <c r="J164" t="str">
        <f>TEXT(walmart[[#This Row],[Purchase_Date]],"YYY")</f>
        <v>2024</v>
      </c>
      <c r="K164" s="3">
        <v>315.56</v>
      </c>
      <c r="L164" t="str">
        <f t="shared" si="10"/>
        <v>5% off</v>
      </c>
      <c r="M164" s="3">
        <f t="shared" si="11"/>
        <v>15.778</v>
      </c>
      <c r="N164" t="str">
        <f t="shared" si="12"/>
        <v>Yes</v>
      </c>
      <c r="O164" t="s">
        <v>34</v>
      </c>
      <c r="P164" s="3">
        <f t="shared" si="13"/>
        <v>299.78199999999998</v>
      </c>
      <c r="Q164" t="s">
        <v>22</v>
      </c>
      <c r="R164">
        <v>2</v>
      </c>
      <c r="S164" t="str">
        <f t="shared" si="14"/>
        <v>Poor</v>
      </c>
    </row>
    <row r="165" spans="1:19" x14ac:dyDescent="0.25">
      <c r="A165" t="s">
        <v>358</v>
      </c>
      <c r="B165">
        <v>38</v>
      </c>
      <c r="C165" t="s">
        <v>29</v>
      </c>
      <c r="D165" t="s">
        <v>2442</v>
      </c>
      <c r="E165" t="s">
        <v>31</v>
      </c>
      <c r="F165" t="s">
        <v>169</v>
      </c>
      <c r="G165" t="s">
        <v>246</v>
      </c>
      <c r="H165" t="str">
        <f>TEXT(walmart[[#This Row],[Purchase_Date]],"DDD")</f>
        <v>Tue</v>
      </c>
      <c r="I165" t="str">
        <f>TEXT(walmart[[#This Row],[Purchase_Date]],"MMM")</f>
        <v>Apr</v>
      </c>
      <c r="J165" t="str">
        <f>TEXT(walmart[[#This Row],[Purchase_Date]],"YYY")</f>
        <v>2024</v>
      </c>
      <c r="K165" s="3">
        <v>52.44</v>
      </c>
      <c r="L165" t="str">
        <f t="shared" si="10"/>
        <v>0% off</v>
      </c>
      <c r="M165" s="3">
        <f t="shared" si="11"/>
        <v>0</v>
      </c>
      <c r="N165" t="str">
        <f t="shared" si="12"/>
        <v>No</v>
      </c>
      <c r="O165" t="s">
        <v>34</v>
      </c>
      <c r="P165" s="3">
        <f t="shared" si="13"/>
        <v>52.44</v>
      </c>
      <c r="Q165" t="s">
        <v>35</v>
      </c>
      <c r="R165">
        <v>5</v>
      </c>
      <c r="S165" t="str">
        <f t="shared" si="14"/>
        <v>Excellent</v>
      </c>
    </row>
    <row r="166" spans="1:19" x14ac:dyDescent="0.25">
      <c r="A166" t="s">
        <v>359</v>
      </c>
      <c r="B166">
        <v>63</v>
      </c>
      <c r="C166" t="s">
        <v>16</v>
      </c>
      <c r="D166" t="s">
        <v>2443</v>
      </c>
      <c r="E166" t="s">
        <v>42</v>
      </c>
      <c r="F166" t="s">
        <v>120</v>
      </c>
      <c r="G166" t="s">
        <v>231</v>
      </c>
      <c r="H166" t="str">
        <f>TEXT(walmart[[#This Row],[Purchase_Date]],"DDD")</f>
        <v>Thu</v>
      </c>
      <c r="I166" t="str">
        <f>TEXT(walmart[[#This Row],[Purchase_Date]],"MMM")</f>
        <v>Oct</v>
      </c>
      <c r="J166" t="str">
        <f>TEXT(walmart[[#This Row],[Purchase_Date]],"YYY")</f>
        <v>2024</v>
      </c>
      <c r="K166" s="3">
        <v>260.77999999999997</v>
      </c>
      <c r="L166" t="str">
        <f t="shared" si="10"/>
        <v>5% off</v>
      </c>
      <c r="M166" s="3">
        <f t="shared" si="11"/>
        <v>13.039</v>
      </c>
      <c r="N166" t="str">
        <f t="shared" si="12"/>
        <v>Yes</v>
      </c>
      <c r="O166" t="s">
        <v>21</v>
      </c>
      <c r="P166" s="3">
        <f t="shared" si="13"/>
        <v>247.74099999999999</v>
      </c>
      <c r="Q166" t="s">
        <v>22</v>
      </c>
      <c r="R166">
        <v>2</v>
      </c>
      <c r="S166" t="str">
        <f t="shared" si="14"/>
        <v>Poor</v>
      </c>
    </row>
    <row r="167" spans="1:19" x14ac:dyDescent="0.25">
      <c r="A167" t="s">
        <v>360</v>
      </c>
      <c r="B167">
        <v>60</v>
      </c>
      <c r="C167" t="s">
        <v>16</v>
      </c>
      <c r="D167" t="s">
        <v>2444</v>
      </c>
      <c r="E167" t="s">
        <v>18</v>
      </c>
      <c r="F167" t="s">
        <v>142</v>
      </c>
      <c r="G167" t="s">
        <v>361</v>
      </c>
      <c r="H167" t="str">
        <f>TEXT(walmart[[#This Row],[Purchase_Date]],"DDD")</f>
        <v>Sat</v>
      </c>
      <c r="I167" t="str">
        <f>TEXT(walmart[[#This Row],[Purchase_Date]],"MMM")</f>
        <v>Jul</v>
      </c>
      <c r="J167" t="str">
        <f>TEXT(walmart[[#This Row],[Purchase_Date]],"YYY")</f>
        <v>2024</v>
      </c>
      <c r="K167" s="3">
        <v>485.26</v>
      </c>
      <c r="L167" t="str">
        <f t="shared" si="10"/>
        <v>5% off</v>
      </c>
      <c r="M167" s="3">
        <f t="shared" si="11"/>
        <v>24.263000000000002</v>
      </c>
      <c r="N167" t="str">
        <f t="shared" si="12"/>
        <v>Yes</v>
      </c>
      <c r="O167" t="s">
        <v>21</v>
      </c>
      <c r="P167" s="3">
        <f t="shared" si="13"/>
        <v>460.99700000000001</v>
      </c>
      <c r="Q167" t="s">
        <v>22</v>
      </c>
      <c r="R167">
        <v>3</v>
      </c>
      <c r="S167" t="str">
        <f t="shared" si="14"/>
        <v>Average</v>
      </c>
    </row>
    <row r="168" spans="1:19" x14ac:dyDescent="0.25">
      <c r="A168" t="s">
        <v>362</v>
      </c>
      <c r="B168">
        <v>65</v>
      </c>
      <c r="C168" t="s">
        <v>16</v>
      </c>
      <c r="D168" t="s">
        <v>2445</v>
      </c>
      <c r="E168" t="s">
        <v>31</v>
      </c>
      <c r="F168" t="s">
        <v>300</v>
      </c>
      <c r="G168" t="s">
        <v>363</v>
      </c>
      <c r="H168" t="str">
        <f>TEXT(walmart[[#This Row],[Purchase_Date]],"DDD")</f>
        <v>Tue</v>
      </c>
      <c r="I168" t="str">
        <f>TEXT(walmart[[#This Row],[Purchase_Date]],"MMM")</f>
        <v>Aug</v>
      </c>
      <c r="J168" t="str">
        <f>TEXT(walmart[[#This Row],[Purchase_Date]],"YYY")</f>
        <v>2024</v>
      </c>
      <c r="K168" s="3">
        <v>340.04</v>
      </c>
      <c r="L168" t="str">
        <f t="shared" si="10"/>
        <v>5% off</v>
      </c>
      <c r="M168" s="3">
        <f t="shared" si="11"/>
        <v>17.002000000000002</v>
      </c>
      <c r="N168" t="str">
        <f t="shared" si="12"/>
        <v>Yes</v>
      </c>
      <c r="O168" t="s">
        <v>21</v>
      </c>
      <c r="P168" s="3">
        <f t="shared" si="13"/>
        <v>323.03800000000001</v>
      </c>
      <c r="Q168" t="s">
        <v>47</v>
      </c>
      <c r="R168">
        <v>4</v>
      </c>
      <c r="S168" t="str">
        <f t="shared" si="14"/>
        <v>Good</v>
      </c>
    </row>
    <row r="169" spans="1:19" x14ac:dyDescent="0.25">
      <c r="A169" t="s">
        <v>364</v>
      </c>
      <c r="B169">
        <v>27</v>
      </c>
      <c r="C169" t="s">
        <v>16</v>
      </c>
      <c r="D169" t="s">
        <v>2446</v>
      </c>
      <c r="E169" t="s">
        <v>18</v>
      </c>
      <c r="F169" t="s">
        <v>59</v>
      </c>
      <c r="G169" t="s">
        <v>340</v>
      </c>
      <c r="H169" t="str">
        <f>TEXT(walmart[[#This Row],[Purchase_Date]],"DDD")</f>
        <v>Thu</v>
      </c>
      <c r="I169" t="str">
        <f>TEXT(walmart[[#This Row],[Purchase_Date]],"MMM")</f>
        <v>Jun</v>
      </c>
      <c r="J169" t="str">
        <f>TEXT(walmart[[#This Row],[Purchase_Date]],"YYY")</f>
        <v>2024</v>
      </c>
      <c r="K169" s="3">
        <v>78.349999999999994</v>
      </c>
      <c r="L169" t="str">
        <f t="shared" si="10"/>
        <v>0% off</v>
      </c>
      <c r="M169" s="3">
        <f t="shared" si="11"/>
        <v>0</v>
      </c>
      <c r="N169" t="str">
        <f t="shared" si="12"/>
        <v>No</v>
      </c>
      <c r="O169" t="s">
        <v>21</v>
      </c>
      <c r="P169" s="3">
        <f t="shared" si="13"/>
        <v>78.349999999999994</v>
      </c>
      <c r="Q169" t="s">
        <v>35</v>
      </c>
      <c r="R169">
        <v>3</v>
      </c>
      <c r="S169" t="str">
        <f t="shared" si="14"/>
        <v>Average</v>
      </c>
    </row>
    <row r="170" spans="1:19" x14ac:dyDescent="0.25">
      <c r="A170" t="s">
        <v>365</v>
      </c>
      <c r="B170">
        <v>33</v>
      </c>
      <c r="C170" t="s">
        <v>16</v>
      </c>
      <c r="D170" t="s">
        <v>2447</v>
      </c>
      <c r="E170" t="s">
        <v>18</v>
      </c>
      <c r="F170" t="s">
        <v>77</v>
      </c>
      <c r="G170" t="s">
        <v>366</v>
      </c>
      <c r="H170" t="str">
        <f>TEXT(walmart[[#This Row],[Purchase_Date]],"DDD")</f>
        <v>Fri</v>
      </c>
      <c r="I170" t="str">
        <f>TEXT(walmart[[#This Row],[Purchase_Date]],"MMM")</f>
        <v>Apr</v>
      </c>
      <c r="J170" t="str">
        <f>TEXT(walmart[[#This Row],[Purchase_Date]],"YYY")</f>
        <v>2024</v>
      </c>
      <c r="K170" s="3">
        <v>116.78</v>
      </c>
      <c r="L170" t="str">
        <f t="shared" si="10"/>
        <v>0% off</v>
      </c>
      <c r="M170" s="3">
        <f t="shared" si="11"/>
        <v>0</v>
      </c>
      <c r="N170" t="str">
        <f t="shared" si="12"/>
        <v>No</v>
      </c>
      <c r="O170" t="s">
        <v>34</v>
      </c>
      <c r="P170" s="3">
        <f t="shared" si="13"/>
        <v>116.78</v>
      </c>
      <c r="Q170" t="s">
        <v>35</v>
      </c>
      <c r="R170">
        <v>1</v>
      </c>
      <c r="S170" t="str">
        <f t="shared" si="14"/>
        <v>Very Poor</v>
      </c>
    </row>
    <row r="171" spans="1:19" x14ac:dyDescent="0.25">
      <c r="A171" t="s">
        <v>367</v>
      </c>
      <c r="B171">
        <v>70</v>
      </c>
      <c r="C171" t="s">
        <v>16</v>
      </c>
      <c r="D171" t="s">
        <v>2448</v>
      </c>
      <c r="E171" t="s">
        <v>18</v>
      </c>
      <c r="F171" t="s">
        <v>77</v>
      </c>
      <c r="G171" t="s">
        <v>197</v>
      </c>
      <c r="H171" t="str">
        <f>TEXT(walmart[[#This Row],[Purchase_Date]],"DDD")</f>
        <v>Wed</v>
      </c>
      <c r="I171" t="str">
        <f>TEXT(walmart[[#This Row],[Purchase_Date]],"MMM")</f>
        <v>Feb</v>
      </c>
      <c r="J171" t="str">
        <f>TEXT(walmart[[#This Row],[Purchase_Date]],"YYY")</f>
        <v>2025</v>
      </c>
      <c r="K171" s="3">
        <v>116.78</v>
      </c>
      <c r="L171" t="str">
        <f t="shared" si="10"/>
        <v>0% off</v>
      </c>
      <c r="M171" s="3">
        <f t="shared" si="11"/>
        <v>0</v>
      </c>
      <c r="N171" t="str">
        <f t="shared" si="12"/>
        <v>No</v>
      </c>
      <c r="O171" t="s">
        <v>34</v>
      </c>
      <c r="P171" s="3">
        <f t="shared" si="13"/>
        <v>116.78</v>
      </c>
      <c r="Q171" t="s">
        <v>35</v>
      </c>
      <c r="R171">
        <v>2</v>
      </c>
      <c r="S171" t="str">
        <f t="shared" si="14"/>
        <v>Poor</v>
      </c>
    </row>
    <row r="172" spans="1:19" x14ac:dyDescent="0.25">
      <c r="A172" t="s">
        <v>368</v>
      </c>
      <c r="B172">
        <v>30</v>
      </c>
      <c r="C172" t="s">
        <v>29</v>
      </c>
      <c r="D172" t="s">
        <v>2449</v>
      </c>
      <c r="E172" t="s">
        <v>18</v>
      </c>
      <c r="F172" t="s">
        <v>142</v>
      </c>
      <c r="G172" t="s">
        <v>369</v>
      </c>
      <c r="H172" t="str">
        <f>TEXT(walmart[[#This Row],[Purchase_Date]],"DDD")</f>
        <v>Fri</v>
      </c>
      <c r="I172" t="str">
        <f>TEXT(walmart[[#This Row],[Purchase_Date]],"MMM")</f>
        <v>Aug</v>
      </c>
      <c r="J172" t="str">
        <f>TEXT(walmart[[#This Row],[Purchase_Date]],"YYY")</f>
        <v>2024</v>
      </c>
      <c r="K172" s="3">
        <v>485.26</v>
      </c>
      <c r="L172" t="str">
        <f t="shared" si="10"/>
        <v>5% off</v>
      </c>
      <c r="M172" s="3">
        <f t="shared" si="11"/>
        <v>24.263000000000002</v>
      </c>
      <c r="N172" t="str">
        <f t="shared" si="12"/>
        <v>Yes</v>
      </c>
      <c r="O172" t="s">
        <v>21</v>
      </c>
      <c r="P172" s="3">
        <f t="shared" si="13"/>
        <v>460.99700000000001</v>
      </c>
      <c r="Q172" t="s">
        <v>27</v>
      </c>
      <c r="R172">
        <v>1</v>
      </c>
      <c r="S172" t="str">
        <f t="shared" si="14"/>
        <v>Very Poor</v>
      </c>
    </row>
    <row r="173" spans="1:19" x14ac:dyDescent="0.25">
      <c r="A173" t="s">
        <v>370</v>
      </c>
      <c r="B173">
        <v>50</v>
      </c>
      <c r="C173" t="s">
        <v>29</v>
      </c>
      <c r="D173" t="s">
        <v>2450</v>
      </c>
      <c r="E173" t="s">
        <v>24</v>
      </c>
      <c r="F173" t="s">
        <v>162</v>
      </c>
      <c r="G173" t="s">
        <v>371</v>
      </c>
      <c r="H173" t="str">
        <f>TEXT(walmart[[#This Row],[Purchase_Date]],"DDD")</f>
        <v>Mon</v>
      </c>
      <c r="I173" t="str">
        <f>TEXT(walmart[[#This Row],[Purchase_Date]],"MMM")</f>
        <v>Jul</v>
      </c>
      <c r="J173" t="str">
        <f>TEXT(walmart[[#This Row],[Purchase_Date]],"YYY")</f>
        <v>2024</v>
      </c>
      <c r="K173" s="3">
        <v>362.55</v>
      </c>
      <c r="L173" t="str">
        <f t="shared" si="10"/>
        <v>5% off</v>
      </c>
      <c r="M173" s="3">
        <f t="shared" si="11"/>
        <v>18.127500000000001</v>
      </c>
      <c r="N173" t="str">
        <f t="shared" si="12"/>
        <v>Yes</v>
      </c>
      <c r="O173" t="s">
        <v>21</v>
      </c>
      <c r="P173" s="3">
        <f t="shared" si="13"/>
        <v>344.42250000000001</v>
      </c>
      <c r="Q173" t="s">
        <v>47</v>
      </c>
      <c r="R173">
        <v>5</v>
      </c>
      <c r="S173" t="str">
        <f t="shared" si="14"/>
        <v>Excellent</v>
      </c>
    </row>
    <row r="174" spans="1:19" x14ac:dyDescent="0.25">
      <c r="A174" t="s">
        <v>372</v>
      </c>
      <c r="B174">
        <v>21</v>
      </c>
      <c r="C174" t="s">
        <v>16</v>
      </c>
      <c r="D174" t="s">
        <v>2451</v>
      </c>
      <c r="E174" t="s">
        <v>31</v>
      </c>
      <c r="F174" t="s">
        <v>112</v>
      </c>
      <c r="G174" t="s">
        <v>373</v>
      </c>
      <c r="H174" t="str">
        <f>TEXT(walmart[[#This Row],[Purchase_Date]],"DDD")</f>
        <v>Sat</v>
      </c>
      <c r="I174" t="str">
        <f>TEXT(walmart[[#This Row],[Purchase_Date]],"MMM")</f>
        <v>Dec</v>
      </c>
      <c r="J174" t="str">
        <f>TEXT(walmart[[#This Row],[Purchase_Date]],"YYY")</f>
        <v>2024</v>
      </c>
      <c r="K174" s="3">
        <v>492.1</v>
      </c>
      <c r="L174" t="str">
        <f t="shared" si="10"/>
        <v>5% off</v>
      </c>
      <c r="M174" s="3">
        <f t="shared" si="11"/>
        <v>24.605000000000004</v>
      </c>
      <c r="N174" t="str">
        <f t="shared" si="12"/>
        <v>Yes</v>
      </c>
      <c r="O174" t="s">
        <v>34</v>
      </c>
      <c r="P174" s="3">
        <f t="shared" si="13"/>
        <v>467.495</v>
      </c>
      <c r="Q174" t="s">
        <v>35</v>
      </c>
      <c r="R174">
        <v>2</v>
      </c>
      <c r="S174" t="str">
        <f t="shared" si="14"/>
        <v>Poor</v>
      </c>
    </row>
    <row r="175" spans="1:19" x14ac:dyDescent="0.25">
      <c r="A175" t="s">
        <v>374</v>
      </c>
      <c r="B175">
        <v>46</v>
      </c>
      <c r="C175" t="s">
        <v>16</v>
      </c>
      <c r="D175" t="s">
        <v>2452</v>
      </c>
      <c r="E175" t="s">
        <v>37</v>
      </c>
      <c r="F175" t="s">
        <v>82</v>
      </c>
      <c r="G175" t="s">
        <v>295</v>
      </c>
      <c r="H175" t="str">
        <f>TEXT(walmart[[#This Row],[Purchase_Date]],"DDD")</f>
        <v>Sun</v>
      </c>
      <c r="I175" t="str">
        <f>TEXT(walmart[[#This Row],[Purchase_Date]],"MMM")</f>
        <v>Mar</v>
      </c>
      <c r="J175" t="str">
        <f>TEXT(walmart[[#This Row],[Purchase_Date]],"YYY")</f>
        <v>2025</v>
      </c>
      <c r="K175" s="3">
        <v>270.41000000000003</v>
      </c>
      <c r="L175" t="str">
        <f t="shared" si="10"/>
        <v>5% off</v>
      </c>
      <c r="M175" s="3">
        <f t="shared" si="11"/>
        <v>13.520500000000002</v>
      </c>
      <c r="N175" t="str">
        <f t="shared" si="12"/>
        <v>Yes</v>
      </c>
      <c r="O175" t="s">
        <v>34</v>
      </c>
      <c r="P175" s="3">
        <f t="shared" si="13"/>
        <v>256.8895</v>
      </c>
      <c r="Q175" t="s">
        <v>47</v>
      </c>
      <c r="R175">
        <v>2</v>
      </c>
      <c r="S175" t="str">
        <f t="shared" si="14"/>
        <v>Poor</v>
      </c>
    </row>
    <row r="176" spans="1:19" x14ac:dyDescent="0.25">
      <c r="A176" t="s">
        <v>375</v>
      </c>
      <c r="B176">
        <v>21</v>
      </c>
      <c r="C176" t="s">
        <v>16</v>
      </c>
      <c r="D176" t="s">
        <v>2453</v>
      </c>
      <c r="E176" t="s">
        <v>42</v>
      </c>
      <c r="F176" t="s">
        <v>103</v>
      </c>
      <c r="G176" t="s">
        <v>376</v>
      </c>
      <c r="H176" t="str">
        <f>TEXT(walmart[[#This Row],[Purchase_Date]],"DDD")</f>
        <v>Sun</v>
      </c>
      <c r="I176" t="str">
        <f>TEXT(walmart[[#This Row],[Purchase_Date]],"MMM")</f>
        <v>Oct</v>
      </c>
      <c r="J176" t="str">
        <f>TEXT(walmart[[#This Row],[Purchase_Date]],"YYY")</f>
        <v>2024</v>
      </c>
      <c r="K176" s="3">
        <v>315.56</v>
      </c>
      <c r="L176" t="str">
        <f t="shared" si="10"/>
        <v>5% off</v>
      </c>
      <c r="M176" s="3">
        <f t="shared" si="11"/>
        <v>15.778</v>
      </c>
      <c r="N176" t="str">
        <f t="shared" si="12"/>
        <v>Yes</v>
      </c>
      <c r="O176" t="s">
        <v>21</v>
      </c>
      <c r="P176" s="3">
        <f t="shared" si="13"/>
        <v>299.78199999999998</v>
      </c>
      <c r="Q176" t="s">
        <v>27</v>
      </c>
      <c r="R176">
        <v>1</v>
      </c>
      <c r="S176" t="str">
        <f t="shared" si="14"/>
        <v>Very Poor</v>
      </c>
    </row>
    <row r="177" spans="1:19" x14ac:dyDescent="0.25">
      <c r="A177" t="s">
        <v>377</v>
      </c>
      <c r="B177">
        <v>41</v>
      </c>
      <c r="C177" t="s">
        <v>29</v>
      </c>
      <c r="D177" t="s">
        <v>2454</v>
      </c>
      <c r="E177" t="s">
        <v>18</v>
      </c>
      <c r="F177" t="s">
        <v>77</v>
      </c>
      <c r="G177" t="s">
        <v>378</v>
      </c>
      <c r="H177" t="str">
        <f>TEXT(walmart[[#This Row],[Purchase_Date]],"DDD")</f>
        <v>Sat</v>
      </c>
      <c r="I177" t="str">
        <f>TEXT(walmart[[#This Row],[Purchase_Date]],"MMM")</f>
        <v>Jun</v>
      </c>
      <c r="J177" t="str">
        <f>TEXT(walmart[[#This Row],[Purchase_Date]],"YYY")</f>
        <v>2024</v>
      </c>
      <c r="K177" s="3">
        <v>116.78</v>
      </c>
      <c r="L177" t="str">
        <f t="shared" si="10"/>
        <v>0% off</v>
      </c>
      <c r="M177" s="3">
        <f t="shared" si="11"/>
        <v>0</v>
      </c>
      <c r="N177" t="str">
        <f t="shared" si="12"/>
        <v>No</v>
      </c>
      <c r="O177" t="s">
        <v>21</v>
      </c>
      <c r="P177" s="3">
        <f t="shared" si="13"/>
        <v>116.78</v>
      </c>
      <c r="Q177" t="s">
        <v>22</v>
      </c>
      <c r="R177">
        <v>3</v>
      </c>
      <c r="S177" t="str">
        <f t="shared" si="14"/>
        <v>Average</v>
      </c>
    </row>
    <row r="178" spans="1:19" x14ac:dyDescent="0.25">
      <c r="A178" t="s">
        <v>379</v>
      </c>
      <c r="B178">
        <v>50</v>
      </c>
      <c r="C178" t="s">
        <v>16</v>
      </c>
      <c r="D178" t="s">
        <v>2455</v>
      </c>
      <c r="E178" t="s">
        <v>18</v>
      </c>
      <c r="F178" t="s">
        <v>77</v>
      </c>
      <c r="G178" t="s">
        <v>380</v>
      </c>
      <c r="H178" t="str">
        <f>TEXT(walmart[[#This Row],[Purchase_Date]],"DDD")</f>
        <v>Sun</v>
      </c>
      <c r="I178" t="str">
        <f>TEXT(walmart[[#This Row],[Purchase_Date]],"MMM")</f>
        <v>Jun</v>
      </c>
      <c r="J178" t="str">
        <f>TEXT(walmart[[#This Row],[Purchase_Date]],"YYY")</f>
        <v>2024</v>
      </c>
      <c r="K178" s="3">
        <v>116.78</v>
      </c>
      <c r="L178" t="str">
        <f t="shared" si="10"/>
        <v>0% off</v>
      </c>
      <c r="M178" s="3">
        <f t="shared" si="11"/>
        <v>0</v>
      </c>
      <c r="N178" t="str">
        <f t="shared" si="12"/>
        <v>No</v>
      </c>
      <c r="O178" t="s">
        <v>34</v>
      </c>
      <c r="P178" s="3">
        <f t="shared" si="13"/>
        <v>116.78</v>
      </c>
      <c r="Q178" t="s">
        <v>22</v>
      </c>
      <c r="R178">
        <v>1</v>
      </c>
      <c r="S178" t="str">
        <f t="shared" si="14"/>
        <v>Very Poor</v>
      </c>
    </row>
    <row r="179" spans="1:19" x14ac:dyDescent="0.25">
      <c r="A179" t="s">
        <v>381</v>
      </c>
      <c r="B179">
        <v>40</v>
      </c>
      <c r="C179" t="s">
        <v>29</v>
      </c>
      <c r="D179" t="s">
        <v>2456</v>
      </c>
      <c r="E179" t="s">
        <v>37</v>
      </c>
      <c r="F179" t="s">
        <v>82</v>
      </c>
      <c r="G179" t="s">
        <v>44</v>
      </c>
      <c r="H179" t="str">
        <f>TEXT(walmart[[#This Row],[Purchase_Date]],"DDD")</f>
        <v>Fri</v>
      </c>
      <c r="I179" t="str">
        <f>TEXT(walmart[[#This Row],[Purchase_Date]],"MMM")</f>
        <v>Aug</v>
      </c>
      <c r="J179" t="str">
        <f>TEXT(walmart[[#This Row],[Purchase_Date]],"YYY")</f>
        <v>2024</v>
      </c>
      <c r="K179" s="3">
        <v>270.41000000000003</v>
      </c>
      <c r="L179" t="str">
        <f t="shared" si="10"/>
        <v>5% off</v>
      </c>
      <c r="M179" s="3">
        <f t="shared" si="11"/>
        <v>13.520500000000002</v>
      </c>
      <c r="N179" t="str">
        <f t="shared" si="12"/>
        <v>Yes</v>
      </c>
      <c r="O179" t="s">
        <v>34</v>
      </c>
      <c r="P179" s="3">
        <f t="shared" si="13"/>
        <v>256.8895</v>
      </c>
      <c r="Q179" t="s">
        <v>27</v>
      </c>
      <c r="R179">
        <v>2</v>
      </c>
      <c r="S179" t="str">
        <f t="shared" si="14"/>
        <v>Poor</v>
      </c>
    </row>
    <row r="180" spans="1:19" x14ac:dyDescent="0.25">
      <c r="A180" t="s">
        <v>382</v>
      </c>
      <c r="B180">
        <v>43</v>
      </c>
      <c r="C180" t="s">
        <v>16</v>
      </c>
      <c r="D180" t="s">
        <v>2457</v>
      </c>
      <c r="E180" t="s">
        <v>24</v>
      </c>
      <c r="F180" t="s">
        <v>162</v>
      </c>
      <c r="G180" t="s">
        <v>383</v>
      </c>
      <c r="H180" t="str">
        <f>TEXT(walmart[[#This Row],[Purchase_Date]],"DDD")</f>
        <v>Mon</v>
      </c>
      <c r="I180" t="str">
        <f>TEXT(walmart[[#This Row],[Purchase_Date]],"MMM")</f>
        <v>Jun</v>
      </c>
      <c r="J180" t="str">
        <f>TEXT(walmart[[#This Row],[Purchase_Date]],"YYY")</f>
        <v>2024</v>
      </c>
      <c r="K180" s="3">
        <v>362.55</v>
      </c>
      <c r="L180" t="str">
        <f t="shared" si="10"/>
        <v>5% off</v>
      </c>
      <c r="M180" s="3">
        <f t="shared" si="11"/>
        <v>18.127500000000001</v>
      </c>
      <c r="N180" t="str">
        <f t="shared" si="12"/>
        <v>Yes</v>
      </c>
      <c r="O180" t="s">
        <v>21</v>
      </c>
      <c r="P180" s="3">
        <f t="shared" si="13"/>
        <v>344.42250000000001</v>
      </c>
      <c r="Q180" t="s">
        <v>47</v>
      </c>
      <c r="R180">
        <v>1</v>
      </c>
      <c r="S180" t="str">
        <f t="shared" si="14"/>
        <v>Very Poor</v>
      </c>
    </row>
    <row r="181" spans="1:19" x14ac:dyDescent="0.25">
      <c r="A181" t="s">
        <v>384</v>
      </c>
      <c r="B181">
        <v>43</v>
      </c>
      <c r="C181" t="s">
        <v>29</v>
      </c>
      <c r="D181" t="s">
        <v>2458</v>
      </c>
      <c r="E181" t="s">
        <v>37</v>
      </c>
      <c r="F181" t="s">
        <v>38</v>
      </c>
      <c r="G181" t="s">
        <v>385</v>
      </c>
      <c r="H181" t="str">
        <f>TEXT(walmart[[#This Row],[Purchase_Date]],"DDD")</f>
        <v>Wed</v>
      </c>
      <c r="I181" t="str">
        <f>TEXT(walmart[[#This Row],[Purchase_Date]],"MMM")</f>
        <v>Apr</v>
      </c>
      <c r="J181" t="str">
        <f>TEXT(walmart[[#This Row],[Purchase_Date]],"YYY")</f>
        <v>2024</v>
      </c>
      <c r="K181" s="3">
        <v>211.46</v>
      </c>
      <c r="L181" t="str">
        <f t="shared" si="10"/>
        <v>5% off</v>
      </c>
      <c r="M181" s="3">
        <f t="shared" si="11"/>
        <v>10.573</v>
      </c>
      <c r="N181" t="str">
        <f t="shared" si="12"/>
        <v>Yes</v>
      </c>
      <c r="O181" t="s">
        <v>21</v>
      </c>
      <c r="P181" s="3">
        <f t="shared" si="13"/>
        <v>200.887</v>
      </c>
      <c r="Q181" t="s">
        <v>47</v>
      </c>
      <c r="R181">
        <v>2</v>
      </c>
      <c r="S181" t="str">
        <f t="shared" si="14"/>
        <v>Poor</v>
      </c>
    </row>
    <row r="182" spans="1:19" x14ac:dyDescent="0.25">
      <c r="A182" t="s">
        <v>386</v>
      </c>
      <c r="B182">
        <v>33</v>
      </c>
      <c r="C182" t="s">
        <v>16</v>
      </c>
      <c r="D182" t="s">
        <v>2459</v>
      </c>
      <c r="E182" t="s">
        <v>31</v>
      </c>
      <c r="F182" t="s">
        <v>112</v>
      </c>
      <c r="G182" t="s">
        <v>128</v>
      </c>
      <c r="H182" t="str">
        <f>TEXT(walmart[[#This Row],[Purchase_Date]],"DDD")</f>
        <v>Sun</v>
      </c>
      <c r="I182" t="str">
        <f>TEXT(walmart[[#This Row],[Purchase_Date]],"MMM")</f>
        <v>Jul</v>
      </c>
      <c r="J182" t="str">
        <f>TEXT(walmart[[#This Row],[Purchase_Date]],"YYY")</f>
        <v>2024</v>
      </c>
      <c r="K182" s="3">
        <v>492.1</v>
      </c>
      <c r="L182" t="str">
        <f t="shared" si="10"/>
        <v>5% off</v>
      </c>
      <c r="M182" s="3">
        <f t="shared" si="11"/>
        <v>24.605000000000004</v>
      </c>
      <c r="N182" t="str">
        <f t="shared" si="12"/>
        <v>Yes</v>
      </c>
      <c r="O182" t="s">
        <v>21</v>
      </c>
      <c r="P182" s="3">
        <f t="shared" si="13"/>
        <v>467.495</v>
      </c>
      <c r="Q182" t="s">
        <v>35</v>
      </c>
      <c r="R182">
        <v>2</v>
      </c>
      <c r="S182" t="str">
        <f t="shared" si="14"/>
        <v>Poor</v>
      </c>
    </row>
    <row r="183" spans="1:19" x14ac:dyDescent="0.25">
      <c r="A183" t="s">
        <v>387</v>
      </c>
      <c r="B183">
        <v>47</v>
      </c>
      <c r="C183" t="s">
        <v>16</v>
      </c>
      <c r="D183" t="s">
        <v>2460</v>
      </c>
      <c r="E183" t="s">
        <v>24</v>
      </c>
      <c r="F183" t="s">
        <v>25</v>
      </c>
      <c r="G183" t="s">
        <v>388</v>
      </c>
      <c r="H183" t="str">
        <f>TEXT(walmart[[#This Row],[Purchase_Date]],"DDD")</f>
        <v>Sun</v>
      </c>
      <c r="I183" t="str">
        <f>TEXT(walmart[[#This Row],[Purchase_Date]],"MMM")</f>
        <v>Nov</v>
      </c>
      <c r="J183" t="str">
        <f>TEXT(walmart[[#This Row],[Purchase_Date]],"YYY")</f>
        <v>2024</v>
      </c>
      <c r="K183" s="3">
        <v>67.040000000000006</v>
      </c>
      <c r="L183" t="str">
        <f t="shared" si="10"/>
        <v>0% off</v>
      </c>
      <c r="M183" s="3">
        <f t="shared" si="11"/>
        <v>0</v>
      </c>
      <c r="N183" t="str">
        <f t="shared" si="12"/>
        <v>No</v>
      </c>
      <c r="O183" t="s">
        <v>34</v>
      </c>
      <c r="P183" s="3">
        <f t="shared" si="13"/>
        <v>67.040000000000006</v>
      </c>
      <c r="Q183" t="s">
        <v>47</v>
      </c>
      <c r="R183">
        <v>2</v>
      </c>
      <c r="S183" t="str">
        <f t="shared" si="14"/>
        <v>Poor</v>
      </c>
    </row>
    <row r="184" spans="1:19" x14ac:dyDescent="0.25">
      <c r="A184" t="s">
        <v>389</v>
      </c>
      <c r="B184">
        <v>47</v>
      </c>
      <c r="C184" t="s">
        <v>16</v>
      </c>
      <c r="D184" t="s">
        <v>2461</v>
      </c>
      <c r="E184" t="s">
        <v>42</v>
      </c>
      <c r="F184" t="s">
        <v>103</v>
      </c>
      <c r="G184" t="s">
        <v>279</v>
      </c>
      <c r="H184" t="str">
        <f>TEXT(walmart[[#This Row],[Purchase_Date]],"DDD")</f>
        <v>Thu</v>
      </c>
      <c r="I184" t="str">
        <f>TEXT(walmart[[#This Row],[Purchase_Date]],"MMM")</f>
        <v>Jul</v>
      </c>
      <c r="J184" t="str">
        <f>TEXT(walmart[[#This Row],[Purchase_Date]],"YYY")</f>
        <v>2024</v>
      </c>
      <c r="K184" s="3">
        <v>315.56</v>
      </c>
      <c r="L184" t="str">
        <f t="shared" si="10"/>
        <v>5% off</v>
      </c>
      <c r="M184" s="3">
        <f t="shared" si="11"/>
        <v>15.778</v>
      </c>
      <c r="N184" t="str">
        <f t="shared" si="12"/>
        <v>Yes</v>
      </c>
      <c r="O184" t="s">
        <v>34</v>
      </c>
      <c r="P184" s="3">
        <f t="shared" si="13"/>
        <v>299.78199999999998</v>
      </c>
      <c r="Q184" t="s">
        <v>47</v>
      </c>
      <c r="R184">
        <v>3</v>
      </c>
      <c r="S184" t="str">
        <f t="shared" si="14"/>
        <v>Average</v>
      </c>
    </row>
    <row r="185" spans="1:19" x14ac:dyDescent="0.25">
      <c r="A185" t="s">
        <v>390</v>
      </c>
      <c r="B185">
        <v>19</v>
      </c>
      <c r="C185" t="s">
        <v>29</v>
      </c>
      <c r="D185" t="s">
        <v>2462</v>
      </c>
      <c r="E185" t="s">
        <v>73</v>
      </c>
      <c r="F185" t="s">
        <v>138</v>
      </c>
      <c r="G185" t="s">
        <v>391</v>
      </c>
      <c r="H185" t="str">
        <f>TEXT(walmart[[#This Row],[Purchase_Date]],"DDD")</f>
        <v>Thu</v>
      </c>
      <c r="I185" t="str">
        <f>TEXT(walmart[[#This Row],[Purchase_Date]],"MMM")</f>
        <v>Feb</v>
      </c>
      <c r="J185" t="str">
        <f>TEXT(walmart[[#This Row],[Purchase_Date]],"YYY")</f>
        <v>2025</v>
      </c>
      <c r="K185" s="3">
        <v>461.81</v>
      </c>
      <c r="L185" t="str">
        <f t="shared" si="10"/>
        <v>5% off</v>
      </c>
      <c r="M185" s="3">
        <f t="shared" si="11"/>
        <v>23.090500000000002</v>
      </c>
      <c r="N185" t="str">
        <f t="shared" si="12"/>
        <v>Yes</v>
      </c>
      <c r="O185" t="s">
        <v>34</v>
      </c>
      <c r="P185" s="3">
        <f t="shared" si="13"/>
        <v>438.71949999999998</v>
      </c>
      <c r="Q185" t="s">
        <v>22</v>
      </c>
      <c r="R185">
        <v>3</v>
      </c>
      <c r="S185" t="str">
        <f t="shared" si="14"/>
        <v>Average</v>
      </c>
    </row>
    <row r="186" spans="1:19" x14ac:dyDescent="0.25">
      <c r="A186" t="s">
        <v>392</v>
      </c>
      <c r="B186">
        <v>63</v>
      </c>
      <c r="C186" t="s">
        <v>29</v>
      </c>
      <c r="D186" t="s">
        <v>2463</v>
      </c>
      <c r="E186" t="s">
        <v>55</v>
      </c>
      <c r="F186" t="s">
        <v>67</v>
      </c>
      <c r="G186" t="s">
        <v>393</v>
      </c>
      <c r="H186" t="str">
        <f>TEXT(walmart[[#This Row],[Purchase_Date]],"DDD")</f>
        <v>Mon</v>
      </c>
      <c r="I186" t="str">
        <f>TEXT(walmart[[#This Row],[Purchase_Date]],"MMM")</f>
        <v>Oct</v>
      </c>
      <c r="J186" t="str">
        <f>TEXT(walmart[[#This Row],[Purchase_Date]],"YYY")</f>
        <v>2024</v>
      </c>
      <c r="K186" s="3">
        <v>452.97</v>
      </c>
      <c r="L186" t="str">
        <f t="shared" si="10"/>
        <v>5% off</v>
      </c>
      <c r="M186" s="3">
        <f t="shared" si="11"/>
        <v>22.648500000000002</v>
      </c>
      <c r="N186" t="str">
        <f t="shared" si="12"/>
        <v>Yes</v>
      </c>
      <c r="O186" t="s">
        <v>21</v>
      </c>
      <c r="P186" s="3">
        <f t="shared" si="13"/>
        <v>430.32150000000001</v>
      </c>
      <c r="Q186" t="s">
        <v>27</v>
      </c>
      <c r="R186">
        <v>1</v>
      </c>
      <c r="S186" t="str">
        <f t="shared" si="14"/>
        <v>Very Poor</v>
      </c>
    </row>
    <row r="187" spans="1:19" x14ac:dyDescent="0.25">
      <c r="A187" t="s">
        <v>394</v>
      </c>
      <c r="B187">
        <v>48</v>
      </c>
      <c r="C187" t="s">
        <v>16</v>
      </c>
      <c r="D187" t="s">
        <v>2464</v>
      </c>
      <c r="E187" t="s">
        <v>31</v>
      </c>
      <c r="F187" t="s">
        <v>112</v>
      </c>
      <c r="G187" t="s">
        <v>395</v>
      </c>
      <c r="H187" t="str">
        <f>TEXT(walmart[[#This Row],[Purchase_Date]],"DDD")</f>
        <v>Sun</v>
      </c>
      <c r="I187" t="str">
        <f>TEXT(walmart[[#This Row],[Purchase_Date]],"MMM")</f>
        <v>Feb</v>
      </c>
      <c r="J187" t="str">
        <f>TEXT(walmart[[#This Row],[Purchase_Date]],"YYY")</f>
        <v>2025</v>
      </c>
      <c r="K187" s="3">
        <v>492.1</v>
      </c>
      <c r="L187" t="str">
        <f t="shared" si="10"/>
        <v>5% off</v>
      </c>
      <c r="M187" s="3">
        <f t="shared" si="11"/>
        <v>24.605000000000004</v>
      </c>
      <c r="N187" t="str">
        <f t="shared" si="12"/>
        <v>Yes</v>
      </c>
      <c r="O187" t="s">
        <v>21</v>
      </c>
      <c r="P187" s="3">
        <f t="shared" si="13"/>
        <v>467.495</v>
      </c>
      <c r="Q187" t="s">
        <v>22</v>
      </c>
      <c r="R187">
        <v>1</v>
      </c>
      <c r="S187" t="str">
        <f t="shared" si="14"/>
        <v>Very Poor</v>
      </c>
    </row>
    <row r="188" spans="1:19" x14ac:dyDescent="0.25">
      <c r="A188" t="s">
        <v>396</v>
      </c>
      <c r="B188">
        <v>48</v>
      </c>
      <c r="C188" t="s">
        <v>16</v>
      </c>
      <c r="D188" t="s">
        <v>2465</v>
      </c>
      <c r="E188" t="s">
        <v>42</v>
      </c>
      <c r="F188" t="s">
        <v>52</v>
      </c>
      <c r="G188" t="s">
        <v>397</v>
      </c>
      <c r="H188" t="str">
        <f>TEXT(walmart[[#This Row],[Purchase_Date]],"DDD")</f>
        <v>Wed</v>
      </c>
      <c r="I188" t="str">
        <f>TEXT(walmart[[#This Row],[Purchase_Date]],"MMM")</f>
        <v>May</v>
      </c>
      <c r="J188" t="str">
        <f>TEXT(walmart[[#This Row],[Purchase_Date]],"YYY")</f>
        <v>2024</v>
      </c>
      <c r="K188" s="3">
        <v>988.77</v>
      </c>
      <c r="L188" t="str">
        <f t="shared" si="10"/>
        <v>20% off</v>
      </c>
      <c r="M188" s="3">
        <f t="shared" si="11"/>
        <v>197.75400000000002</v>
      </c>
      <c r="N188" t="str">
        <f t="shared" si="12"/>
        <v>Yes</v>
      </c>
      <c r="O188" t="s">
        <v>34</v>
      </c>
      <c r="P188" s="3">
        <f t="shared" si="13"/>
        <v>791.01599999999996</v>
      </c>
      <c r="Q188" t="s">
        <v>47</v>
      </c>
      <c r="R188">
        <v>5</v>
      </c>
      <c r="S188" t="str">
        <f t="shared" si="14"/>
        <v>Excellent</v>
      </c>
    </row>
    <row r="189" spans="1:19" x14ac:dyDescent="0.25">
      <c r="A189" t="s">
        <v>398</v>
      </c>
      <c r="B189">
        <v>21</v>
      </c>
      <c r="C189" t="s">
        <v>29</v>
      </c>
      <c r="D189" t="s">
        <v>2466</v>
      </c>
      <c r="E189" t="s">
        <v>37</v>
      </c>
      <c r="F189" t="s">
        <v>82</v>
      </c>
      <c r="G189" t="s">
        <v>399</v>
      </c>
      <c r="H189" t="str">
        <f>TEXT(walmart[[#This Row],[Purchase_Date]],"DDD")</f>
        <v>Wed</v>
      </c>
      <c r="I189" t="str">
        <f>TEXT(walmart[[#This Row],[Purchase_Date]],"MMM")</f>
        <v>Feb</v>
      </c>
      <c r="J189" t="str">
        <f>TEXT(walmart[[#This Row],[Purchase_Date]],"YYY")</f>
        <v>2025</v>
      </c>
      <c r="K189" s="3">
        <v>270.41000000000003</v>
      </c>
      <c r="L189" t="str">
        <f t="shared" si="10"/>
        <v>5% off</v>
      </c>
      <c r="M189" s="3">
        <f t="shared" si="11"/>
        <v>13.520500000000002</v>
      </c>
      <c r="N189" t="str">
        <f t="shared" si="12"/>
        <v>Yes</v>
      </c>
      <c r="O189" t="s">
        <v>21</v>
      </c>
      <c r="P189" s="3">
        <f t="shared" si="13"/>
        <v>256.8895</v>
      </c>
      <c r="Q189" t="s">
        <v>35</v>
      </c>
      <c r="R189">
        <v>4</v>
      </c>
      <c r="S189" t="str">
        <f t="shared" si="14"/>
        <v>Good</v>
      </c>
    </row>
    <row r="190" spans="1:19" x14ac:dyDescent="0.25">
      <c r="A190" t="s">
        <v>400</v>
      </c>
      <c r="B190">
        <v>27</v>
      </c>
      <c r="C190" t="s">
        <v>16</v>
      </c>
      <c r="D190" t="s">
        <v>2467</v>
      </c>
      <c r="E190" t="s">
        <v>24</v>
      </c>
      <c r="F190" t="s">
        <v>162</v>
      </c>
      <c r="G190" t="s">
        <v>401</v>
      </c>
      <c r="H190" t="str">
        <f>TEXT(walmart[[#This Row],[Purchase_Date]],"DDD")</f>
        <v>Wed</v>
      </c>
      <c r="I190" t="str">
        <f>TEXT(walmart[[#This Row],[Purchase_Date]],"MMM")</f>
        <v>Mar</v>
      </c>
      <c r="J190" t="str">
        <f>TEXT(walmart[[#This Row],[Purchase_Date]],"YYY")</f>
        <v>2024</v>
      </c>
      <c r="K190" s="3">
        <v>362.55</v>
      </c>
      <c r="L190" t="str">
        <f t="shared" si="10"/>
        <v>5% off</v>
      </c>
      <c r="M190" s="3">
        <f t="shared" si="11"/>
        <v>18.127500000000001</v>
      </c>
      <c r="N190" t="str">
        <f t="shared" si="12"/>
        <v>Yes</v>
      </c>
      <c r="O190" t="s">
        <v>21</v>
      </c>
      <c r="P190" s="3">
        <f t="shared" si="13"/>
        <v>344.42250000000001</v>
      </c>
      <c r="Q190" t="s">
        <v>35</v>
      </c>
      <c r="R190">
        <v>3</v>
      </c>
      <c r="S190" t="str">
        <f t="shared" si="14"/>
        <v>Average</v>
      </c>
    </row>
    <row r="191" spans="1:19" x14ac:dyDescent="0.25">
      <c r="A191" t="s">
        <v>402</v>
      </c>
      <c r="B191">
        <v>36</v>
      </c>
      <c r="C191" t="s">
        <v>29</v>
      </c>
      <c r="D191" t="s">
        <v>2468</v>
      </c>
      <c r="E191" t="s">
        <v>18</v>
      </c>
      <c r="F191" t="s">
        <v>19</v>
      </c>
      <c r="G191" t="s">
        <v>221</v>
      </c>
      <c r="H191" t="str">
        <f>TEXT(walmart[[#This Row],[Purchase_Date]],"DDD")</f>
        <v>Fri</v>
      </c>
      <c r="I191" t="str">
        <f>TEXT(walmart[[#This Row],[Purchase_Date]],"MMM")</f>
        <v>Dec</v>
      </c>
      <c r="J191" t="str">
        <f>TEXT(walmart[[#This Row],[Purchase_Date]],"YYY")</f>
        <v>2024</v>
      </c>
      <c r="K191" s="3">
        <v>697.86</v>
      </c>
      <c r="L191" t="str">
        <f t="shared" si="10"/>
        <v>10% off</v>
      </c>
      <c r="M191" s="3">
        <f t="shared" si="11"/>
        <v>69.786000000000001</v>
      </c>
      <c r="N191" t="str">
        <f t="shared" si="12"/>
        <v>Yes</v>
      </c>
      <c r="O191" t="s">
        <v>34</v>
      </c>
      <c r="P191" s="3">
        <f t="shared" si="13"/>
        <v>628.07400000000007</v>
      </c>
      <c r="Q191" t="s">
        <v>47</v>
      </c>
      <c r="R191">
        <v>2</v>
      </c>
      <c r="S191" t="str">
        <f t="shared" si="14"/>
        <v>Poor</v>
      </c>
    </row>
    <row r="192" spans="1:19" x14ac:dyDescent="0.25">
      <c r="A192" t="s">
        <v>403</v>
      </c>
      <c r="B192">
        <v>18</v>
      </c>
      <c r="C192" t="s">
        <v>16</v>
      </c>
      <c r="D192" t="s">
        <v>2469</v>
      </c>
      <c r="E192" t="s">
        <v>24</v>
      </c>
      <c r="F192" t="s">
        <v>209</v>
      </c>
      <c r="G192" t="s">
        <v>39</v>
      </c>
      <c r="H192" t="str">
        <f>TEXT(walmart[[#This Row],[Purchase_Date]],"DDD")</f>
        <v>Sat</v>
      </c>
      <c r="I192" t="str">
        <f>TEXT(walmart[[#This Row],[Purchase_Date]],"MMM")</f>
        <v>Nov</v>
      </c>
      <c r="J192" t="str">
        <f>TEXT(walmart[[#This Row],[Purchase_Date]],"YYY")</f>
        <v>2024</v>
      </c>
      <c r="K192" s="3">
        <v>775.75</v>
      </c>
      <c r="L192" t="str">
        <f t="shared" si="10"/>
        <v>15% off</v>
      </c>
      <c r="M192" s="3">
        <f t="shared" si="11"/>
        <v>116.3625</v>
      </c>
      <c r="N192" t="str">
        <f t="shared" si="12"/>
        <v>Yes</v>
      </c>
      <c r="O192" t="s">
        <v>21</v>
      </c>
      <c r="P192" s="3">
        <f t="shared" si="13"/>
        <v>659.38750000000005</v>
      </c>
      <c r="Q192" t="s">
        <v>47</v>
      </c>
      <c r="R192">
        <v>2</v>
      </c>
      <c r="S192" t="str">
        <f t="shared" si="14"/>
        <v>Poor</v>
      </c>
    </row>
    <row r="193" spans="1:19" x14ac:dyDescent="0.25">
      <c r="A193" t="s">
        <v>404</v>
      </c>
      <c r="B193">
        <v>68</v>
      </c>
      <c r="C193" t="s">
        <v>16</v>
      </c>
      <c r="D193" t="s">
        <v>2470</v>
      </c>
      <c r="E193" t="s">
        <v>42</v>
      </c>
      <c r="F193" t="s">
        <v>52</v>
      </c>
      <c r="G193" t="s">
        <v>405</v>
      </c>
      <c r="H193" t="str">
        <f>TEXT(walmart[[#This Row],[Purchase_Date]],"DDD")</f>
        <v>Tue</v>
      </c>
      <c r="I193" t="str">
        <f>TEXT(walmart[[#This Row],[Purchase_Date]],"MMM")</f>
        <v>Sep</v>
      </c>
      <c r="J193" t="str">
        <f>TEXT(walmart[[#This Row],[Purchase_Date]],"YYY")</f>
        <v>2024</v>
      </c>
      <c r="K193" s="3">
        <v>988.77</v>
      </c>
      <c r="L193" t="str">
        <f t="shared" si="10"/>
        <v>20% off</v>
      </c>
      <c r="M193" s="3">
        <f t="shared" si="11"/>
        <v>197.75400000000002</v>
      </c>
      <c r="N193" t="str">
        <f t="shared" si="12"/>
        <v>Yes</v>
      </c>
      <c r="O193" t="s">
        <v>34</v>
      </c>
      <c r="P193" s="3">
        <f t="shared" si="13"/>
        <v>791.01599999999996</v>
      </c>
      <c r="Q193" t="s">
        <v>22</v>
      </c>
      <c r="R193">
        <v>1</v>
      </c>
      <c r="S193" t="str">
        <f t="shared" si="14"/>
        <v>Very Poor</v>
      </c>
    </row>
    <row r="194" spans="1:19" x14ac:dyDescent="0.25">
      <c r="A194" t="s">
        <v>406</v>
      </c>
      <c r="B194">
        <v>39</v>
      </c>
      <c r="C194" t="s">
        <v>29</v>
      </c>
      <c r="D194" t="s">
        <v>2471</v>
      </c>
      <c r="E194" t="s">
        <v>18</v>
      </c>
      <c r="F194" t="s">
        <v>77</v>
      </c>
      <c r="G194" t="s">
        <v>407</v>
      </c>
      <c r="H194" t="str">
        <f>TEXT(walmart[[#This Row],[Purchase_Date]],"DDD")</f>
        <v>Tue</v>
      </c>
      <c r="I194" t="str">
        <f>TEXT(walmart[[#This Row],[Purchase_Date]],"MMM")</f>
        <v>Jul</v>
      </c>
      <c r="J194" t="str">
        <f>TEXT(walmart[[#This Row],[Purchase_Date]],"YYY")</f>
        <v>2024</v>
      </c>
      <c r="K194" s="3">
        <v>116.78</v>
      </c>
      <c r="L194" t="str">
        <f t="shared" si="10"/>
        <v>0% off</v>
      </c>
      <c r="M194" s="3">
        <f t="shared" si="11"/>
        <v>0</v>
      </c>
      <c r="N194" t="str">
        <f t="shared" si="12"/>
        <v>No</v>
      </c>
      <c r="O194" t="s">
        <v>21</v>
      </c>
      <c r="P194" s="3">
        <f t="shared" si="13"/>
        <v>116.78</v>
      </c>
      <c r="Q194" t="s">
        <v>27</v>
      </c>
      <c r="R194">
        <v>2</v>
      </c>
      <c r="S194" t="str">
        <f t="shared" si="14"/>
        <v>Poor</v>
      </c>
    </row>
    <row r="195" spans="1:19" x14ac:dyDescent="0.25">
      <c r="A195" t="s">
        <v>408</v>
      </c>
      <c r="B195">
        <v>34</v>
      </c>
      <c r="C195" t="s">
        <v>29</v>
      </c>
      <c r="D195" t="s">
        <v>2472</v>
      </c>
      <c r="E195" t="s">
        <v>24</v>
      </c>
      <c r="F195" t="s">
        <v>209</v>
      </c>
      <c r="G195" t="s">
        <v>409</v>
      </c>
      <c r="H195" t="str">
        <f>TEXT(walmart[[#This Row],[Purchase_Date]],"DDD")</f>
        <v>Wed</v>
      </c>
      <c r="I195" t="str">
        <f>TEXT(walmart[[#This Row],[Purchase_Date]],"MMM")</f>
        <v>Jul</v>
      </c>
      <c r="J195" t="str">
        <f>TEXT(walmart[[#This Row],[Purchase_Date]],"YYY")</f>
        <v>2024</v>
      </c>
      <c r="K195" s="3">
        <v>775.75</v>
      </c>
      <c r="L195" t="str">
        <f t="shared" ref="L195:L258" si="15">IF(K195&lt;150,"0% off",IF(K195&lt;500,"5% off",IF(K195&lt;700,"10% off",IF(K195&lt;900,"15% off","20% off"))))</f>
        <v>15% off</v>
      </c>
      <c r="M195" s="3">
        <f t="shared" ref="M195:M258" si="16">K195 * (LEFT(L195, LEN(L195)-5) / 100)</f>
        <v>116.3625</v>
      </c>
      <c r="N195" t="str">
        <f t="shared" ref="N195:N258" si="17">IF(L195="0% off", "No", "Yes")</f>
        <v>Yes</v>
      </c>
      <c r="O195" t="s">
        <v>21</v>
      </c>
      <c r="P195" s="3">
        <f t="shared" ref="P195:P258" si="18">K195-M195</f>
        <v>659.38750000000005</v>
      </c>
      <c r="Q195" t="s">
        <v>35</v>
      </c>
      <c r="R195">
        <v>3</v>
      </c>
      <c r="S195" t="str">
        <f t="shared" ref="S195:S258" si="19">IF(R195=5, "Excellent", IF(R195=4, "Good", IF(R195=3, "Average", IF(R195=2, "Poor", IF(R195=1, "Very Poor", "Invalid Rating")))))</f>
        <v>Average</v>
      </c>
    </row>
    <row r="196" spans="1:19" x14ac:dyDescent="0.25">
      <c r="A196" t="s">
        <v>410</v>
      </c>
      <c r="B196">
        <v>60</v>
      </c>
      <c r="C196" t="s">
        <v>16</v>
      </c>
      <c r="D196" t="s">
        <v>2473</v>
      </c>
      <c r="E196" t="s">
        <v>31</v>
      </c>
      <c r="F196" t="s">
        <v>300</v>
      </c>
      <c r="G196" t="s">
        <v>411</v>
      </c>
      <c r="H196" t="str">
        <f>TEXT(walmart[[#This Row],[Purchase_Date]],"DDD")</f>
        <v>Wed</v>
      </c>
      <c r="I196" t="str">
        <f>TEXT(walmart[[#This Row],[Purchase_Date]],"MMM")</f>
        <v>Apr</v>
      </c>
      <c r="J196" t="str">
        <f>TEXT(walmart[[#This Row],[Purchase_Date]],"YYY")</f>
        <v>2024</v>
      </c>
      <c r="K196" s="3">
        <v>340.04</v>
      </c>
      <c r="L196" t="str">
        <f t="shared" si="15"/>
        <v>5% off</v>
      </c>
      <c r="M196" s="3">
        <f t="shared" si="16"/>
        <v>17.002000000000002</v>
      </c>
      <c r="N196" t="str">
        <f t="shared" si="17"/>
        <v>Yes</v>
      </c>
      <c r="O196" t="s">
        <v>21</v>
      </c>
      <c r="P196" s="3">
        <f t="shared" si="18"/>
        <v>323.03800000000001</v>
      </c>
      <c r="Q196" t="s">
        <v>22</v>
      </c>
      <c r="R196">
        <v>1</v>
      </c>
      <c r="S196" t="str">
        <f t="shared" si="19"/>
        <v>Very Poor</v>
      </c>
    </row>
    <row r="197" spans="1:19" x14ac:dyDescent="0.25">
      <c r="A197" t="s">
        <v>412</v>
      </c>
      <c r="B197">
        <v>61</v>
      </c>
      <c r="C197" t="s">
        <v>16</v>
      </c>
      <c r="D197" t="s">
        <v>2474</v>
      </c>
      <c r="E197" t="s">
        <v>24</v>
      </c>
      <c r="F197" t="s">
        <v>209</v>
      </c>
      <c r="G197" t="s">
        <v>60</v>
      </c>
      <c r="H197" t="str">
        <f>TEXT(walmart[[#This Row],[Purchase_Date]],"DDD")</f>
        <v>Wed</v>
      </c>
      <c r="I197" t="str">
        <f>TEXT(walmart[[#This Row],[Purchase_Date]],"MMM")</f>
        <v>Oct</v>
      </c>
      <c r="J197" t="str">
        <f>TEXT(walmart[[#This Row],[Purchase_Date]],"YYY")</f>
        <v>2024</v>
      </c>
      <c r="K197" s="3">
        <v>775.75</v>
      </c>
      <c r="L197" t="str">
        <f t="shared" si="15"/>
        <v>15% off</v>
      </c>
      <c r="M197" s="3">
        <f t="shared" si="16"/>
        <v>116.3625</v>
      </c>
      <c r="N197" t="str">
        <f t="shared" si="17"/>
        <v>Yes</v>
      </c>
      <c r="O197" t="s">
        <v>34</v>
      </c>
      <c r="P197" s="3">
        <f t="shared" si="18"/>
        <v>659.38750000000005</v>
      </c>
      <c r="Q197" t="s">
        <v>27</v>
      </c>
      <c r="R197">
        <v>4</v>
      </c>
      <c r="S197" t="str">
        <f t="shared" si="19"/>
        <v>Good</v>
      </c>
    </row>
    <row r="198" spans="1:19" x14ac:dyDescent="0.25">
      <c r="A198" t="s">
        <v>413</v>
      </c>
      <c r="B198">
        <v>36</v>
      </c>
      <c r="C198" t="s">
        <v>16</v>
      </c>
      <c r="D198" t="s">
        <v>2475</v>
      </c>
      <c r="E198" t="s">
        <v>18</v>
      </c>
      <c r="F198" t="s">
        <v>59</v>
      </c>
      <c r="G198" t="s">
        <v>414</v>
      </c>
      <c r="H198" t="str">
        <f>TEXT(walmart[[#This Row],[Purchase_Date]],"DDD")</f>
        <v>Thu</v>
      </c>
      <c r="I198" t="str">
        <f>TEXT(walmart[[#This Row],[Purchase_Date]],"MMM")</f>
        <v>Jun</v>
      </c>
      <c r="J198" t="str">
        <f>TEXT(walmart[[#This Row],[Purchase_Date]],"YYY")</f>
        <v>2024</v>
      </c>
      <c r="K198" s="3">
        <v>78.349999999999994</v>
      </c>
      <c r="L198" t="str">
        <f t="shared" si="15"/>
        <v>0% off</v>
      </c>
      <c r="M198" s="3">
        <f t="shared" si="16"/>
        <v>0</v>
      </c>
      <c r="N198" t="str">
        <f t="shared" si="17"/>
        <v>No</v>
      </c>
      <c r="O198" t="s">
        <v>34</v>
      </c>
      <c r="P198" s="3">
        <f t="shared" si="18"/>
        <v>78.349999999999994</v>
      </c>
      <c r="Q198" t="s">
        <v>35</v>
      </c>
      <c r="R198">
        <v>3</v>
      </c>
      <c r="S198" t="str">
        <f t="shared" si="19"/>
        <v>Average</v>
      </c>
    </row>
    <row r="199" spans="1:19" x14ac:dyDescent="0.25">
      <c r="A199" t="s">
        <v>415</v>
      </c>
      <c r="B199">
        <v>21</v>
      </c>
      <c r="C199" t="s">
        <v>16</v>
      </c>
      <c r="D199" t="s">
        <v>2476</v>
      </c>
      <c r="E199" t="s">
        <v>24</v>
      </c>
      <c r="F199" t="s">
        <v>162</v>
      </c>
      <c r="G199" t="s">
        <v>416</v>
      </c>
      <c r="H199" t="str">
        <f>TEXT(walmart[[#This Row],[Purchase_Date]],"DDD")</f>
        <v>Tue</v>
      </c>
      <c r="I199" t="str">
        <f>TEXT(walmart[[#This Row],[Purchase_Date]],"MMM")</f>
        <v>Mar</v>
      </c>
      <c r="J199" t="str">
        <f>TEXT(walmart[[#This Row],[Purchase_Date]],"YYY")</f>
        <v>2025</v>
      </c>
      <c r="K199" s="3">
        <v>362.55</v>
      </c>
      <c r="L199" t="str">
        <f t="shared" si="15"/>
        <v>5% off</v>
      </c>
      <c r="M199" s="3">
        <f t="shared" si="16"/>
        <v>18.127500000000001</v>
      </c>
      <c r="N199" t="str">
        <f t="shared" si="17"/>
        <v>Yes</v>
      </c>
      <c r="O199" t="s">
        <v>34</v>
      </c>
      <c r="P199" s="3">
        <f t="shared" si="18"/>
        <v>344.42250000000001</v>
      </c>
      <c r="Q199" t="s">
        <v>27</v>
      </c>
      <c r="R199">
        <v>5</v>
      </c>
      <c r="S199" t="str">
        <f t="shared" si="19"/>
        <v>Excellent</v>
      </c>
    </row>
    <row r="200" spans="1:19" x14ac:dyDescent="0.25">
      <c r="A200" t="s">
        <v>417</v>
      </c>
      <c r="B200">
        <v>62</v>
      </c>
      <c r="C200" t="s">
        <v>29</v>
      </c>
      <c r="D200" t="s">
        <v>2477</v>
      </c>
      <c r="E200" t="s">
        <v>73</v>
      </c>
      <c r="F200" t="s">
        <v>138</v>
      </c>
      <c r="G200" t="s">
        <v>418</v>
      </c>
      <c r="H200" t="str">
        <f>TEXT(walmart[[#This Row],[Purchase_Date]],"DDD")</f>
        <v>Sat</v>
      </c>
      <c r="I200" t="str">
        <f>TEXT(walmart[[#This Row],[Purchase_Date]],"MMM")</f>
        <v>Jan</v>
      </c>
      <c r="J200" t="str">
        <f>TEXT(walmart[[#This Row],[Purchase_Date]],"YYY")</f>
        <v>2025</v>
      </c>
      <c r="K200" s="3">
        <v>461.81</v>
      </c>
      <c r="L200" t="str">
        <f t="shared" si="15"/>
        <v>5% off</v>
      </c>
      <c r="M200" s="3">
        <f t="shared" si="16"/>
        <v>23.090500000000002</v>
      </c>
      <c r="N200" t="str">
        <f t="shared" si="17"/>
        <v>Yes</v>
      </c>
      <c r="O200" t="s">
        <v>34</v>
      </c>
      <c r="P200" s="3">
        <f t="shared" si="18"/>
        <v>438.71949999999998</v>
      </c>
      <c r="Q200" t="s">
        <v>47</v>
      </c>
      <c r="R200">
        <v>5</v>
      </c>
      <c r="S200" t="str">
        <f t="shared" si="19"/>
        <v>Excellent</v>
      </c>
    </row>
    <row r="201" spans="1:19" x14ac:dyDescent="0.25">
      <c r="A201" t="s">
        <v>419</v>
      </c>
      <c r="B201">
        <v>30</v>
      </c>
      <c r="C201" t="s">
        <v>16</v>
      </c>
      <c r="D201" t="s">
        <v>2478</v>
      </c>
      <c r="E201" t="s">
        <v>24</v>
      </c>
      <c r="F201" t="s">
        <v>25</v>
      </c>
      <c r="G201" t="s">
        <v>357</v>
      </c>
      <c r="H201" t="str">
        <f>TEXT(walmart[[#This Row],[Purchase_Date]],"DDD")</f>
        <v>Fri</v>
      </c>
      <c r="I201" t="str">
        <f>TEXT(walmart[[#This Row],[Purchase_Date]],"MMM")</f>
        <v>Nov</v>
      </c>
      <c r="J201" t="str">
        <f>TEXT(walmart[[#This Row],[Purchase_Date]],"YYY")</f>
        <v>2024</v>
      </c>
      <c r="K201" s="3">
        <v>67.040000000000006</v>
      </c>
      <c r="L201" t="str">
        <f t="shared" si="15"/>
        <v>0% off</v>
      </c>
      <c r="M201" s="3">
        <f t="shared" si="16"/>
        <v>0</v>
      </c>
      <c r="N201" t="str">
        <f t="shared" si="17"/>
        <v>No</v>
      </c>
      <c r="O201" t="s">
        <v>21</v>
      </c>
      <c r="P201" s="3">
        <f t="shared" si="18"/>
        <v>67.040000000000006</v>
      </c>
      <c r="Q201" t="s">
        <v>35</v>
      </c>
      <c r="R201">
        <v>5</v>
      </c>
      <c r="S201" t="str">
        <f t="shared" si="19"/>
        <v>Excellent</v>
      </c>
    </row>
    <row r="202" spans="1:19" x14ac:dyDescent="0.25">
      <c r="A202" t="s">
        <v>420</v>
      </c>
      <c r="B202">
        <v>65</v>
      </c>
      <c r="C202" t="s">
        <v>16</v>
      </c>
      <c r="D202" t="s">
        <v>2479</v>
      </c>
      <c r="E202" t="s">
        <v>55</v>
      </c>
      <c r="F202" t="s">
        <v>64</v>
      </c>
      <c r="G202" t="s">
        <v>421</v>
      </c>
      <c r="H202" t="str">
        <f>TEXT(walmart[[#This Row],[Purchase_Date]],"DDD")</f>
        <v>Fri</v>
      </c>
      <c r="I202" t="str">
        <f>TEXT(walmart[[#This Row],[Purchase_Date]],"MMM")</f>
        <v>Aug</v>
      </c>
      <c r="J202" t="str">
        <f>TEXT(walmart[[#This Row],[Purchase_Date]],"YYY")</f>
        <v>2024</v>
      </c>
      <c r="K202" s="3">
        <v>374.92</v>
      </c>
      <c r="L202" t="str">
        <f t="shared" si="15"/>
        <v>5% off</v>
      </c>
      <c r="M202" s="3">
        <f t="shared" si="16"/>
        <v>18.746000000000002</v>
      </c>
      <c r="N202" t="str">
        <f t="shared" si="17"/>
        <v>Yes</v>
      </c>
      <c r="O202" t="s">
        <v>21</v>
      </c>
      <c r="P202" s="3">
        <f t="shared" si="18"/>
        <v>356.17400000000004</v>
      </c>
      <c r="Q202" t="s">
        <v>27</v>
      </c>
      <c r="R202">
        <v>5</v>
      </c>
      <c r="S202" t="str">
        <f t="shared" si="19"/>
        <v>Excellent</v>
      </c>
    </row>
    <row r="203" spans="1:19" x14ac:dyDescent="0.25">
      <c r="A203" t="s">
        <v>422</v>
      </c>
      <c r="B203">
        <v>21</v>
      </c>
      <c r="C203" t="s">
        <v>16</v>
      </c>
      <c r="D203" t="s">
        <v>2480</v>
      </c>
      <c r="E203" t="s">
        <v>18</v>
      </c>
      <c r="F203" t="s">
        <v>59</v>
      </c>
      <c r="G203" t="s">
        <v>423</v>
      </c>
      <c r="H203" t="str">
        <f>TEXT(walmart[[#This Row],[Purchase_Date]],"DDD")</f>
        <v>Sun</v>
      </c>
      <c r="I203" t="str">
        <f>TEXT(walmart[[#This Row],[Purchase_Date]],"MMM")</f>
        <v>Jun</v>
      </c>
      <c r="J203" t="str">
        <f>TEXT(walmart[[#This Row],[Purchase_Date]],"YYY")</f>
        <v>2024</v>
      </c>
      <c r="K203" s="3">
        <v>78.349999999999994</v>
      </c>
      <c r="L203" t="str">
        <f t="shared" si="15"/>
        <v>0% off</v>
      </c>
      <c r="M203" s="3">
        <f t="shared" si="16"/>
        <v>0</v>
      </c>
      <c r="N203" t="str">
        <f t="shared" si="17"/>
        <v>No</v>
      </c>
      <c r="O203" t="s">
        <v>34</v>
      </c>
      <c r="P203" s="3">
        <f t="shared" si="18"/>
        <v>78.349999999999994</v>
      </c>
      <c r="Q203" t="s">
        <v>27</v>
      </c>
      <c r="R203">
        <v>3</v>
      </c>
      <c r="S203" t="str">
        <f t="shared" si="19"/>
        <v>Average</v>
      </c>
    </row>
    <row r="204" spans="1:19" x14ac:dyDescent="0.25">
      <c r="A204" t="s">
        <v>424</v>
      </c>
      <c r="B204">
        <v>39</v>
      </c>
      <c r="C204" t="s">
        <v>16</v>
      </c>
      <c r="D204" t="s">
        <v>2481</v>
      </c>
      <c r="E204" t="s">
        <v>37</v>
      </c>
      <c r="F204" t="s">
        <v>117</v>
      </c>
      <c r="G204" t="s">
        <v>349</v>
      </c>
      <c r="H204" t="str">
        <f>TEXT(walmart[[#This Row],[Purchase_Date]],"DDD")</f>
        <v>Thu</v>
      </c>
      <c r="I204" t="str">
        <f>TEXT(walmart[[#This Row],[Purchase_Date]],"MMM")</f>
        <v>Dec</v>
      </c>
      <c r="J204" t="str">
        <f>TEXT(walmart[[#This Row],[Purchase_Date]],"YYY")</f>
        <v>2024</v>
      </c>
      <c r="K204" s="3">
        <v>165.68</v>
      </c>
      <c r="L204" t="str">
        <f t="shared" si="15"/>
        <v>5% off</v>
      </c>
      <c r="M204" s="3">
        <f t="shared" si="16"/>
        <v>8.2840000000000007</v>
      </c>
      <c r="N204" t="str">
        <f t="shared" si="17"/>
        <v>Yes</v>
      </c>
      <c r="O204" t="s">
        <v>21</v>
      </c>
      <c r="P204" s="3">
        <f t="shared" si="18"/>
        <v>157.39600000000002</v>
      </c>
      <c r="Q204" t="s">
        <v>22</v>
      </c>
      <c r="R204">
        <v>4</v>
      </c>
      <c r="S204" t="str">
        <f t="shared" si="19"/>
        <v>Good</v>
      </c>
    </row>
    <row r="205" spans="1:19" x14ac:dyDescent="0.25">
      <c r="A205" t="s">
        <v>425</v>
      </c>
      <c r="B205">
        <v>24</v>
      </c>
      <c r="C205" t="s">
        <v>29</v>
      </c>
      <c r="D205" t="s">
        <v>2482</v>
      </c>
      <c r="E205" t="s">
        <v>37</v>
      </c>
      <c r="F205" t="s">
        <v>117</v>
      </c>
      <c r="G205" t="s">
        <v>157</v>
      </c>
      <c r="H205" t="str">
        <f>TEXT(walmart[[#This Row],[Purchase_Date]],"DDD")</f>
        <v>Mon</v>
      </c>
      <c r="I205" t="str">
        <f>TEXT(walmart[[#This Row],[Purchase_Date]],"MMM")</f>
        <v>Jun</v>
      </c>
      <c r="J205" t="str">
        <f>TEXT(walmart[[#This Row],[Purchase_Date]],"YYY")</f>
        <v>2024</v>
      </c>
      <c r="K205" s="3">
        <v>165.68</v>
      </c>
      <c r="L205" t="str">
        <f t="shared" si="15"/>
        <v>5% off</v>
      </c>
      <c r="M205" s="3">
        <f t="shared" si="16"/>
        <v>8.2840000000000007</v>
      </c>
      <c r="N205" t="str">
        <f t="shared" si="17"/>
        <v>Yes</v>
      </c>
      <c r="O205" t="s">
        <v>21</v>
      </c>
      <c r="P205" s="3">
        <f t="shared" si="18"/>
        <v>157.39600000000002</v>
      </c>
      <c r="Q205" t="s">
        <v>47</v>
      </c>
      <c r="R205">
        <v>1</v>
      </c>
      <c r="S205" t="str">
        <f t="shared" si="19"/>
        <v>Very Poor</v>
      </c>
    </row>
    <row r="206" spans="1:19" x14ac:dyDescent="0.25">
      <c r="A206" t="s">
        <v>426</v>
      </c>
      <c r="B206">
        <v>32</v>
      </c>
      <c r="C206" t="s">
        <v>29</v>
      </c>
      <c r="D206" t="s">
        <v>2462</v>
      </c>
      <c r="E206" t="s">
        <v>42</v>
      </c>
      <c r="F206" t="s">
        <v>52</v>
      </c>
      <c r="G206" t="s">
        <v>349</v>
      </c>
      <c r="H206" t="str">
        <f>TEXT(walmart[[#This Row],[Purchase_Date]],"DDD")</f>
        <v>Thu</v>
      </c>
      <c r="I206" t="str">
        <f>TEXT(walmart[[#This Row],[Purchase_Date]],"MMM")</f>
        <v>Dec</v>
      </c>
      <c r="J206" t="str">
        <f>TEXT(walmart[[#This Row],[Purchase_Date]],"YYY")</f>
        <v>2024</v>
      </c>
      <c r="K206" s="3">
        <v>988.77</v>
      </c>
      <c r="L206" t="str">
        <f t="shared" si="15"/>
        <v>20% off</v>
      </c>
      <c r="M206" s="3">
        <f t="shared" si="16"/>
        <v>197.75400000000002</v>
      </c>
      <c r="N206" t="str">
        <f t="shared" si="17"/>
        <v>Yes</v>
      </c>
      <c r="O206" t="s">
        <v>21</v>
      </c>
      <c r="P206" s="3">
        <f t="shared" si="18"/>
        <v>791.01599999999996</v>
      </c>
      <c r="Q206" t="s">
        <v>22</v>
      </c>
      <c r="R206">
        <v>2</v>
      </c>
      <c r="S206" t="str">
        <f t="shared" si="19"/>
        <v>Poor</v>
      </c>
    </row>
    <row r="207" spans="1:19" x14ac:dyDescent="0.25">
      <c r="A207" t="s">
        <v>427</v>
      </c>
      <c r="B207">
        <v>59</v>
      </c>
      <c r="C207" t="s">
        <v>29</v>
      </c>
      <c r="D207" t="s">
        <v>2483</v>
      </c>
      <c r="E207" t="s">
        <v>24</v>
      </c>
      <c r="F207" t="s">
        <v>162</v>
      </c>
      <c r="G207" t="s">
        <v>428</v>
      </c>
      <c r="H207" t="str">
        <f>TEXT(walmart[[#This Row],[Purchase_Date]],"DDD")</f>
        <v>Wed</v>
      </c>
      <c r="I207" t="str">
        <f>TEXT(walmart[[#This Row],[Purchase_Date]],"MMM")</f>
        <v>May</v>
      </c>
      <c r="J207" t="str">
        <f>TEXT(walmart[[#This Row],[Purchase_Date]],"YYY")</f>
        <v>2024</v>
      </c>
      <c r="K207" s="3">
        <v>362.55</v>
      </c>
      <c r="L207" t="str">
        <f t="shared" si="15"/>
        <v>5% off</v>
      </c>
      <c r="M207" s="3">
        <f t="shared" si="16"/>
        <v>18.127500000000001</v>
      </c>
      <c r="N207" t="str">
        <f t="shared" si="17"/>
        <v>Yes</v>
      </c>
      <c r="O207" t="s">
        <v>21</v>
      </c>
      <c r="P207" s="3">
        <f t="shared" si="18"/>
        <v>344.42250000000001</v>
      </c>
      <c r="Q207" t="s">
        <v>27</v>
      </c>
      <c r="R207">
        <v>4</v>
      </c>
      <c r="S207" t="str">
        <f t="shared" si="19"/>
        <v>Good</v>
      </c>
    </row>
    <row r="208" spans="1:19" x14ac:dyDescent="0.25">
      <c r="A208" t="s">
        <v>429</v>
      </c>
      <c r="B208">
        <v>56</v>
      </c>
      <c r="C208" t="s">
        <v>16</v>
      </c>
      <c r="D208" t="s">
        <v>2484</v>
      </c>
      <c r="E208" t="s">
        <v>42</v>
      </c>
      <c r="F208" t="s">
        <v>103</v>
      </c>
      <c r="G208" t="s">
        <v>279</v>
      </c>
      <c r="H208" t="str">
        <f>TEXT(walmart[[#This Row],[Purchase_Date]],"DDD")</f>
        <v>Thu</v>
      </c>
      <c r="I208" t="str">
        <f>TEXT(walmart[[#This Row],[Purchase_Date]],"MMM")</f>
        <v>Jul</v>
      </c>
      <c r="J208" t="str">
        <f>TEXT(walmart[[#This Row],[Purchase_Date]],"YYY")</f>
        <v>2024</v>
      </c>
      <c r="K208" s="3">
        <v>315.56</v>
      </c>
      <c r="L208" t="str">
        <f t="shared" si="15"/>
        <v>5% off</v>
      </c>
      <c r="M208" s="3">
        <f t="shared" si="16"/>
        <v>15.778</v>
      </c>
      <c r="N208" t="str">
        <f t="shared" si="17"/>
        <v>Yes</v>
      </c>
      <c r="O208" t="s">
        <v>34</v>
      </c>
      <c r="P208" s="3">
        <f t="shared" si="18"/>
        <v>299.78199999999998</v>
      </c>
      <c r="Q208" t="s">
        <v>22</v>
      </c>
      <c r="R208">
        <v>3</v>
      </c>
      <c r="S208" t="str">
        <f t="shared" si="19"/>
        <v>Average</v>
      </c>
    </row>
    <row r="209" spans="1:19" x14ac:dyDescent="0.25">
      <c r="A209" t="s">
        <v>430</v>
      </c>
      <c r="B209">
        <v>28</v>
      </c>
      <c r="C209" t="s">
        <v>16</v>
      </c>
      <c r="D209" t="s">
        <v>2485</v>
      </c>
      <c r="E209" t="s">
        <v>24</v>
      </c>
      <c r="F209" t="s">
        <v>25</v>
      </c>
      <c r="G209" t="s">
        <v>189</v>
      </c>
      <c r="H209" t="str">
        <f>TEXT(walmart[[#This Row],[Purchase_Date]],"DDD")</f>
        <v>Sat</v>
      </c>
      <c r="I209" t="str">
        <f>TEXT(walmart[[#This Row],[Purchase_Date]],"MMM")</f>
        <v>Jun</v>
      </c>
      <c r="J209" t="str">
        <f>TEXT(walmart[[#This Row],[Purchase_Date]],"YYY")</f>
        <v>2024</v>
      </c>
      <c r="K209" s="3">
        <v>67.040000000000006</v>
      </c>
      <c r="L209" t="str">
        <f t="shared" si="15"/>
        <v>0% off</v>
      </c>
      <c r="M209" s="3">
        <f t="shared" si="16"/>
        <v>0</v>
      </c>
      <c r="N209" t="str">
        <f t="shared" si="17"/>
        <v>No</v>
      </c>
      <c r="O209" t="s">
        <v>21</v>
      </c>
      <c r="P209" s="3">
        <f t="shared" si="18"/>
        <v>67.040000000000006</v>
      </c>
      <c r="Q209" t="s">
        <v>35</v>
      </c>
      <c r="R209">
        <v>1</v>
      </c>
      <c r="S209" t="str">
        <f t="shared" si="19"/>
        <v>Very Poor</v>
      </c>
    </row>
    <row r="210" spans="1:19" x14ac:dyDescent="0.25">
      <c r="A210" t="s">
        <v>431</v>
      </c>
      <c r="B210">
        <v>70</v>
      </c>
      <c r="C210" t="s">
        <v>29</v>
      </c>
      <c r="D210" t="s">
        <v>2486</v>
      </c>
      <c r="E210" t="s">
        <v>31</v>
      </c>
      <c r="F210" t="s">
        <v>300</v>
      </c>
      <c r="G210" t="s">
        <v>432</v>
      </c>
      <c r="H210" t="str">
        <f>TEXT(walmart[[#This Row],[Purchase_Date]],"DDD")</f>
        <v>Fri</v>
      </c>
      <c r="I210" t="str">
        <f>TEXT(walmart[[#This Row],[Purchase_Date]],"MMM")</f>
        <v>Nov</v>
      </c>
      <c r="J210" t="str">
        <f>TEXT(walmart[[#This Row],[Purchase_Date]],"YYY")</f>
        <v>2024</v>
      </c>
      <c r="K210" s="3">
        <v>340.04</v>
      </c>
      <c r="L210" t="str">
        <f t="shared" si="15"/>
        <v>5% off</v>
      </c>
      <c r="M210" s="3">
        <f t="shared" si="16"/>
        <v>17.002000000000002</v>
      </c>
      <c r="N210" t="str">
        <f t="shared" si="17"/>
        <v>Yes</v>
      </c>
      <c r="O210" t="s">
        <v>21</v>
      </c>
      <c r="P210" s="3">
        <f t="shared" si="18"/>
        <v>323.03800000000001</v>
      </c>
      <c r="Q210" t="s">
        <v>47</v>
      </c>
      <c r="R210">
        <v>1</v>
      </c>
      <c r="S210" t="str">
        <f t="shared" si="19"/>
        <v>Very Poor</v>
      </c>
    </row>
    <row r="211" spans="1:19" x14ac:dyDescent="0.25">
      <c r="A211" t="s">
        <v>433</v>
      </c>
      <c r="B211">
        <v>59</v>
      </c>
      <c r="C211" t="s">
        <v>16</v>
      </c>
      <c r="D211" t="s">
        <v>2487</v>
      </c>
      <c r="E211" t="s">
        <v>42</v>
      </c>
      <c r="F211" t="s">
        <v>52</v>
      </c>
      <c r="G211" t="s">
        <v>434</v>
      </c>
      <c r="H211" t="str">
        <f>TEXT(walmart[[#This Row],[Purchase_Date]],"DDD")</f>
        <v>Sat</v>
      </c>
      <c r="I211" t="str">
        <f>TEXT(walmart[[#This Row],[Purchase_Date]],"MMM")</f>
        <v>Apr</v>
      </c>
      <c r="J211" t="str">
        <f>TEXT(walmart[[#This Row],[Purchase_Date]],"YYY")</f>
        <v>2024</v>
      </c>
      <c r="K211" s="3">
        <v>988.77</v>
      </c>
      <c r="L211" t="str">
        <f t="shared" si="15"/>
        <v>20% off</v>
      </c>
      <c r="M211" s="3">
        <f t="shared" si="16"/>
        <v>197.75400000000002</v>
      </c>
      <c r="N211" t="str">
        <f t="shared" si="17"/>
        <v>Yes</v>
      </c>
      <c r="O211" t="s">
        <v>21</v>
      </c>
      <c r="P211" s="3">
        <f t="shared" si="18"/>
        <v>791.01599999999996</v>
      </c>
      <c r="Q211" t="s">
        <v>27</v>
      </c>
      <c r="R211">
        <v>3</v>
      </c>
      <c r="S211" t="str">
        <f t="shared" si="19"/>
        <v>Average</v>
      </c>
    </row>
    <row r="212" spans="1:19" x14ac:dyDescent="0.25">
      <c r="A212" t="s">
        <v>435</v>
      </c>
      <c r="B212">
        <v>43</v>
      </c>
      <c r="C212" t="s">
        <v>29</v>
      </c>
      <c r="D212" t="s">
        <v>2488</v>
      </c>
      <c r="E212" t="s">
        <v>55</v>
      </c>
      <c r="F212" t="s">
        <v>56</v>
      </c>
      <c r="G212" t="s">
        <v>315</v>
      </c>
      <c r="H212" t="str">
        <f>TEXT(walmart[[#This Row],[Purchase_Date]],"DDD")</f>
        <v>Mon</v>
      </c>
      <c r="I212" t="str">
        <f>TEXT(walmart[[#This Row],[Purchase_Date]],"MMM")</f>
        <v>Apr</v>
      </c>
      <c r="J212" t="str">
        <f>TEXT(walmart[[#This Row],[Purchase_Date]],"YYY")</f>
        <v>2024</v>
      </c>
      <c r="K212" s="3">
        <v>76.81</v>
      </c>
      <c r="L212" t="str">
        <f t="shared" si="15"/>
        <v>0% off</v>
      </c>
      <c r="M212" s="3">
        <f t="shared" si="16"/>
        <v>0</v>
      </c>
      <c r="N212" t="str">
        <f t="shared" si="17"/>
        <v>No</v>
      </c>
      <c r="O212" t="s">
        <v>21</v>
      </c>
      <c r="P212" s="3">
        <f t="shared" si="18"/>
        <v>76.81</v>
      </c>
      <c r="Q212" t="s">
        <v>47</v>
      </c>
      <c r="R212">
        <v>5</v>
      </c>
      <c r="S212" t="str">
        <f t="shared" si="19"/>
        <v>Excellent</v>
      </c>
    </row>
    <row r="213" spans="1:19" x14ac:dyDescent="0.25">
      <c r="A213" t="s">
        <v>436</v>
      </c>
      <c r="B213">
        <v>32</v>
      </c>
      <c r="C213" t="s">
        <v>29</v>
      </c>
      <c r="D213" t="s">
        <v>2489</v>
      </c>
      <c r="E213" t="s">
        <v>42</v>
      </c>
      <c r="F213" t="s">
        <v>52</v>
      </c>
      <c r="G213" t="s">
        <v>437</v>
      </c>
      <c r="H213" t="str">
        <f>TEXT(walmart[[#This Row],[Purchase_Date]],"DDD")</f>
        <v>Sat</v>
      </c>
      <c r="I213" t="str">
        <f>TEXT(walmart[[#This Row],[Purchase_Date]],"MMM")</f>
        <v>Jul</v>
      </c>
      <c r="J213" t="str">
        <f>TEXT(walmart[[#This Row],[Purchase_Date]],"YYY")</f>
        <v>2024</v>
      </c>
      <c r="K213" s="3">
        <v>988.77</v>
      </c>
      <c r="L213" t="str">
        <f t="shared" si="15"/>
        <v>20% off</v>
      </c>
      <c r="M213" s="3">
        <f t="shared" si="16"/>
        <v>197.75400000000002</v>
      </c>
      <c r="N213" t="str">
        <f t="shared" si="17"/>
        <v>Yes</v>
      </c>
      <c r="O213" t="s">
        <v>34</v>
      </c>
      <c r="P213" s="3">
        <f t="shared" si="18"/>
        <v>791.01599999999996</v>
      </c>
      <c r="Q213" t="s">
        <v>27</v>
      </c>
      <c r="R213">
        <v>1</v>
      </c>
      <c r="S213" t="str">
        <f t="shared" si="19"/>
        <v>Very Poor</v>
      </c>
    </row>
    <row r="214" spans="1:19" x14ac:dyDescent="0.25">
      <c r="A214" t="s">
        <v>438</v>
      </c>
      <c r="B214">
        <v>68</v>
      </c>
      <c r="C214" t="s">
        <v>16</v>
      </c>
      <c r="D214" t="s">
        <v>2490</v>
      </c>
      <c r="E214" t="s">
        <v>42</v>
      </c>
      <c r="F214" t="s">
        <v>52</v>
      </c>
      <c r="G214" t="s">
        <v>439</v>
      </c>
      <c r="H214" t="str">
        <f>TEXT(walmart[[#This Row],[Purchase_Date]],"DDD")</f>
        <v>Sat</v>
      </c>
      <c r="I214" t="str">
        <f>TEXT(walmart[[#This Row],[Purchase_Date]],"MMM")</f>
        <v>Aug</v>
      </c>
      <c r="J214" t="str">
        <f>TEXT(walmart[[#This Row],[Purchase_Date]],"YYY")</f>
        <v>2024</v>
      </c>
      <c r="K214" s="3">
        <v>988.77</v>
      </c>
      <c r="L214" t="str">
        <f t="shared" si="15"/>
        <v>20% off</v>
      </c>
      <c r="M214" s="3">
        <f t="shared" si="16"/>
        <v>197.75400000000002</v>
      </c>
      <c r="N214" t="str">
        <f t="shared" si="17"/>
        <v>Yes</v>
      </c>
      <c r="O214" t="s">
        <v>34</v>
      </c>
      <c r="P214" s="3">
        <f t="shared" si="18"/>
        <v>791.01599999999996</v>
      </c>
      <c r="Q214" t="s">
        <v>27</v>
      </c>
      <c r="R214">
        <v>3</v>
      </c>
      <c r="S214" t="str">
        <f t="shared" si="19"/>
        <v>Average</v>
      </c>
    </row>
    <row r="215" spans="1:19" x14ac:dyDescent="0.25">
      <c r="A215" t="s">
        <v>440</v>
      </c>
      <c r="B215">
        <v>23</v>
      </c>
      <c r="C215" t="s">
        <v>29</v>
      </c>
      <c r="D215" t="s">
        <v>2471</v>
      </c>
      <c r="E215" t="s">
        <v>55</v>
      </c>
      <c r="F215" t="s">
        <v>56</v>
      </c>
      <c r="G215" t="s">
        <v>441</v>
      </c>
      <c r="H215" t="str">
        <f>TEXT(walmart[[#This Row],[Purchase_Date]],"DDD")</f>
        <v>Tue</v>
      </c>
      <c r="I215" t="str">
        <f>TEXT(walmart[[#This Row],[Purchase_Date]],"MMM")</f>
        <v>Apr</v>
      </c>
      <c r="J215" t="str">
        <f>TEXT(walmart[[#This Row],[Purchase_Date]],"YYY")</f>
        <v>2024</v>
      </c>
      <c r="K215" s="3">
        <v>76.81</v>
      </c>
      <c r="L215" t="str">
        <f t="shared" si="15"/>
        <v>0% off</v>
      </c>
      <c r="M215" s="3">
        <f t="shared" si="16"/>
        <v>0</v>
      </c>
      <c r="N215" t="str">
        <f t="shared" si="17"/>
        <v>No</v>
      </c>
      <c r="O215" t="s">
        <v>34</v>
      </c>
      <c r="P215" s="3">
        <f t="shared" si="18"/>
        <v>76.81</v>
      </c>
      <c r="Q215" t="s">
        <v>47</v>
      </c>
      <c r="R215">
        <v>3</v>
      </c>
      <c r="S215" t="str">
        <f t="shared" si="19"/>
        <v>Average</v>
      </c>
    </row>
    <row r="216" spans="1:19" x14ac:dyDescent="0.25">
      <c r="A216" t="s">
        <v>442</v>
      </c>
      <c r="B216">
        <v>45</v>
      </c>
      <c r="C216" t="s">
        <v>16</v>
      </c>
      <c r="D216" t="s">
        <v>2491</v>
      </c>
      <c r="E216" t="s">
        <v>37</v>
      </c>
      <c r="F216" t="s">
        <v>38</v>
      </c>
      <c r="G216" t="s">
        <v>83</v>
      </c>
      <c r="H216" t="str">
        <f>TEXT(walmart[[#This Row],[Purchase_Date]],"DDD")</f>
        <v>Sun</v>
      </c>
      <c r="I216" t="str">
        <f>TEXT(walmart[[#This Row],[Purchase_Date]],"MMM")</f>
        <v>Apr</v>
      </c>
      <c r="J216" t="str">
        <f>TEXT(walmart[[#This Row],[Purchase_Date]],"YYY")</f>
        <v>2024</v>
      </c>
      <c r="K216" s="3">
        <v>211.46</v>
      </c>
      <c r="L216" t="str">
        <f t="shared" si="15"/>
        <v>5% off</v>
      </c>
      <c r="M216" s="3">
        <f t="shared" si="16"/>
        <v>10.573</v>
      </c>
      <c r="N216" t="str">
        <f t="shared" si="17"/>
        <v>Yes</v>
      </c>
      <c r="O216" t="s">
        <v>34</v>
      </c>
      <c r="P216" s="3">
        <f t="shared" si="18"/>
        <v>200.887</v>
      </c>
      <c r="Q216" t="s">
        <v>35</v>
      </c>
      <c r="R216">
        <v>1</v>
      </c>
      <c r="S216" t="str">
        <f t="shared" si="19"/>
        <v>Very Poor</v>
      </c>
    </row>
    <row r="217" spans="1:19" x14ac:dyDescent="0.25">
      <c r="A217" t="s">
        <v>443</v>
      </c>
      <c r="B217">
        <v>46</v>
      </c>
      <c r="C217" t="s">
        <v>16</v>
      </c>
      <c r="D217" t="s">
        <v>2492</v>
      </c>
      <c r="E217" t="s">
        <v>42</v>
      </c>
      <c r="F217" t="s">
        <v>120</v>
      </c>
      <c r="G217" t="s">
        <v>363</v>
      </c>
      <c r="H217" t="str">
        <f>TEXT(walmart[[#This Row],[Purchase_Date]],"DDD")</f>
        <v>Tue</v>
      </c>
      <c r="I217" t="str">
        <f>TEXT(walmart[[#This Row],[Purchase_Date]],"MMM")</f>
        <v>Aug</v>
      </c>
      <c r="J217" t="str">
        <f>TEXT(walmart[[#This Row],[Purchase_Date]],"YYY")</f>
        <v>2024</v>
      </c>
      <c r="K217" s="3">
        <v>260.77999999999997</v>
      </c>
      <c r="L217" t="str">
        <f t="shared" si="15"/>
        <v>5% off</v>
      </c>
      <c r="M217" s="3">
        <f t="shared" si="16"/>
        <v>13.039</v>
      </c>
      <c r="N217" t="str">
        <f t="shared" si="17"/>
        <v>Yes</v>
      </c>
      <c r="O217" t="s">
        <v>21</v>
      </c>
      <c r="P217" s="3">
        <f t="shared" si="18"/>
        <v>247.74099999999999</v>
      </c>
      <c r="Q217" t="s">
        <v>27</v>
      </c>
      <c r="R217">
        <v>1</v>
      </c>
      <c r="S217" t="str">
        <f t="shared" si="19"/>
        <v>Very Poor</v>
      </c>
    </row>
    <row r="218" spans="1:19" x14ac:dyDescent="0.25">
      <c r="A218" t="s">
        <v>444</v>
      </c>
      <c r="B218">
        <v>32</v>
      </c>
      <c r="C218" t="s">
        <v>16</v>
      </c>
      <c r="D218" t="s">
        <v>2493</v>
      </c>
      <c r="E218" t="s">
        <v>42</v>
      </c>
      <c r="F218" t="s">
        <v>120</v>
      </c>
      <c r="G218" t="s">
        <v>445</v>
      </c>
      <c r="H218" t="str">
        <f>TEXT(walmart[[#This Row],[Purchase_Date]],"DDD")</f>
        <v>Tue</v>
      </c>
      <c r="I218" t="str">
        <f>TEXT(walmart[[#This Row],[Purchase_Date]],"MMM")</f>
        <v>Aug</v>
      </c>
      <c r="J218" t="str">
        <f>TEXT(walmart[[#This Row],[Purchase_Date]],"YYY")</f>
        <v>2024</v>
      </c>
      <c r="K218" s="3">
        <v>260.77999999999997</v>
      </c>
      <c r="L218" t="str">
        <f t="shared" si="15"/>
        <v>5% off</v>
      </c>
      <c r="M218" s="3">
        <f t="shared" si="16"/>
        <v>13.039</v>
      </c>
      <c r="N218" t="str">
        <f t="shared" si="17"/>
        <v>Yes</v>
      </c>
      <c r="O218" t="s">
        <v>34</v>
      </c>
      <c r="P218" s="3">
        <f t="shared" si="18"/>
        <v>247.74099999999999</v>
      </c>
      <c r="Q218" t="s">
        <v>35</v>
      </c>
      <c r="R218">
        <v>1</v>
      </c>
      <c r="S218" t="str">
        <f t="shared" si="19"/>
        <v>Very Poor</v>
      </c>
    </row>
    <row r="219" spans="1:19" x14ac:dyDescent="0.25">
      <c r="A219" t="s">
        <v>446</v>
      </c>
      <c r="B219">
        <v>35</v>
      </c>
      <c r="C219" t="s">
        <v>29</v>
      </c>
      <c r="D219" t="s">
        <v>2494</v>
      </c>
      <c r="E219" t="s">
        <v>18</v>
      </c>
      <c r="F219" t="s">
        <v>19</v>
      </c>
      <c r="G219" t="s">
        <v>447</v>
      </c>
      <c r="H219" t="str">
        <f>TEXT(walmart[[#This Row],[Purchase_Date]],"DDD")</f>
        <v>Sat</v>
      </c>
      <c r="I219" t="str">
        <f>TEXT(walmart[[#This Row],[Purchase_Date]],"MMM")</f>
        <v>Nov</v>
      </c>
      <c r="J219" t="str">
        <f>TEXT(walmart[[#This Row],[Purchase_Date]],"YYY")</f>
        <v>2024</v>
      </c>
      <c r="K219" s="3">
        <v>697.86</v>
      </c>
      <c r="L219" t="str">
        <f t="shared" si="15"/>
        <v>10% off</v>
      </c>
      <c r="M219" s="3">
        <f t="shared" si="16"/>
        <v>69.786000000000001</v>
      </c>
      <c r="N219" t="str">
        <f t="shared" si="17"/>
        <v>Yes</v>
      </c>
      <c r="O219" t="s">
        <v>34</v>
      </c>
      <c r="P219" s="3">
        <f t="shared" si="18"/>
        <v>628.07400000000007</v>
      </c>
      <c r="Q219" t="s">
        <v>35</v>
      </c>
      <c r="R219">
        <v>4</v>
      </c>
      <c r="S219" t="str">
        <f t="shared" si="19"/>
        <v>Good</v>
      </c>
    </row>
    <row r="220" spans="1:19" x14ac:dyDescent="0.25">
      <c r="A220" t="s">
        <v>448</v>
      </c>
      <c r="B220">
        <v>55</v>
      </c>
      <c r="C220" t="s">
        <v>16</v>
      </c>
      <c r="D220" t="s">
        <v>2495</v>
      </c>
      <c r="E220" t="s">
        <v>73</v>
      </c>
      <c r="F220" t="s">
        <v>74</v>
      </c>
      <c r="G220" t="s">
        <v>449</v>
      </c>
      <c r="H220" t="str">
        <f>TEXT(walmart[[#This Row],[Purchase_Date]],"DDD")</f>
        <v>Tue</v>
      </c>
      <c r="I220" t="str">
        <f>TEXT(walmart[[#This Row],[Purchase_Date]],"MMM")</f>
        <v>Aug</v>
      </c>
      <c r="J220" t="str">
        <f>TEXT(walmart[[#This Row],[Purchase_Date]],"YYY")</f>
        <v>2024</v>
      </c>
      <c r="K220" s="3">
        <v>782.29</v>
      </c>
      <c r="L220" t="str">
        <f t="shared" si="15"/>
        <v>15% off</v>
      </c>
      <c r="M220" s="3">
        <f t="shared" si="16"/>
        <v>117.34349999999999</v>
      </c>
      <c r="N220" t="str">
        <f t="shared" si="17"/>
        <v>Yes</v>
      </c>
      <c r="O220" t="s">
        <v>34</v>
      </c>
      <c r="P220" s="3">
        <f t="shared" si="18"/>
        <v>664.94650000000001</v>
      </c>
      <c r="Q220" t="s">
        <v>47</v>
      </c>
      <c r="R220">
        <v>1</v>
      </c>
      <c r="S220" t="str">
        <f t="shared" si="19"/>
        <v>Very Poor</v>
      </c>
    </row>
    <row r="221" spans="1:19" x14ac:dyDescent="0.25">
      <c r="A221" t="s">
        <v>450</v>
      </c>
      <c r="B221">
        <v>37</v>
      </c>
      <c r="C221" t="s">
        <v>16</v>
      </c>
      <c r="D221" t="s">
        <v>2496</v>
      </c>
      <c r="E221" t="s">
        <v>37</v>
      </c>
      <c r="F221" t="s">
        <v>38</v>
      </c>
      <c r="G221" t="s">
        <v>401</v>
      </c>
      <c r="H221" t="str">
        <f>TEXT(walmart[[#This Row],[Purchase_Date]],"DDD")</f>
        <v>Wed</v>
      </c>
      <c r="I221" t="str">
        <f>TEXT(walmart[[#This Row],[Purchase_Date]],"MMM")</f>
        <v>Mar</v>
      </c>
      <c r="J221" t="str">
        <f>TEXT(walmart[[#This Row],[Purchase_Date]],"YYY")</f>
        <v>2024</v>
      </c>
      <c r="K221" s="3">
        <v>211.46</v>
      </c>
      <c r="L221" t="str">
        <f t="shared" si="15"/>
        <v>5% off</v>
      </c>
      <c r="M221" s="3">
        <f t="shared" si="16"/>
        <v>10.573</v>
      </c>
      <c r="N221" t="str">
        <f t="shared" si="17"/>
        <v>Yes</v>
      </c>
      <c r="O221" t="s">
        <v>21</v>
      </c>
      <c r="P221" s="3">
        <f t="shared" si="18"/>
        <v>200.887</v>
      </c>
      <c r="Q221" t="s">
        <v>47</v>
      </c>
      <c r="R221">
        <v>1</v>
      </c>
      <c r="S221" t="str">
        <f t="shared" si="19"/>
        <v>Very Poor</v>
      </c>
    </row>
    <row r="222" spans="1:19" x14ac:dyDescent="0.25">
      <c r="A222" t="s">
        <v>451</v>
      </c>
      <c r="B222">
        <v>65</v>
      </c>
      <c r="C222" t="s">
        <v>29</v>
      </c>
      <c r="D222" t="s">
        <v>2497</v>
      </c>
      <c r="E222" t="s">
        <v>18</v>
      </c>
      <c r="F222" t="s">
        <v>77</v>
      </c>
      <c r="G222" t="s">
        <v>167</v>
      </c>
      <c r="H222" t="str">
        <f>TEXT(walmart[[#This Row],[Purchase_Date]],"DDD")</f>
        <v>Mon</v>
      </c>
      <c r="I222" t="str">
        <f>TEXT(walmart[[#This Row],[Purchase_Date]],"MMM")</f>
        <v>Jan</v>
      </c>
      <c r="J222" t="str">
        <f>TEXT(walmart[[#This Row],[Purchase_Date]],"YYY")</f>
        <v>2025</v>
      </c>
      <c r="K222" s="3">
        <v>116.78</v>
      </c>
      <c r="L222" t="str">
        <f t="shared" si="15"/>
        <v>0% off</v>
      </c>
      <c r="M222" s="3">
        <f t="shared" si="16"/>
        <v>0</v>
      </c>
      <c r="N222" t="str">
        <f t="shared" si="17"/>
        <v>No</v>
      </c>
      <c r="O222" t="s">
        <v>21</v>
      </c>
      <c r="P222" s="3">
        <f t="shared" si="18"/>
        <v>116.78</v>
      </c>
      <c r="Q222" t="s">
        <v>35</v>
      </c>
      <c r="R222">
        <v>5</v>
      </c>
      <c r="S222" t="str">
        <f t="shared" si="19"/>
        <v>Excellent</v>
      </c>
    </row>
    <row r="223" spans="1:19" x14ac:dyDescent="0.25">
      <c r="A223" t="s">
        <v>452</v>
      </c>
      <c r="B223">
        <v>42</v>
      </c>
      <c r="C223" t="s">
        <v>29</v>
      </c>
      <c r="D223" t="s">
        <v>2498</v>
      </c>
      <c r="E223" t="s">
        <v>31</v>
      </c>
      <c r="F223" t="s">
        <v>112</v>
      </c>
      <c r="G223" t="s">
        <v>407</v>
      </c>
      <c r="H223" t="str">
        <f>TEXT(walmart[[#This Row],[Purchase_Date]],"DDD")</f>
        <v>Tue</v>
      </c>
      <c r="I223" t="str">
        <f>TEXT(walmart[[#This Row],[Purchase_Date]],"MMM")</f>
        <v>Jul</v>
      </c>
      <c r="J223" t="str">
        <f>TEXT(walmart[[#This Row],[Purchase_Date]],"YYY")</f>
        <v>2024</v>
      </c>
      <c r="K223" s="3">
        <v>492.1</v>
      </c>
      <c r="L223" t="str">
        <f t="shared" si="15"/>
        <v>5% off</v>
      </c>
      <c r="M223" s="3">
        <f t="shared" si="16"/>
        <v>24.605000000000004</v>
      </c>
      <c r="N223" t="str">
        <f t="shared" si="17"/>
        <v>Yes</v>
      </c>
      <c r="O223" t="s">
        <v>34</v>
      </c>
      <c r="P223" s="3">
        <f t="shared" si="18"/>
        <v>467.495</v>
      </c>
      <c r="Q223" t="s">
        <v>47</v>
      </c>
      <c r="R223">
        <v>5</v>
      </c>
      <c r="S223" t="str">
        <f t="shared" si="19"/>
        <v>Excellent</v>
      </c>
    </row>
    <row r="224" spans="1:19" x14ac:dyDescent="0.25">
      <c r="A224" t="s">
        <v>453</v>
      </c>
      <c r="B224">
        <v>56</v>
      </c>
      <c r="C224" t="s">
        <v>16</v>
      </c>
      <c r="D224" t="s">
        <v>2499</v>
      </c>
      <c r="E224" t="s">
        <v>24</v>
      </c>
      <c r="F224" t="s">
        <v>209</v>
      </c>
      <c r="G224" t="s">
        <v>393</v>
      </c>
      <c r="H224" t="str">
        <f>TEXT(walmart[[#This Row],[Purchase_Date]],"DDD")</f>
        <v>Mon</v>
      </c>
      <c r="I224" t="str">
        <f>TEXT(walmart[[#This Row],[Purchase_Date]],"MMM")</f>
        <v>Oct</v>
      </c>
      <c r="J224" t="str">
        <f>TEXT(walmart[[#This Row],[Purchase_Date]],"YYY")</f>
        <v>2024</v>
      </c>
      <c r="K224" s="3">
        <v>775.75</v>
      </c>
      <c r="L224" t="str">
        <f t="shared" si="15"/>
        <v>15% off</v>
      </c>
      <c r="M224" s="3">
        <f t="shared" si="16"/>
        <v>116.3625</v>
      </c>
      <c r="N224" t="str">
        <f t="shared" si="17"/>
        <v>Yes</v>
      </c>
      <c r="O224" t="s">
        <v>21</v>
      </c>
      <c r="P224" s="3">
        <f t="shared" si="18"/>
        <v>659.38750000000005</v>
      </c>
      <c r="Q224" t="s">
        <v>27</v>
      </c>
      <c r="R224">
        <v>3</v>
      </c>
      <c r="S224" t="str">
        <f t="shared" si="19"/>
        <v>Average</v>
      </c>
    </row>
    <row r="225" spans="1:19" x14ac:dyDescent="0.25">
      <c r="A225" t="s">
        <v>454</v>
      </c>
      <c r="B225">
        <v>40</v>
      </c>
      <c r="C225" t="s">
        <v>29</v>
      </c>
      <c r="D225" t="s">
        <v>2500</v>
      </c>
      <c r="E225" t="s">
        <v>24</v>
      </c>
      <c r="F225" t="s">
        <v>186</v>
      </c>
      <c r="G225" t="s">
        <v>157</v>
      </c>
      <c r="H225" t="str">
        <f>TEXT(walmart[[#This Row],[Purchase_Date]],"DDD")</f>
        <v>Mon</v>
      </c>
      <c r="I225" t="str">
        <f>TEXT(walmart[[#This Row],[Purchase_Date]],"MMM")</f>
        <v>Jun</v>
      </c>
      <c r="J225" t="str">
        <f>TEXT(walmart[[#This Row],[Purchase_Date]],"YYY")</f>
        <v>2024</v>
      </c>
      <c r="K225" s="3">
        <v>527.16999999999996</v>
      </c>
      <c r="L225" t="str">
        <f t="shared" si="15"/>
        <v>10% off</v>
      </c>
      <c r="M225" s="3">
        <f t="shared" si="16"/>
        <v>52.716999999999999</v>
      </c>
      <c r="N225" t="str">
        <f t="shared" si="17"/>
        <v>Yes</v>
      </c>
      <c r="O225" t="s">
        <v>21</v>
      </c>
      <c r="P225" s="3">
        <f t="shared" si="18"/>
        <v>474.45299999999997</v>
      </c>
      <c r="Q225" t="s">
        <v>35</v>
      </c>
      <c r="R225">
        <v>1</v>
      </c>
      <c r="S225" t="str">
        <f t="shared" si="19"/>
        <v>Very Poor</v>
      </c>
    </row>
    <row r="226" spans="1:19" x14ac:dyDescent="0.25">
      <c r="A226" t="s">
        <v>455</v>
      </c>
      <c r="B226">
        <v>35</v>
      </c>
      <c r="C226" t="s">
        <v>16</v>
      </c>
      <c r="D226" t="s">
        <v>2501</v>
      </c>
      <c r="E226" t="s">
        <v>31</v>
      </c>
      <c r="F226" t="s">
        <v>169</v>
      </c>
      <c r="G226" t="s">
        <v>199</v>
      </c>
      <c r="H226" t="str">
        <f>TEXT(walmart[[#This Row],[Purchase_Date]],"DDD")</f>
        <v>Sun</v>
      </c>
      <c r="I226" t="str">
        <f>TEXT(walmart[[#This Row],[Purchase_Date]],"MMM")</f>
        <v>May</v>
      </c>
      <c r="J226" t="str">
        <f>TEXT(walmart[[#This Row],[Purchase_Date]],"YYY")</f>
        <v>2024</v>
      </c>
      <c r="K226" s="3">
        <v>52.44</v>
      </c>
      <c r="L226" t="str">
        <f t="shared" si="15"/>
        <v>0% off</v>
      </c>
      <c r="M226" s="3">
        <f t="shared" si="16"/>
        <v>0</v>
      </c>
      <c r="N226" t="str">
        <f t="shared" si="17"/>
        <v>No</v>
      </c>
      <c r="O226" t="s">
        <v>21</v>
      </c>
      <c r="P226" s="3">
        <f t="shared" si="18"/>
        <v>52.44</v>
      </c>
      <c r="Q226" t="s">
        <v>27</v>
      </c>
      <c r="R226">
        <v>1</v>
      </c>
      <c r="S226" t="str">
        <f t="shared" si="19"/>
        <v>Very Poor</v>
      </c>
    </row>
    <row r="227" spans="1:19" x14ac:dyDescent="0.25">
      <c r="A227" t="s">
        <v>456</v>
      </c>
      <c r="B227">
        <v>42</v>
      </c>
      <c r="C227" t="s">
        <v>29</v>
      </c>
      <c r="D227" t="s">
        <v>2502</v>
      </c>
      <c r="E227" t="s">
        <v>73</v>
      </c>
      <c r="F227" t="s">
        <v>91</v>
      </c>
      <c r="G227" t="s">
        <v>457</v>
      </c>
      <c r="H227" t="str">
        <f>TEXT(walmart[[#This Row],[Purchase_Date]],"DDD")</f>
        <v>Thu</v>
      </c>
      <c r="I227" t="str">
        <f>TEXT(walmart[[#This Row],[Purchase_Date]],"MMM")</f>
        <v>Apr</v>
      </c>
      <c r="J227" t="str">
        <f>TEXT(walmart[[#This Row],[Purchase_Date]],"YYY")</f>
        <v>2024</v>
      </c>
      <c r="K227" s="3">
        <v>418.55</v>
      </c>
      <c r="L227" t="str">
        <f t="shared" si="15"/>
        <v>5% off</v>
      </c>
      <c r="M227" s="3">
        <f t="shared" si="16"/>
        <v>20.927500000000002</v>
      </c>
      <c r="N227" t="str">
        <f t="shared" si="17"/>
        <v>Yes</v>
      </c>
      <c r="O227" t="s">
        <v>34</v>
      </c>
      <c r="P227" s="3">
        <f t="shared" si="18"/>
        <v>397.6225</v>
      </c>
      <c r="Q227" t="s">
        <v>35</v>
      </c>
      <c r="R227">
        <v>2</v>
      </c>
      <c r="S227" t="str">
        <f t="shared" si="19"/>
        <v>Poor</v>
      </c>
    </row>
    <row r="228" spans="1:19" x14ac:dyDescent="0.25">
      <c r="A228" t="s">
        <v>458</v>
      </c>
      <c r="B228">
        <v>37</v>
      </c>
      <c r="C228" t="s">
        <v>29</v>
      </c>
      <c r="D228" t="s">
        <v>2503</v>
      </c>
      <c r="E228" t="s">
        <v>18</v>
      </c>
      <c r="F228" t="s">
        <v>59</v>
      </c>
      <c r="G228" t="s">
        <v>459</v>
      </c>
      <c r="H228" t="str">
        <f>TEXT(walmart[[#This Row],[Purchase_Date]],"DDD")</f>
        <v>Tue</v>
      </c>
      <c r="I228" t="str">
        <f>TEXT(walmart[[#This Row],[Purchase_Date]],"MMM")</f>
        <v>Aug</v>
      </c>
      <c r="J228" t="str">
        <f>TEXT(walmart[[#This Row],[Purchase_Date]],"YYY")</f>
        <v>2024</v>
      </c>
      <c r="K228" s="3">
        <v>78.349999999999994</v>
      </c>
      <c r="L228" t="str">
        <f t="shared" si="15"/>
        <v>0% off</v>
      </c>
      <c r="M228" s="3">
        <f t="shared" si="16"/>
        <v>0</v>
      </c>
      <c r="N228" t="str">
        <f t="shared" si="17"/>
        <v>No</v>
      </c>
      <c r="O228" t="s">
        <v>34</v>
      </c>
      <c r="P228" s="3">
        <f t="shared" si="18"/>
        <v>78.349999999999994</v>
      </c>
      <c r="Q228" t="s">
        <v>22</v>
      </c>
      <c r="R228">
        <v>5</v>
      </c>
      <c r="S228" t="str">
        <f t="shared" si="19"/>
        <v>Excellent</v>
      </c>
    </row>
    <row r="229" spans="1:19" x14ac:dyDescent="0.25">
      <c r="A229" t="s">
        <v>460</v>
      </c>
      <c r="B229">
        <v>68</v>
      </c>
      <c r="C229" t="s">
        <v>16</v>
      </c>
      <c r="D229" t="s">
        <v>2504</v>
      </c>
      <c r="E229" t="s">
        <v>37</v>
      </c>
      <c r="F229" t="s">
        <v>38</v>
      </c>
      <c r="G229" t="s">
        <v>461</v>
      </c>
      <c r="H229" t="str">
        <f>TEXT(walmart[[#This Row],[Purchase_Date]],"DDD")</f>
        <v>Thu</v>
      </c>
      <c r="I229" t="str">
        <f>TEXT(walmart[[#This Row],[Purchase_Date]],"MMM")</f>
        <v>Mar</v>
      </c>
      <c r="J229" t="str">
        <f>TEXT(walmart[[#This Row],[Purchase_Date]],"YYY")</f>
        <v>2025</v>
      </c>
      <c r="K229" s="3">
        <v>211.46</v>
      </c>
      <c r="L229" t="str">
        <f t="shared" si="15"/>
        <v>5% off</v>
      </c>
      <c r="M229" s="3">
        <f t="shared" si="16"/>
        <v>10.573</v>
      </c>
      <c r="N229" t="str">
        <f t="shared" si="17"/>
        <v>Yes</v>
      </c>
      <c r="O229" t="s">
        <v>21</v>
      </c>
      <c r="P229" s="3">
        <f t="shared" si="18"/>
        <v>200.887</v>
      </c>
      <c r="Q229" t="s">
        <v>47</v>
      </c>
      <c r="R229">
        <v>4</v>
      </c>
      <c r="S229" t="str">
        <f t="shared" si="19"/>
        <v>Good</v>
      </c>
    </row>
    <row r="230" spans="1:19" x14ac:dyDescent="0.25">
      <c r="A230" t="s">
        <v>462</v>
      </c>
      <c r="B230">
        <v>60</v>
      </c>
      <c r="C230" t="s">
        <v>29</v>
      </c>
      <c r="D230" t="s">
        <v>2505</v>
      </c>
      <c r="E230" t="s">
        <v>55</v>
      </c>
      <c r="F230" t="s">
        <v>64</v>
      </c>
      <c r="G230" t="s">
        <v>463</v>
      </c>
      <c r="H230" t="str">
        <f>TEXT(walmart[[#This Row],[Purchase_Date]],"DDD")</f>
        <v>Mon</v>
      </c>
      <c r="I230" t="str">
        <f>TEXT(walmart[[#This Row],[Purchase_Date]],"MMM")</f>
        <v>Mar</v>
      </c>
      <c r="J230" t="str">
        <f>TEXT(walmart[[#This Row],[Purchase_Date]],"YYY")</f>
        <v>2025</v>
      </c>
      <c r="K230" s="3">
        <v>374.92</v>
      </c>
      <c r="L230" t="str">
        <f t="shared" si="15"/>
        <v>5% off</v>
      </c>
      <c r="M230" s="3">
        <f t="shared" si="16"/>
        <v>18.746000000000002</v>
      </c>
      <c r="N230" t="str">
        <f t="shared" si="17"/>
        <v>Yes</v>
      </c>
      <c r="O230" t="s">
        <v>21</v>
      </c>
      <c r="P230" s="3">
        <f t="shared" si="18"/>
        <v>356.17400000000004</v>
      </c>
      <c r="Q230" t="s">
        <v>47</v>
      </c>
      <c r="R230">
        <v>3</v>
      </c>
      <c r="S230" t="str">
        <f t="shared" si="19"/>
        <v>Average</v>
      </c>
    </row>
    <row r="231" spans="1:19" x14ac:dyDescent="0.25">
      <c r="A231" t="s">
        <v>464</v>
      </c>
      <c r="B231">
        <v>69</v>
      </c>
      <c r="C231" t="s">
        <v>16</v>
      </c>
      <c r="D231" t="s">
        <v>2506</v>
      </c>
      <c r="E231" t="s">
        <v>31</v>
      </c>
      <c r="F231" t="s">
        <v>32</v>
      </c>
      <c r="G231" t="s">
        <v>465</v>
      </c>
      <c r="H231" t="str">
        <f>TEXT(walmart[[#This Row],[Purchase_Date]],"DDD")</f>
        <v>Tue</v>
      </c>
      <c r="I231" t="str">
        <f>TEXT(walmart[[#This Row],[Purchase_Date]],"MMM")</f>
        <v>Feb</v>
      </c>
      <c r="J231" t="str">
        <f>TEXT(walmart[[#This Row],[Purchase_Date]],"YYY")</f>
        <v>2025</v>
      </c>
      <c r="K231" s="3">
        <v>493.96</v>
      </c>
      <c r="L231" t="str">
        <f t="shared" si="15"/>
        <v>5% off</v>
      </c>
      <c r="M231" s="3">
        <f t="shared" si="16"/>
        <v>24.698</v>
      </c>
      <c r="N231" t="str">
        <f t="shared" si="17"/>
        <v>Yes</v>
      </c>
      <c r="O231" t="s">
        <v>21</v>
      </c>
      <c r="P231" s="3">
        <f t="shared" si="18"/>
        <v>469.262</v>
      </c>
      <c r="Q231" t="s">
        <v>22</v>
      </c>
      <c r="R231">
        <v>1</v>
      </c>
      <c r="S231" t="str">
        <f t="shared" si="19"/>
        <v>Very Poor</v>
      </c>
    </row>
    <row r="232" spans="1:19" x14ac:dyDescent="0.25">
      <c r="A232" t="s">
        <v>466</v>
      </c>
      <c r="B232">
        <v>58</v>
      </c>
      <c r="C232" t="s">
        <v>16</v>
      </c>
      <c r="D232" t="s">
        <v>2507</v>
      </c>
      <c r="E232" t="s">
        <v>31</v>
      </c>
      <c r="F232" t="s">
        <v>300</v>
      </c>
      <c r="G232" t="s">
        <v>467</v>
      </c>
      <c r="H232" t="str">
        <f>TEXT(walmart[[#This Row],[Purchase_Date]],"DDD")</f>
        <v>Fri</v>
      </c>
      <c r="I232" t="str">
        <f>TEXT(walmart[[#This Row],[Purchase_Date]],"MMM")</f>
        <v>Apr</v>
      </c>
      <c r="J232" t="str">
        <f>TEXT(walmart[[#This Row],[Purchase_Date]],"YYY")</f>
        <v>2024</v>
      </c>
      <c r="K232" s="3">
        <v>340.04</v>
      </c>
      <c r="L232" t="str">
        <f t="shared" si="15"/>
        <v>5% off</v>
      </c>
      <c r="M232" s="3">
        <f t="shared" si="16"/>
        <v>17.002000000000002</v>
      </c>
      <c r="N232" t="str">
        <f t="shared" si="17"/>
        <v>Yes</v>
      </c>
      <c r="O232" t="s">
        <v>21</v>
      </c>
      <c r="P232" s="3">
        <f t="shared" si="18"/>
        <v>323.03800000000001</v>
      </c>
      <c r="Q232" t="s">
        <v>22</v>
      </c>
      <c r="R232">
        <v>3</v>
      </c>
      <c r="S232" t="str">
        <f t="shared" si="19"/>
        <v>Average</v>
      </c>
    </row>
    <row r="233" spans="1:19" x14ac:dyDescent="0.25">
      <c r="A233" t="s">
        <v>468</v>
      </c>
      <c r="B233">
        <v>38</v>
      </c>
      <c r="C233" t="s">
        <v>16</v>
      </c>
      <c r="D233" t="s">
        <v>2508</v>
      </c>
      <c r="E233" t="s">
        <v>73</v>
      </c>
      <c r="F233" t="s">
        <v>91</v>
      </c>
      <c r="G233" t="s">
        <v>250</v>
      </c>
      <c r="H233" t="str">
        <f>TEXT(walmart[[#This Row],[Purchase_Date]],"DDD")</f>
        <v>Sun</v>
      </c>
      <c r="I233" t="str">
        <f>TEXT(walmart[[#This Row],[Purchase_Date]],"MMM")</f>
        <v>Jul</v>
      </c>
      <c r="J233" t="str">
        <f>TEXT(walmart[[#This Row],[Purchase_Date]],"YYY")</f>
        <v>2024</v>
      </c>
      <c r="K233" s="3">
        <v>418.55</v>
      </c>
      <c r="L233" t="str">
        <f t="shared" si="15"/>
        <v>5% off</v>
      </c>
      <c r="M233" s="3">
        <f t="shared" si="16"/>
        <v>20.927500000000002</v>
      </c>
      <c r="N233" t="str">
        <f t="shared" si="17"/>
        <v>Yes</v>
      </c>
      <c r="O233" t="s">
        <v>21</v>
      </c>
      <c r="P233" s="3">
        <f t="shared" si="18"/>
        <v>397.6225</v>
      </c>
      <c r="Q233" t="s">
        <v>27</v>
      </c>
      <c r="R233">
        <v>5</v>
      </c>
      <c r="S233" t="str">
        <f t="shared" si="19"/>
        <v>Excellent</v>
      </c>
    </row>
    <row r="234" spans="1:19" x14ac:dyDescent="0.25">
      <c r="A234" t="s">
        <v>469</v>
      </c>
      <c r="B234">
        <v>30</v>
      </c>
      <c r="C234" t="s">
        <v>16</v>
      </c>
      <c r="D234" t="s">
        <v>2509</v>
      </c>
      <c r="E234" t="s">
        <v>18</v>
      </c>
      <c r="F234" t="s">
        <v>19</v>
      </c>
      <c r="G234" t="s">
        <v>470</v>
      </c>
      <c r="H234" t="str">
        <f>TEXT(walmart[[#This Row],[Purchase_Date]],"DDD")</f>
        <v>Sun</v>
      </c>
      <c r="I234" t="str">
        <f>TEXT(walmart[[#This Row],[Purchase_Date]],"MMM")</f>
        <v>Sep</v>
      </c>
      <c r="J234" t="str">
        <f>TEXT(walmart[[#This Row],[Purchase_Date]],"YYY")</f>
        <v>2024</v>
      </c>
      <c r="K234" s="3">
        <v>697.86</v>
      </c>
      <c r="L234" t="str">
        <f t="shared" si="15"/>
        <v>10% off</v>
      </c>
      <c r="M234" s="3">
        <f t="shared" si="16"/>
        <v>69.786000000000001</v>
      </c>
      <c r="N234" t="str">
        <f t="shared" si="17"/>
        <v>Yes</v>
      </c>
      <c r="O234" t="s">
        <v>21</v>
      </c>
      <c r="P234" s="3">
        <f t="shared" si="18"/>
        <v>628.07400000000007</v>
      </c>
      <c r="Q234" t="s">
        <v>47</v>
      </c>
      <c r="R234">
        <v>4</v>
      </c>
      <c r="S234" t="str">
        <f t="shared" si="19"/>
        <v>Good</v>
      </c>
    </row>
    <row r="235" spans="1:19" x14ac:dyDescent="0.25">
      <c r="A235" t="s">
        <v>471</v>
      </c>
      <c r="B235">
        <v>43</v>
      </c>
      <c r="C235" t="s">
        <v>16</v>
      </c>
      <c r="D235" t="s">
        <v>2510</v>
      </c>
      <c r="E235" t="s">
        <v>18</v>
      </c>
      <c r="F235" t="s">
        <v>77</v>
      </c>
      <c r="G235" t="s">
        <v>231</v>
      </c>
      <c r="H235" t="str">
        <f>TEXT(walmart[[#This Row],[Purchase_Date]],"DDD")</f>
        <v>Thu</v>
      </c>
      <c r="I235" t="str">
        <f>TEXT(walmart[[#This Row],[Purchase_Date]],"MMM")</f>
        <v>Oct</v>
      </c>
      <c r="J235" t="str">
        <f>TEXT(walmart[[#This Row],[Purchase_Date]],"YYY")</f>
        <v>2024</v>
      </c>
      <c r="K235" s="3">
        <v>116.78</v>
      </c>
      <c r="L235" t="str">
        <f t="shared" si="15"/>
        <v>0% off</v>
      </c>
      <c r="M235" s="3">
        <f t="shared" si="16"/>
        <v>0</v>
      </c>
      <c r="N235" t="str">
        <f t="shared" si="17"/>
        <v>No</v>
      </c>
      <c r="O235" t="s">
        <v>34</v>
      </c>
      <c r="P235" s="3">
        <f t="shared" si="18"/>
        <v>116.78</v>
      </c>
      <c r="Q235" t="s">
        <v>27</v>
      </c>
      <c r="R235">
        <v>2</v>
      </c>
      <c r="S235" t="str">
        <f t="shared" si="19"/>
        <v>Poor</v>
      </c>
    </row>
    <row r="236" spans="1:19" x14ac:dyDescent="0.25">
      <c r="A236" t="s">
        <v>472</v>
      </c>
      <c r="B236">
        <v>60</v>
      </c>
      <c r="C236" t="s">
        <v>29</v>
      </c>
      <c r="D236" t="s">
        <v>2511</v>
      </c>
      <c r="E236" t="s">
        <v>31</v>
      </c>
      <c r="F236" t="s">
        <v>32</v>
      </c>
      <c r="G236" t="s">
        <v>342</v>
      </c>
      <c r="H236" t="str">
        <f>TEXT(walmart[[#This Row],[Purchase_Date]],"DDD")</f>
        <v>Mon</v>
      </c>
      <c r="I236" t="str">
        <f>TEXT(walmart[[#This Row],[Purchase_Date]],"MMM")</f>
        <v>Apr</v>
      </c>
      <c r="J236" t="str">
        <f>TEXT(walmart[[#This Row],[Purchase_Date]],"YYY")</f>
        <v>2024</v>
      </c>
      <c r="K236" s="3">
        <v>493.96</v>
      </c>
      <c r="L236" t="str">
        <f t="shared" si="15"/>
        <v>5% off</v>
      </c>
      <c r="M236" s="3">
        <f t="shared" si="16"/>
        <v>24.698</v>
      </c>
      <c r="N236" t="str">
        <f t="shared" si="17"/>
        <v>Yes</v>
      </c>
      <c r="O236" t="s">
        <v>21</v>
      </c>
      <c r="P236" s="3">
        <f t="shared" si="18"/>
        <v>469.262</v>
      </c>
      <c r="Q236" t="s">
        <v>35</v>
      </c>
      <c r="R236">
        <v>5</v>
      </c>
      <c r="S236" t="str">
        <f t="shared" si="19"/>
        <v>Excellent</v>
      </c>
    </row>
    <row r="237" spans="1:19" x14ac:dyDescent="0.25">
      <c r="A237" t="s">
        <v>473</v>
      </c>
      <c r="B237">
        <v>36</v>
      </c>
      <c r="C237" t="s">
        <v>29</v>
      </c>
      <c r="D237" t="s">
        <v>2512</v>
      </c>
      <c r="E237" t="s">
        <v>55</v>
      </c>
      <c r="F237" t="s">
        <v>67</v>
      </c>
      <c r="G237" t="s">
        <v>474</v>
      </c>
      <c r="H237" t="str">
        <f>TEXT(walmart[[#This Row],[Purchase_Date]],"DDD")</f>
        <v>Wed</v>
      </c>
      <c r="I237" t="str">
        <f>TEXT(walmart[[#This Row],[Purchase_Date]],"MMM")</f>
        <v>Jun</v>
      </c>
      <c r="J237" t="str">
        <f>TEXT(walmart[[#This Row],[Purchase_Date]],"YYY")</f>
        <v>2024</v>
      </c>
      <c r="K237" s="3">
        <v>452.97</v>
      </c>
      <c r="L237" t="str">
        <f t="shared" si="15"/>
        <v>5% off</v>
      </c>
      <c r="M237" s="3">
        <f t="shared" si="16"/>
        <v>22.648500000000002</v>
      </c>
      <c r="N237" t="str">
        <f t="shared" si="17"/>
        <v>Yes</v>
      </c>
      <c r="O237" t="s">
        <v>34</v>
      </c>
      <c r="P237" s="3">
        <f t="shared" si="18"/>
        <v>430.32150000000001</v>
      </c>
      <c r="Q237" t="s">
        <v>22</v>
      </c>
      <c r="R237">
        <v>5</v>
      </c>
      <c r="S237" t="str">
        <f t="shared" si="19"/>
        <v>Excellent</v>
      </c>
    </row>
    <row r="238" spans="1:19" x14ac:dyDescent="0.25">
      <c r="A238" t="s">
        <v>475</v>
      </c>
      <c r="B238">
        <v>47</v>
      </c>
      <c r="C238" t="s">
        <v>16</v>
      </c>
      <c r="D238" t="s">
        <v>2513</v>
      </c>
      <c r="E238" t="s">
        <v>24</v>
      </c>
      <c r="F238" t="s">
        <v>162</v>
      </c>
      <c r="G238" t="s">
        <v>476</v>
      </c>
      <c r="H238" t="str">
        <f>TEXT(walmart[[#This Row],[Purchase_Date]],"DDD")</f>
        <v>Fri</v>
      </c>
      <c r="I238" t="str">
        <f>TEXT(walmart[[#This Row],[Purchase_Date]],"MMM")</f>
        <v>Mar</v>
      </c>
      <c r="J238" t="str">
        <f>TEXT(walmart[[#This Row],[Purchase_Date]],"YYY")</f>
        <v>2025</v>
      </c>
      <c r="K238" s="3">
        <v>362.55</v>
      </c>
      <c r="L238" t="str">
        <f t="shared" si="15"/>
        <v>5% off</v>
      </c>
      <c r="M238" s="3">
        <f t="shared" si="16"/>
        <v>18.127500000000001</v>
      </c>
      <c r="N238" t="str">
        <f t="shared" si="17"/>
        <v>Yes</v>
      </c>
      <c r="O238" t="s">
        <v>34</v>
      </c>
      <c r="P238" s="3">
        <f t="shared" si="18"/>
        <v>344.42250000000001</v>
      </c>
      <c r="Q238" t="s">
        <v>35</v>
      </c>
      <c r="R238">
        <v>3</v>
      </c>
      <c r="S238" t="str">
        <f t="shared" si="19"/>
        <v>Average</v>
      </c>
    </row>
    <row r="239" spans="1:19" x14ac:dyDescent="0.25">
      <c r="A239" t="s">
        <v>477</v>
      </c>
      <c r="B239">
        <v>47</v>
      </c>
      <c r="C239" t="s">
        <v>29</v>
      </c>
      <c r="D239" t="s">
        <v>2514</v>
      </c>
      <c r="E239" t="s">
        <v>42</v>
      </c>
      <c r="F239" t="s">
        <v>103</v>
      </c>
      <c r="G239" t="s">
        <v>478</v>
      </c>
      <c r="H239" t="str">
        <f>TEXT(walmart[[#This Row],[Purchase_Date]],"DDD")</f>
        <v>Tue</v>
      </c>
      <c r="I239" t="str">
        <f>TEXT(walmart[[#This Row],[Purchase_Date]],"MMM")</f>
        <v>Sep</v>
      </c>
      <c r="J239" t="str">
        <f>TEXT(walmart[[#This Row],[Purchase_Date]],"YYY")</f>
        <v>2024</v>
      </c>
      <c r="K239" s="3">
        <v>315.56</v>
      </c>
      <c r="L239" t="str">
        <f t="shared" si="15"/>
        <v>5% off</v>
      </c>
      <c r="M239" s="3">
        <f t="shared" si="16"/>
        <v>15.778</v>
      </c>
      <c r="N239" t="str">
        <f t="shared" si="17"/>
        <v>Yes</v>
      </c>
      <c r="O239" t="s">
        <v>34</v>
      </c>
      <c r="P239" s="3">
        <f t="shared" si="18"/>
        <v>299.78199999999998</v>
      </c>
      <c r="Q239" t="s">
        <v>22</v>
      </c>
      <c r="R239">
        <v>1</v>
      </c>
      <c r="S239" t="str">
        <f t="shared" si="19"/>
        <v>Very Poor</v>
      </c>
    </row>
    <row r="240" spans="1:19" x14ac:dyDescent="0.25">
      <c r="A240" t="s">
        <v>479</v>
      </c>
      <c r="B240">
        <v>19</v>
      </c>
      <c r="C240" t="s">
        <v>29</v>
      </c>
      <c r="D240" t="s">
        <v>2515</v>
      </c>
      <c r="E240" t="s">
        <v>37</v>
      </c>
      <c r="F240" t="s">
        <v>117</v>
      </c>
      <c r="G240" t="s">
        <v>480</v>
      </c>
      <c r="H240" t="str">
        <f>TEXT(walmart[[#This Row],[Purchase_Date]],"DDD")</f>
        <v>Mon</v>
      </c>
      <c r="I240" t="str">
        <f>TEXT(walmart[[#This Row],[Purchase_Date]],"MMM")</f>
        <v>Oct</v>
      </c>
      <c r="J240" t="str">
        <f>TEXT(walmart[[#This Row],[Purchase_Date]],"YYY")</f>
        <v>2024</v>
      </c>
      <c r="K240" s="3">
        <v>165.68</v>
      </c>
      <c r="L240" t="str">
        <f t="shared" si="15"/>
        <v>5% off</v>
      </c>
      <c r="M240" s="3">
        <f t="shared" si="16"/>
        <v>8.2840000000000007</v>
      </c>
      <c r="N240" t="str">
        <f t="shared" si="17"/>
        <v>Yes</v>
      </c>
      <c r="O240" t="s">
        <v>34</v>
      </c>
      <c r="P240" s="3">
        <f t="shared" si="18"/>
        <v>157.39600000000002</v>
      </c>
      <c r="Q240" t="s">
        <v>35</v>
      </c>
      <c r="R240">
        <v>2</v>
      </c>
      <c r="S240" t="str">
        <f t="shared" si="19"/>
        <v>Poor</v>
      </c>
    </row>
    <row r="241" spans="1:19" x14ac:dyDescent="0.25">
      <c r="A241" t="s">
        <v>481</v>
      </c>
      <c r="B241">
        <v>53</v>
      </c>
      <c r="C241" t="s">
        <v>16</v>
      </c>
      <c r="D241" t="s">
        <v>2516</v>
      </c>
      <c r="E241" t="s">
        <v>24</v>
      </c>
      <c r="F241" t="s">
        <v>25</v>
      </c>
      <c r="G241" t="s">
        <v>482</v>
      </c>
      <c r="H241" t="str">
        <f>TEXT(walmart[[#This Row],[Purchase_Date]],"DDD")</f>
        <v>Fri</v>
      </c>
      <c r="I241" t="str">
        <f>TEXT(walmart[[#This Row],[Purchase_Date]],"MMM")</f>
        <v>May</v>
      </c>
      <c r="J241" t="str">
        <f>TEXT(walmart[[#This Row],[Purchase_Date]],"YYY")</f>
        <v>2024</v>
      </c>
      <c r="K241" s="3">
        <v>67.040000000000006</v>
      </c>
      <c r="L241" t="str">
        <f t="shared" si="15"/>
        <v>0% off</v>
      </c>
      <c r="M241" s="3">
        <f t="shared" si="16"/>
        <v>0</v>
      </c>
      <c r="N241" t="str">
        <f t="shared" si="17"/>
        <v>No</v>
      </c>
      <c r="O241" t="s">
        <v>21</v>
      </c>
      <c r="P241" s="3">
        <f t="shared" si="18"/>
        <v>67.040000000000006</v>
      </c>
      <c r="Q241" t="s">
        <v>35</v>
      </c>
      <c r="R241">
        <v>5</v>
      </c>
      <c r="S241" t="str">
        <f t="shared" si="19"/>
        <v>Excellent</v>
      </c>
    </row>
    <row r="242" spans="1:19" x14ac:dyDescent="0.25">
      <c r="A242" t="s">
        <v>483</v>
      </c>
      <c r="B242">
        <v>34</v>
      </c>
      <c r="C242" t="s">
        <v>29</v>
      </c>
      <c r="D242" t="s">
        <v>2517</v>
      </c>
      <c r="E242" t="s">
        <v>18</v>
      </c>
      <c r="F242" t="s">
        <v>77</v>
      </c>
      <c r="G242" t="s">
        <v>484</v>
      </c>
      <c r="H242" t="str">
        <f>TEXT(walmart[[#This Row],[Purchase_Date]],"DDD")</f>
        <v>Wed</v>
      </c>
      <c r="I242" t="str">
        <f>TEXT(walmart[[#This Row],[Purchase_Date]],"MMM")</f>
        <v>Jan</v>
      </c>
      <c r="J242" t="str">
        <f>TEXT(walmart[[#This Row],[Purchase_Date]],"YYY")</f>
        <v>2025</v>
      </c>
      <c r="K242" s="3">
        <v>116.78</v>
      </c>
      <c r="L242" t="str">
        <f t="shared" si="15"/>
        <v>0% off</v>
      </c>
      <c r="M242" s="3">
        <f t="shared" si="16"/>
        <v>0</v>
      </c>
      <c r="N242" t="str">
        <f t="shared" si="17"/>
        <v>No</v>
      </c>
      <c r="O242" t="s">
        <v>21</v>
      </c>
      <c r="P242" s="3">
        <f t="shared" si="18"/>
        <v>116.78</v>
      </c>
      <c r="Q242" t="s">
        <v>35</v>
      </c>
      <c r="R242">
        <v>2</v>
      </c>
      <c r="S242" t="str">
        <f t="shared" si="19"/>
        <v>Poor</v>
      </c>
    </row>
    <row r="243" spans="1:19" x14ac:dyDescent="0.25">
      <c r="A243" t="s">
        <v>485</v>
      </c>
      <c r="B243">
        <v>24</v>
      </c>
      <c r="C243" t="s">
        <v>16</v>
      </c>
      <c r="D243" t="s">
        <v>2518</v>
      </c>
      <c r="E243" t="s">
        <v>73</v>
      </c>
      <c r="F243" t="s">
        <v>94</v>
      </c>
      <c r="G243" t="s">
        <v>486</v>
      </c>
      <c r="H243" t="str">
        <f>TEXT(walmart[[#This Row],[Purchase_Date]],"DDD")</f>
        <v>Wed</v>
      </c>
      <c r="I243" t="str">
        <f>TEXT(walmart[[#This Row],[Purchase_Date]],"MMM")</f>
        <v>Mar</v>
      </c>
      <c r="J243" t="str">
        <f>TEXT(walmart[[#This Row],[Purchase_Date]],"YYY")</f>
        <v>2025</v>
      </c>
      <c r="K243" s="3">
        <v>965.09</v>
      </c>
      <c r="L243" t="str">
        <f t="shared" si="15"/>
        <v>20% off</v>
      </c>
      <c r="M243" s="3">
        <f t="shared" si="16"/>
        <v>193.01800000000003</v>
      </c>
      <c r="N243" t="str">
        <f t="shared" si="17"/>
        <v>Yes</v>
      </c>
      <c r="O243" t="s">
        <v>34</v>
      </c>
      <c r="P243" s="3">
        <f t="shared" si="18"/>
        <v>772.072</v>
      </c>
      <c r="Q243" t="s">
        <v>27</v>
      </c>
      <c r="R243">
        <v>1</v>
      </c>
      <c r="S243" t="str">
        <f t="shared" si="19"/>
        <v>Very Poor</v>
      </c>
    </row>
    <row r="244" spans="1:19" x14ac:dyDescent="0.25">
      <c r="A244" t="s">
        <v>487</v>
      </c>
      <c r="B244">
        <v>53</v>
      </c>
      <c r="C244" t="s">
        <v>29</v>
      </c>
      <c r="D244" t="s">
        <v>2519</v>
      </c>
      <c r="E244" t="s">
        <v>18</v>
      </c>
      <c r="F244" t="s">
        <v>59</v>
      </c>
      <c r="G244" t="s">
        <v>488</v>
      </c>
      <c r="H244" t="str">
        <f>TEXT(walmart[[#This Row],[Purchase_Date]],"DDD")</f>
        <v>Wed</v>
      </c>
      <c r="I244" t="str">
        <f>TEXT(walmart[[#This Row],[Purchase_Date]],"MMM")</f>
        <v>Mar</v>
      </c>
      <c r="J244" t="str">
        <f>TEXT(walmart[[#This Row],[Purchase_Date]],"YYY")</f>
        <v>2025</v>
      </c>
      <c r="K244" s="3">
        <v>78.349999999999994</v>
      </c>
      <c r="L244" t="str">
        <f t="shared" si="15"/>
        <v>0% off</v>
      </c>
      <c r="M244" s="3">
        <f t="shared" si="16"/>
        <v>0</v>
      </c>
      <c r="N244" t="str">
        <f t="shared" si="17"/>
        <v>No</v>
      </c>
      <c r="O244" t="s">
        <v>21</v>
      </c>
      <c r="P244" s="3">
        <f t="shared" si="18"/>
        <v>78.349999999999994</v>
      </c>
      <c r="Q244" t="s">
        <v>35</v>
      </c>
      <c r="R244">
        <v>3</v>
      </c>
      <c r="S244" t="str">
        <f t="shared" si="19"/>
        <v>Average</v>
      </c>
    </row>
    <row r="245" spans="1:19" x14ac:dyDescent="0.25">
      <c r="A245" t="s">
        <v>489</v>
      </c>
      <c r="B245">
        <v>21</v>
      </c>
      <c r="C245" t="s">
        <v>16</v>
      </c>
      <c r="D245" t="s">
        <v>2520</v>
      </c>
      <c r="E245" t="s">
        <v>73</v>
      </c>
      <c r="F245" t="s">
        <v>74</v>
      </c>
      <c r="G245" t="s">
        <v>490</v>
      </c>
      <c r="H245" t="str">
        <f>TEXT(walmart[[#This Row],[Purchase_Date]],"DDD")</f>
        <v>Mon</v>
      </c>
      <c r="I245" t="str">
        <f>TEXT(walmart[[#This Row],[Purchase_Date]],"MMM")</f>
        <v>Dec</v>
      </c>
      <c r="J245" t="str">
        <f>TEXT(walmart[[#This Row],[Purchase_Date]],"YYY")</f>
        <v>2024</v>
      </c>
      <c r="K245" s="3">
        <v>782.29</v>
      </c>
      <c r="L245" t="str">
        <f t="shared" si="15"/>
        <v>15% off</v>
      </c>
      <c r="M245" s="3">
        <f t="shared" si="16"/>
        <v>117.34349999999999</v>
      </c>
      <c r="N245" t="str">
        <f t="shared" si="17"/>
        <v>Yes</v>
      </c>
      <c r="O245" t="s">
        <v>21</v>
      </c>
      <c r="P245" s="3">
        <f t="shared" si="18"/>
        <v>664.94650000000001</v>
      </c>
      <c r="Q245" t="s">
        <v>35</v>
      </c>
      <c r="R245">
        <v>1</v>
      </c>
      <c r="S245" t="str">
        <f t="shared" si="19"/>
        <v>Very Poor</v>
      </c>
    </row>
    <row r="246" spans="1:19" x14ac:dyDescent="0.25">
      <c r="A246" t="s">
        <v>491</v>
      </c>
      <c r="B246">
        <v>30</v>
      </c>
      <c r="C246" t="s">
        <v>16</v>
      </c>
      <c r="D246" t="s">
        <v>2521</v>
      </c>
      <c r="E246" t="s">
        <v>18</v>
      </c>
      <c r="F246" t="s">
        <v>19</v>
      </c>
      <c r="G246" t="s">
        <v>492</v>
      </c>
      <c r="H246" t="str">
        <f>TEXT(walmart[[#This Row],[Purchase_Date]],"DDD")</f>
        <v>Thu</v>
      </c>
      <c r="I246" t="str">
        <f>TEXT(walmart[[#This Row],[Purchase_Date]],"MMM")</f>
        <v>Oct</v>
      </c>
      <c r="J246" t="str">
        <f>TEXT(walmart[[#This Row],[Purchase_Date]],"YYY")</f>
        <v>2024</v>
      </c>
      <c r="K246" s="3">
        <v>697.86</v>
      </c>
      <c r="L246" t="str">
        <f t="shared" si="15"/>
        <v>10% off</v>
      </c>
      <c r="M246" s="3">
        <f t="shared" si="16"/>
        <v>69.786000000000001</v>
      </c>
      <c r="N246" t="str">
        <f t="shared" si="17"/>
        <v>Yes</v>
      </c>
      <c r="O246" t="s">
        <v>21</v>
      </c>
      <c r="P246" s="3">
        <f t="shared" si="18"/>
        <v>628.07400000000007</v>
      </c>
      <c r="Q246" t="s">
        <v>22</v>
      </c>
      <c r="R246">
        <v>3</v>
      </c>
      <c r="S246" t="str">
        <f t="shared" si="19"/>
        <v>Average</v>
      </c>
    </row>
    <row r="247" spans="1:19" x14ac:dyDescent="0.25">
      <c r="A247" t="s">
        <v>493</v>
      </c>
      <c r="B247">
        <v>26</v>
      </c>
      <c r="C247" t="s">
        <v>16</v>
      </c>
      <c r="D247" t="s">
        <v>2522</v>
      </c>
      <c r="E247" t="s">
        <v>55</v>
      </c>
      <c r="F247" t="s">
        <v>67</v>
      </c>
      <c r="G247" t="s">
        <v>238</v>
      </c>
      <c r="H247" t="str">
        <f>TEXT(walmart[[#This Row],[Purchase_Date]],"DDD")</f>
        <v>Wed</v>
      </c>
      <c r="I247" t="str">
        <f>TEXT(walmart[[#This Row],[Purchase_Date]],"MMM")</f>
        <v>Apr</v>
      </c>
      <c r="J247" t="str">
        <f>TEXT(walmart[[#This Row],[Purchase_Date]],"YYY")</f>
        <v>2024</v>
      </c>
      <c r="K247" s="3">
        <v>452.97</v>
      </c>
      <c r="L247" t="str">
        <f t="shared" si="15"/>
        <v>5% off</v>
      </c>
      <c r="M247" s="3">
        <f t="shared" si="16"/>
        <v>22.648500000000002</v>
      </c>
      <c r="N247" t="str">
        <f t="shared" si="17"/>
        <v>Yes</v>
      </c>
      <c r="O247" t="s">
        <v>34</v>
      </c>
      <c r="P247" s="3">
        <f t="shared" si="18"/>
        <v>430.32150000000001</v>
      </c>
      <c r="Q247" t="s">
        <v>47</v>
      </c>
      <c r="R247">
        <v>5</v>
      </c>
      <c r="S247" t="str">
        <f t="shared" si="19"/>
        <v>Excellent</v>
      </c>
    </row>
    <row r="248" spans="1:19" x14ac:dyDescent="0.25">
      <c r="A248" t="s">
        <v>494</v>
      </c>
      <c r="B248">
        <v>51</v>
      </c>
      <c r="C248" t="s">
        <v>16</v>
      </c>
      <c r="D248" t="s">
        <v>2485</v>
      </c>
      <c r="E248" t="s">
        <v>73</v>
      </c>
      <c r="F248" t="s">
        <v>138</v>
      </c>
      <c r="G248" t="s">
        <v>33</v>
      </c>
      <c r="H248" t="str">
        <f>TEXT(walmart[[#This Row],[Purchase_Date]],"DDD")</f>
        <v>Sat</v>
      </c>
      <c r="I248" t="str">
        <f>TEXT(walmart[[#This Row],[Purchase_Date]],"MMM")</f>
        <v>Jul</v>
      </c>
      <c r="J248" t="str">
        <f>TEXT(walmart[[#This Row],[Purchase_Date]],"YYY")</f>
        <v>2024</v>
      </c>
      <c r="K248" s="3">
        <v>461.81</v>
      </c>
      <c r="L248" t="str">
        <f t="shared" si="15"/>
        <v>5% off</v>
      </c>
      <c r="M248" s="3">
        <f t="shared" si="16"/>
        <v>23.090500000000002</v>
      </c>
      <c r="N248" t="str">
        <f t="shared" si="17"/>
        <v>Yes</v>
      </c>
      <c r="O248" t="s">
        <v>34</v>
      </c>
      <c r="P248" s="3">
        <f t="shared" si="18"/>
        <v>438.71949999999998</v>
      </c>
      <c r="Q248" t="s">
        <v>47</v>
      </c>
      <c r="R248">
        <v>5</v>
      </c>
      <c r="S248" t="str">
        <f t="shared" si="19"/>
        <v>Excellent</v>
      </c>
    </row>
    <row r="249" spans="1:19" x14ac:dyDescent="0.25">
      <c r="A249" t="s">
        <v>495</v>
      </c>
      <c r="B249">
        <v>57</v>
      </c>
      <c r="C249" t="s">
        <v>16</v>
      </c>
      <c r="D249" t="s">
        <v>2523</v>
      </c>
      <c r="E249" t="s">
        <v>55</v>
      </c>
      <c r="F249" t="s">
        <v>56</v>
      </c>
      <c r="G249" t="s">
        <v>496</v>
      </c>
      <c r="H249" t="str">
        <f>TEXT(walmart[[#This Row],[Purchase_Date]],"DDD")</f>
        <v>Wed</v>
      </c>
      <c r="I249" t="str">
        <f>TEXT(walmart[[#This Row],[Purchase_Date]],"MMM")</f>
        <v>Jul</v>
      </c>
      <c r="J249" t="str">
        <f>TEXT(walmart[[#This Row],[Purchase_Date]],"YYY")</f>
        <v>2024</v>
      </c>
      <c r="K249" s="3">
        <v>76.81</v>
      </c>
      <c r="L249" t="str">
        <f t="shared" si="15"/>
        <v>0% off</v>
      </c>
      <c r="M249" s="3">
        <f t="shared" si="16"/>
        <v>0</v>
      </c>
      <c r="N249" t="str">
        <f t="shared" si="17"/>
        <v>No</v>
      </c>
      <c r="O249" t="s">
        <v>34</v>
      </c>
      <c r="P249" s="3">
        <f t="shared" si="18"/>
        <v>76.81</v>
      </c>
      <c r="Q249" t="s">
        <v>27</v>
      </c>
      <c r="R249">
        <v>1</v>
      </c>
      <c r="S249" t="str">
        <f t="shared" si="19"/>
        <v>Very Poor</v>
      </c>
    </row>
    <row r="250" spans="1:19" x14ac:dyDescent="0.25">
      <c r="A250" t="s">
        <v>497</v>
      </c>
      <c r="B250">
        <v>23</v>
      </c>
      <c r="C250" t="s">
        <v>29</v>
      </c>
      <c r="D250" t="s">
        <v>2518</v>
      </c>
      <c r="E250" t="s">
        <v>24</v>
      </c>
      <c r="F250" t="s">
        <v>209</v>
      </c>
      <c r="G250" t="s">
        <v>498</v>
      </c>
      <c r="H250" t="str">
        <f>TEXT(walmart[[#This Row],[Purchase_Date]],"DDD")</f>
        <v>Tue</v>
      </c>
      <c r="I250" t="str">
        <f>TEXT(walmart[[#This Row],[Purchase_Date]],"MMM")</f>
        <v>Jan</v>
      </c>
      <c r="J250" t="str">
        <f>TEXT(walmart[[#This Row],[Purchase_Date]],"YYY")</f>
        <v>2025</v>
      </c>
      <c r="K250" s="3">
        <v>775.75</v>
      </c>
      <c r="L250" t="str">
        <f t="shared" si="15"/>
        <v>15% off</v>
      </c>
      <c r="M250" s="3">
        <f t="shared" si="16"/>
        <v>116.3625</v>
      </c>
      <c r="N250" t="str">
        <f t="shared" si="17"/>
        <v>Yes</v>
      </c>
      <c r="O250" t="s">
        <v>34</v>
      </c>
      <c r="P250" s="3">
        <f t="shared" si="18"/>
        <v>659.38750000000005</v>
      </c>
      <c r="Q250" t="s">
        <v>47</v>
      </c>
      <c r="R250">
        <v>5</v>
      </c>
      <c r="S250" t="str">
        <f t="shared" si="19"/>
        <v>Excellent</v>
      </c>
    </row>
    <row r="251" spans="1:19" x14ac:dyDescent="0.25">
      <c r="A251" t="s">
        <v>499</v>
      </c>
      <c r="B251">
        <v>42</v>
      </c>
      <c r="C251" t="s">
        <v>29</v>
      </c>
      <c r="D251" t="s">
        <v>2524</v>
      </c>
      <c r="E251" t="s">
        <v>24</v>
      </c>
      <c r="F251" t="s">
        <v>186</v>
      </c>
      <c r="G251" t="s">
        <v>108</v>
      </c>
      <c r="H251" t="str">
        <f>TEXT(walmart[[#This Row],[Purchase_Date]],"DDD")</f>
        <v>Wed</v>
      </c>
      <c r="I251" t="str">
        <f>TEXT(walmart[[#This Row],[Purchase_Date]],"MMM")</f>
        <v>Aug</v>
      </c>
      <c r="J251" t="str">
        <f>TEXT(walmart[[#This Row],[Purchase_Date]],"YYY")</f>
        <v>2024</v>
      </c>
      <c r="K251" s="3">
        <v>527.16999999999996</v>
      </c>
      <c r="L251" t="str">
        <f t="shared" si="15"/>
        <v>10% off</v>
      </c>
      <c r="M251" s="3">
        <f t="shared" si="16"/>
        <v>52.716999999999999</v>
      </c>
      <c r="N251" t="str">
        <f t="shared" si="17"/>
        <v>Yes</v>
      </c>
      <c r="O251" t="s">
        <v>34</v>
      </c>
      <c r="P251" s="3">
        <f t="shared" si="18"/>
        <v>474.45299999999997</v>
      </c>
      <c r="Q251" t="s">
        <v>22</v>
      </c>
      <c r="R251">
        <v>4</v>
      </c>
      <c r="S251" t="str">
        <f t="shared" si="19"/>
        <v>Good</v>
      </c>
    </row>
    <row r="252" spans="1:19" x14ac:dyDescent="0.25">
      <c r="A252" t="s">
        <v>500</v>
      </c>
      <c r="B252">
        <v>20</v>
      </c>
      <c r="C252" t="s">
        <v>29</v>
      </c>
      <c r="D252" t="s">
        <v>2525</v>
      </c>
      <c r="E252" t="s">
        <v>55</v>
      </c>
      <c r="F252" t="s">
        <v>67</v>
      </c>
      <c r="G252" t="s">
        <v>122</v>
      </c>
      <c r="H252" t="str">
        <f>TEXT(walmart[[#This Row],[Purchase_Date]],"DDD")</f>
        <v>Wed</v>
      </c>
      <c r="I252" t="str">
        <f>TEXT(walmart[[#This Row],[Purchase_Date]],"MMM")</f>
        <v>Jul</v>
      </c>
      <c r="J252" t="str">
        <f>TEXT(walmart[[#This Row],[Purchase_Date]],"YYY")</f>
        <v>2024</v>
      </c>
      <c r="K252" s="3">
        <v>452.97</v>
      </c>
      <c r="L252" t="str">
        <f t="shared" si="15"/>
        <v>5% off</v>
      </c>
      <c r="M252" s="3">
        <f t="shared" si="16"/>
        <v>22.648500000000002</v>
      </c>
      <c r="N252" t="str">
        <f t="shared" si="17"/>
        <v>Yes</v>
      </c>
      <c r="O252" t="s">
        <v>21</v>
      </c>
      <c r="P252" s="3">
        <f t="shared" si="18"/>
        <v>430.32150000000001</v>
      </c>
      <c r="Q252" t="s">
        <v>22</v>
      </c>
      <c r="R252">
        <v>5</v>
      </c>
      <c r="S252" t="str">
        <f t="shared" si="19"/>
        <v>Excellent</v>
      </c>
    </row>
    <row r="253" spans="1:19" x14ac:dyDescent="0.25">
      <c r="A253" t="s">
        <v>501</v>
      </c>
      <c r="B253">
        <v>45</v>
      </c>
      <c r="C253" t="s">
        <v>16</v>
      </c>
      <c r="D253" t="s">
        <v>2487</v>
      </c>
      <c r="E253" t="s">
        <v>73</v>
      </c>
      <c r="F253" t="s">
        <v>94</v>
      </c>
      <c r="G253" t="s">
        <v>502</v>
      </c>
      <c r="H253" t="str">
        <f>TEXT(walmart[[#This Row],[Purchase_Date]],"DDD")</f>
        <v>Thu</v>
      </c>
      <c r="I253" t="str">
        <f>TEXT(walmart[[#This Row],[Purchase_Date]],"MMM")</f>
        <v>Jul</v>
      </c>
      <c r="J253" t="str">
        <f>TEXT(walmart[[#This Row],[Purchase_Date]],"YYY")</f>
        <v>2024</v>
      </c>
      <c r="K253" s="3">
        <v>965.09</v>
      </c>
      <c r="L253" t="str">
        <f t="shared" si="15"/>
        <v>20% off</v>
      </c>
      <c r="M253" s="3">
        <f t="shared" si="16"/>
        <v>193.01800000000003</v>
      </c>
      <c r="N253" t="str">
        <f t="shared" si="17"/>
        <v>Yes</v>
      </c>
      <c r="O253" t="s">
        <v>21</v>
      </c>
      <c r="P253" s="3">
        <f t="shared" si="18"/>
        <v>772.072</v>
      </c>
      <c r="Q253" t="s">
        <v>47</v>
      </c>
      <c r="R253">
        <v>4</v>
      </c>
      <c r="S253" t="str">
        <f t="shared" si="19"/>
        <v>Good</v>
      </c>
    </row>
    <row r="254" spans="1:19" x14ac:dyDescent="0.25">
      <c r="A254" t="s">
        <v>503</v>
      </c>
      <c r="B254">
        <v>63</v>
      </c>
      <c r="C254" t="s">
        <v>16</v>
      </c>
      <c r="D254" t="s">
        <v>2519</v>
      </c>
      <c r="E254" t="s">
        <v>24</v>
      </c>
      <c r="F254" t="s">
        <v>186</v>
      </c>
      <c r="G254" t="s">
        <v>128</v>
      </c>
      <c r="H254" t="str">
        <f>TEXT(walmart[[#This Row],[Purchase_Date]],"DDD")</f>
        <v>Sun</v>
      </c>
      <c r="I254" t="str">
        <f>TEXT(walmart[[#This Row],[Purchase_Date]],"MMM")</f>
        <v>Jul</v>
      </c>
      <c r="J254" t="str">
        <f>TEXT(walmart[[#This Row],[Purchase_Date]],"YYY")</f>
        <v>2024</v>
      </c>
      <c r="K254" s="3">
        <v>527.16999999999996</v>
      </c>
      <c r="L254" t="str">
        <f t="shared" si="15"/>
        <v>10% off</v>
      </c>
      <c r="M254" s="3">
        <f t="shared" si="16"/>
        <v>52.716999999999999</v>
      </c>
      <c r="N254" t="str">
        <f t="shared" si="17"/>
        <v>Yes</v>
      </c>
      <c r="O254" t="s">
        <v>21</v>
      </c>
      <c r="P254" s="3">
        <f t="shared" si="18"/>
        <v>474.45299999999997</v>
      </c>
      <c r="Q254" t="s">
        <v>47</v>
      </c>
      <c r="R254">
        <v>4</v>
      </c>
      <c r="S254" t="str">
        <f t="shared" si="19"/>
        <v>Good</v>
      </c>
    </row>
    <row r="255" spans="1:19" x14ac:dyDescent="0.25">
      <c r="A255" t="s">
        <v>504</v>
      </c>
      <c r="B255">
        <v>64</v>
      </c>
      <c r="C255" t="s">
        <v>29</v>
      </c>
      <c r="D255" t="s">
        <v>2520</v>
      </c>
      <c r="E255" t="s">
        <v>37</v>
      </c>
      <c r="F255" t="s">
        <v>82</v>
      </c>
      <c r="G255" t="s">
        <v>505</v>
      </c>
      <c r="H255" t="str">
        <f>TEXT(walmart[[#This Row],[Purchase_Date]],"DDD")</f>
        <v>Tue</v>
      </c>
      <c r="I255" t="str">
        <f>TEXT(walmart[[#This Row],[Purchase_Date]],"MMM")</f>
        <v>Oct</v>
      </c>
      <c r="J255" t="str">
        <f>TEXT(walmart[[#This Row],[Purchase_Date]],"YYY")</f>
        <v>2024</v>
      </c>
      <c r="K255" s="3">
        <v>270.41000000000003</v>
      </c>
      <c r="L255" t="str">
        <f t="shared" si="15"/>
        <v>5% off</v>
      </c>
      <c r="M255" s="3">
        <f t="shared" si="16"/>
        <v>13.520500000000002</v>
      </c>
      <c r="N255" t="str">
        <f t="shared" si="17"/>
        <v>Yes</v>
      </c>
      <c r="O255" t="s">
        <v>21</v>
      </c>
      <c r="P255" s="3">
        <f t="shared" si="18"/>
        <v>256.8895</v>
      </c>
      <c r="Q255" t="s">
        <v>27</v>
      </c>
      <c r="R255">
        <v>4</v>
      </c>
      <c r="S255" t="str">
        <f t="shared" si="19"/>
        <v>Good</v>
      </c>
    </row>
    <row r="256" spans="1:19" x14ac:dyDescent="0.25">
      <c r="A256" t="s">
        <v>506</v>
      </c>
      <c r="B256">
        <v>59</v>
      </c>
      <c r="C256" t="s">
        <v>29</v>
      </c>
      <c r="D256" t="s">
        <v>2526</v>
      </c>
      <c r="E256" t="s">
        <v>37</v>
      </c>
      <c r="F256" t="s">
        <v>97</v>
      </c>
      <c r="G256" t="s">
        <v>336</v>
      </c>
      <c r="H256" t="str">
        <f>TEXT(walmart[[#This Row],[Purchase_Date]],"DDD")</f>
        <v>Mon</v>
      </c>
      <c r="I256" t="str">
        <f>TEXT(walmart[[#This Row],[Purchase_Date]],"MMM")</f>
        <v>Jul</v>
      </c>
      <c r="J256" t="str">
        <f>TEXT(walmart[[#This Row],[Purchase_Date]],"YYY")</f>
        <v>2024</v>
      </c>
      <c r="K256" s="3">
        <v>855.21</v>
      </c>
      <c r="L256" t="str">
        <f t="shared" si="15"/>
        <v>15% off</v>
      </c>
      <c r="M256" s="3">
        <f t="shared" si="16"/>
        <v>128.28149999999999</v>
      </c>
      <c r="N256" t="str">
        <f t="shared" si="17"/>
        <v>Yes</v>
      </c>
      <c r="O256" t="s">
        <v>34</v>
      </c>
      <c r="P256" s="3">
        <f t="shared" si="18"/>
        <v>726.92849999999999</v>
      </c>
      <c r="Q256" t="s">
        <v>27</v>
      </c>
      <c r="R256">
        <v>4</v>
      </c>
      <c r="S256" t="str">
        <f t="shared" si="19"/>
        <v>Good</v>
      </c>
    </row>
    <row r="257" spans="1:19" x14ac:dyDescent="0.25">
      <c r="A257" t="s">
        <v>507</v>
      </c>
      <c r="B257">
        <v>40</v>
      </c>
      <c r="C257" t="s">
        <v>16</v>
      </c>
      <c r="D257" t="s">
        <v>2527</v>
      </c>
      <c r="E257" t="s">
        <v>73</v>
      </c>
      <c r="F257" t="s">
        <v>138</v>
      </c>
      <c r="G257" t="s">
        <v>508</v>
      </c>
      <c r="H257" t="str">
        <f>TEXT(walmart[[#This Row],[Purchase_Date]],"DDD")</f>
        <v>Thu</v>
      </c>
      <c r="I257" t="str">
        <f>TEXT(walmart[[#This Row],[Purchase_Date]],"MMM")</f>
        <v>Jul</v>
      </c>
      <c r="J257" t="str">
        <f>TEXT(walmart[[#This Row],[Purchase_Date]],"YYY")</f>
        <v>2024</v>
      </c>
      <c r="K257" s="3">
        <v>461.81</v>
      </c>
      <c r="L257" t="str">
        <f t="shared" si="15"/>
        <v>5% off</v>
      </c>
      <c r="M257" s="3">
        <f t="shared" si="16"/>
        <v>23.090500000000002</v>
      </c>
      <c r="N257" t="str">
        <f t="shared" si="17"/>
        <v>Yes</v>
      </c>
      <c r="O257" t="s">
        <v>21</v>
      </c>
      <c r="P257" s="3">
        <f t="shared" si="18"/>
        <v>438.71949999999998</v>
      </c>
      <c r="Q257" t="s">
        <v>27</v>
      </c>
      <c r="R257">
        <v>1</v>
      </c>
      <c r="S257" t="str">
        <f t="shared" si="19"/>
        <v>Very Poor</v>
      </c>
    </row>
    <row r="258" spans="1:19" x14ac:dyDescent="0.25">
      <c r="A258" t="s">
        <v>509</v>
      </c>
      <c r="B258">
        <v>52</v>
      </c>
      <c r="C258" t="s">
        <v>29</v>
      </c>
      <c r="D258" t="s">
        <v>2528</v>
      </c>
      <c r="E258" t="s">
        <v>55</v>
      </c>
      <c r="F258" t="s">
        <v>56</v>
      </c>
      <c r="G258" t="s">
        <v>510</v>
      </c>
      <c r="H258" t="str">
        <f>TEXT(walmart[[#This Row],[Purchase_Date]],"DDD")</f>
        <v>Tue</v>
      </c>
      <c r="I258" t="str">
        <f>TEXT(walmart[[#This Row],[Purchase_Date]],"MMM")</f>
        <v>Feb</v>
      </c>
      <c r="J258" t="str">
        <f>TEXT(walmart[[#This Row],[Purchase_Date]],"YYY")</f>
        <v>2025</v>
      </c>
      <c r="K258" s="3">
        <v>76.81</v>
      </c>
      <c r="L258" t="str">
        <f t="shared" si="15"/>
        <v>0% off</v>
      </c>
      <c r="M258" s="3">
        <f t="shared" si="16"/>
        <v>0</v>
      </c>
      <c r="N258" t="str">
        <f t="shared" si="17"/>
        <v>No</v>
      </c>
      <c r="O258" t="s">
        <v>34</v>
      </c>
      <c r="P258" s="3">
        <f t="shared" si="18"/>
        <v>76.81</v>
      </c>
      <c r="Q258" t="s">
        <v>27</v>
      </c>
      <c r="R258">
        <v>2</v>
      </c>
      <c r="S258" t="str">
        <f t="shared" si="19"/>
        <v>Poor</v>
      </c>
    </row>
    <row r="259" spans="1:19" x14ac:dyDescent="0.25">
      <c r="A259" t="s">
        <v>511</v>
      </c>
      <c r="B259">
        <v>33</v>
      </c>
      <c r="C259" t="s">
        <v>16</v>
      </c>
      <c r="D259" t="s">
        <v>2529</v>
      </c>
      <c r="E259" t="s">
        <v>42</v>
      </c>
      <c r="F259" t="s">
        <v>52</v>
      </c>
      <c r="G259" t="s">
        <v>512</v>
      </c>
      <c r="H259" t="str">
        <f>TEXT(walmart[[#This Row],[Purchase_Date]],"DDD")</f>
        <v>Wed</v>
      </c>
      <c r="I259" t="str">
        <f>TEXT(walmart[[#This Row],[Purchase_Date]],"MMM")</f>
        <v>Aug</v>
      </c>
      <c r="J259" t="str">
        <f>TEXT(walmart[[#This Row],[Purchase_Date]],"YYY")</f>
        <v>2024</v>
      </c>
      <c r="K259" s="3">
        <v>988.77</v>
      </c>
      <c r="L259" t="str">
        <f t="shared" ref="L259:L322" si="20">IF(K259&lt;150,"0% off",IF(K259&lt;500,"5% off",IF(K259&lt;700,"10% off",IF(K259&lt;900,"15% off","20% off"))))</f>
        <v>20% off</v>
      </c>
      <c r="M259" s="3">
        <f t="shared" ref="M259:M322" si="21">K259 * (LEFT(L259, LEN(L259)-5) / 100)</f>
        <v>197.75400000000002</v>
      </c>
      <c r="N259" t="str">
        <f t="shared" ref="N259:N322" si="22">IF(L259="0% off", "No", "Yes")</f>
        <v>Yes</v>
      </c>
      <c r="O259" t="s">
        <v>34</v>
      </c>
      <c r="P259" s="3">
        <f t="shared" ref="P259:P322" si="23">K259-M259</f>
        <v>791.01599999999996</v>
      </c>
      <c r="Q259" t="s">
        <v>35</v>
      </c>
      <c r="R259">
        <v>4</v>
      </c>
      <c r="S259" t="str">
        <f t="shared" ref="S259:S322" si="24">IF(R259=5, "Excellent", IF(R259=4, "Good", IF(R259=3, "Average", IF(R259=2, "Poor", IF(R259=1, "Very Poor", "Invalid Rating")))))</f>
        <v>Good</v>
      </c>
    </row>
    <row r="260" spans="1:19" x14ac:dyDescent="0.25">
      <c r="A260" t="s">
        <v>513</v>
      </c>
      <c r="B260">
        <v>45</v>
      </c>
      <c r="C260" t="s">
        <v>29</v>
      </c>
      <c r="D260" t="s">
        <v>2530</v>
      </c>
      <c r="E260" t="s">
        <v>31</v>
      </c>
      <c r="F260" t="s">
        <v>32</v>
      </c>
      <c r="G260" t="s">
        <v>514</v>
      </c>
      <c r="H260" t="str">
        <f>TEXT(walmart[[#This Row],[Purchase_Date]],"DDD")</f>
        <v>Sat</v>
      </c>
      <c r="I260" t="str">
        <f>TEXT(walmart[[#This Row],[Purchase_Date]],"MMM")</f>
        <v>Feb</v>
      </c>
      <c r="J260" t="str">
        <f>TEXT(walmart[[#This Row],[Purchase_Date]],"YYY")</f>
        <v>2025</v>
      </c>
      <c r="K260" s="3">
        <v>493.96</v>
      </c>
      <c r="L260" t="str">
        <f t="shared" si="20"/>
        <v>5% off</v>
      </c>
      <c r="M260" s="3">
        <f t="shared" si="21"/>
        <v>24.698</v>
      </c>
      <c r="N260" t="str">
        <f t="shared" si="22"/>
        <v>Yes</v>
      </c>
      <c r="O260" t="s">
        <v>21</v>
      </c>
      <c r="P260" s="3">
        <f t="shared" si="23"/>
        <v>469.262</v>
      </c>
      <c r="Q260" t="s">
        <v>35</v>
      </c>
      <c r="R260">
        <v>4</v>
      </c>
      <c r="S260" t="str">
        <f t="shared" si="24"/>
        <v>Good</v>
      </c>
    </row>
    <row r="261" spans="1:19" x14ac:dyDescent="0.25">
      <c r="A261" t="s">
        <v>515</v>
      </c>
      <c r="B261">
        <v>35</v>
      </c>
      <c r="C261" t="s">
        <v>16</v>
      </c>
      <c r="D261" t="s">
        <v>2531</v>
      </c>
      <c r="E261" t="s">
        <v>42</v>
      </c>
      <c r="F261" t="s">
        <v>120</v>
      </c>
      <c r="G261" t="s">
        <v>149</v>
      </c>
      <c r="H261" t="str">
        <f>TEXT(walmart[[#This Row],[Purchase_Date]],"DDD")</f>
        <v>Thu</v>
      </c>
      <c r="I261" t="str">
        <f>TEXT(walmart[[#This Row],[Purchase_Date]],"MMM")</f>
        <v>Oct</v>
      </c>
      <c r="J261" t="str">
        <f>TEXT(walmart[[#This Row],[Purchase_Date]],"YYY")</f>
        <v>2024</v>
      </c>
      <c r="K261" s="3">
        <v>260.77999999999997</v>
      </c>
      <c r="L261" t="str">
        <f t="shared" si="20"/>
        <v>5% off</v>
      </c>
      <c r="M261" s="3">
        <f t="shared" si="21"/>
        <v>13.039</v>
      </c>
      <c r="N261" t="str">
        <f t="shared" si="22"/>
        <v>Yes</v>
      </c>
      <c r="O261" t="s">
        <v>21</v>
      </c>
      <c r="P261" s="3">
        <f t="shared" si="23"/>
        <v>247.74099999999999</v>
      </c>
      <c r="Q261" t="s">
        <v>47</v>
      </c>
      <c r="R261">
        <v>1</v>
      </c>
      <c r="S261" t="str">
        <f t="shared" si="24"/>
        <v>Very Poor</v>
      </c>
    </row>
    <row r="262" spans="1:19" x14ac:dyDescent="0.25">
      <c r="A262" t="s">
        <v>516</v>
      </c>
      <c r="B262">
        <v>43</v>
      </c>
      <c r="C262" t="s">
        <v>29</v>
      </c>
      <c r="D262" t="s">
        <v>2532</v>
      </c>
      <c r="E262" t="s">
        <v>18</v>
      </c>
      <c r="F262" t="s">
        <v>142</v>
      </c>
      <c r="G262" t="s">
        <v>57</v>
      </c>
      <c r="H262" t="str">
        <f>TEXT(walmart[[#This Row],[Purchase_Date]],"DDD")</f>
        <v>Wed</v>
      </c>
      <c r="I262" t="str">
        <f>TEXT(walmart[[#This Row],[Purchase_Date]],"MMM")</f>
        <v>May</v>
      </c>
      <c r="J262" t="str">
        <f>TEXT(walmart[[#This Row],[Purchase_Date]],"YYY")</f>
        <v>2024</v>
      </c>
      <c r="K262" s="3">
        <v>485.26</v>
      </c>
      <c r="L262" t="str">
        <f t="shared" si="20"/>
        <v>5% off</v>
      </c>
      <c r="M262" s="3">
        <f t="shared" si="21"/>
        <v>24.263000000000002</v>
      </c>
      <c r="N262" t="str">
        <f t="shared" si="22"/>
        <v>Yes</v>
      </c>
      <c r="O262" t="s">
        <v>21</v>
      </c>
      <c r="P262" s="3">
        <f t="shared" si="23"/>
        <v>460.99700000000001</v>
      </c>
      <c r="Q262" t="s">
        <v>27</v>
      </c>
      <c r="R262">
        <v>5</v>
      </c>
      <c r="S262" t="str">
        <f t="shared" si="24"/>
        <v>Excellent</v>
      </c>
    </row>
    <row r="263" spans="1:19" x14ac:dyDescent="0.25">
      <c r="A263" t="s">
        <v>517</v>
      </c>
      <c r="B263">
        <v>70</v>
      </c>
      <c r="C263" t="s">
        <v>16</v>
      </c>
      <c r="D263" t="s">
        <v>2533</v>
      </c>
      <c r="E263" t="s">
        <v>55</v>
      </c>
      <c r="F263" t="s">
        <v>67</v>
      </c>
      <c r="G263" t="s">
        <v>463</v>
      </c>
      <c r="H263" t="str">
        <f>TEXT(walmart[[#This Row],[Purchase_Date]],"DDD")</f>
        <v>Mon</v>
      </c>
      <c r="I263" t="str">
        <f>TEXT(walmart[[#This Row],[Purchase_Date]],"MMM")</f>
        <v>Mar</v>
      </c>
      <c r="J263" t="str">
        <f>TEXT(walmart[[#This Row],[Purchase_Date]],"YYY")</f>
        <v>2025</v>
      </c>
      <c r="K263" s="3">
        <v>452.97</v>
      </c>
      <c r="L263" t="str">
        <f t="shared" si="20"/>
        <v>5% off</v>
      </c>
      <c r="M263" s="3">
        <f t="shared" si="21"/>
        <v>22.648500000000002</v>
      </c>
      <c r="N263" t="str">
        <f t="shared" si="22"/>
        <v>Yes</v>
      </c>
      <c r="O263" t="s">
        <v>21</v>
      </c>
      <c r="P263" s="3">
        <f t="shared" si="23"/>
        <v>430.32150000000001</v>
      </c>
      <c r="Q263" t="s">
        <v>22</v>
      </c>
      <c r="R263">
        <v>1</v>
      </c>
      <c r="S263" t="str">
        <f t="shared" si="24"/>
        <v>Very Poor</v>
      </c>
    </row>
    <row r="264" spans="1:19" x14ac:dyDescent="0.25">
      <c r="A264" t="s">
        <v>518</v>
      </c>
      <c r="B264">
        <v>52</v>
      </c>
      <c r="C264" t="s">
        <v>16</v>
      </c>
      <c r="D264" t="s">
        <v>2534</v>
      </c>
      <c r="E264" t="s">
        <v>55</v>
      </c>
      <c r="F264" t="s">
        <v>64</v>
      </c>
      <c r="G264" t="s">
        <v>201</v>
      </c>
      <c r="H264" t="str">
        <f>TEXT(walmart[[#This Row],[Purchase_Date]],"DDD")</f>
        <v>Sat</v>
      </c>
      <c r="I264" t="str">
        <f>TEXT(walmart[[#This Row],[Purchase_Date]],"MMM")</f>
        <v>Aug</v>
      </c>
      <c r="J264" t="str">
        <f>TEXT(walmart[[#This Row],[Purchase_Date]],"YYY")</f>
        <v>2024</v>
      </c>
      <c r="K264" s="3">
        <v>374.92</v>
      </c>
      <c r="L264" t="str">
        <f t="shared" si="20"/>
        <v>5% off</v>
      </c>
      <c r="M264" s="3">
        <f t="shared" si="21"/>
        <v>18.746000000000002</v>
      </c>
      <c r="N264" t="str">
        <f t="shared" si="22"/>
        <v>Yes</v>
      </c>
      <c r="O264" t="s">
        <v>34</v>
      </c>
      <c r="P264" s="3">
        <f t="shared" si="23"/>
        <v>356.17400000000004</v>
      </c>
      <c r="Q264" t="s">
        <v>35</v>
      </c>
      <c r="R264">
        <v>3</v>
      </c>
      <c r="S264" t="str">
        <f t="shared" si="24"/>
        <v>Average</v>
      </c>
    </row>
    <row r="265" spans="1:19" x14ac:dyDescent="0.25">
      <c r="A265" t="s">
        <v>519</v>
      </c>
      <c r="B265">
        <v>69</v>
      </c>
      <c r="C265" t="s">
        <v>16</v>
      </c>
      <c r="D265" t="s">
        <v>2535</v>
      </c>
      <c r="E265" t="s">
        <v>18</v>
      </c>
      <c r="F265" t="s">
        <v>142</v>
      </c>
      <c r="G265" t="s">
        <v>520</v>
      </c>
      <c r="H265" t="str">
        <f>TEXT(walmart[[#This Row],[Purchase_Date]],"DDD")</f>
        <v>Fri</v>
      </c>
      <c r="I265" t="str">
        <f>TEXT(walmart[[#This Row],[Purchase_Date]],"MMM")</f>
        <v>Mar</v>
      </c>
      <c r="J265" t="str">
        <f>TEXT(walmart[[#This Row],[Purchase_Date]],"YYY")</f>
        <v>2025</v>
      </c>
      <c r="K265" s="3">
        <v>485.26</v>
      </c>
      <c r="L265" t="str">
        <f t="shared" si="20"/>
        <v>5% off</v>
      </c>
      <c r="M265" s="3">
        <f t="shared" si="21"/>
        <v>24.263000000000002</v>
      </c>
      <c r="N265" t="str">
        <f t="shared" si="22"/>
        <v>Yes</v>
      </c>
      <c r="O265" t="s">
        <v>21</v>
      </c>
      <c r="P265" s="3">
        <f t="shared" si="23"/>
        <v>460.99700000000001</v>
      </c>
      <c r="Q265" t="s">
        <v>35</v>
      </c>
      <c r="R265">
        <v>4</v>
      </c>
      <c r="S265" t="str">
        <f t="shared" si="24"/>
        <v>Good</v>
      </c>
    </row>
    <row r="266" spans="1:19" x14ac:dyDescent="0.25">
      <c r="A266" t="s">
        <v>521</v>
      </c>
      <c r="B266">
        <v>33</v>
      </c>
      <c r="C266" t="s">
        <v>29</v>
      </c>
      <c r="D266" t="s">
        <v>2518</v>
      </c>
      <c r="E266" t="s">
        <v>55</v>
      </c>
      <c r="F266" t="s">
        <v>100</v>
      </c>
      <c r="G266" t="s">
        <v>78</v>
      </c>
      <c r="H266" t="str">
        <f>TEXT(walmart[[#This Row],[Purchase_Date]],"DDD")</f>
        <v>Mon</v>
      </c>
      <c r="I266" t="str">
        <f>TEXT(walmart[[#This Row],[Purchase_Date]],"MMM")</f>
        <v>Jul</v>
      </c>
      <c r="J266" t="str">
        <f>TEXT(walmart[[#This Row],[Purchase_Date]],"YYY")</f>
        <v>2024</v>
      </c>
      <c r="K266" s="3">
        <v>592.26</v>
      </c>
      <c r="L266" t="str">
        <f t="shared" si="20"/>
        <v>10% off</v>
      </c>
      <c r="M266" s="3">
        <f t="shared" si="21"/>
        <v>59.225999999999999</v>
      </c>
      <c r="N266" t="str">
        <f t="shared" si="22"/>
        <v>Yes</v>
      </c>
      <c r="O266" t="s">
        <v>21</v>
      </c>
      <c r="P266" s="3">
        <f t="shared" si="23"/>
        <v>533.03399999999999</v>
      </c>
      <c r="Q266" t="s">
        <v>22</v>
      </c>
      <c r="R266">
        <v>2</v>
      </c>
      <c r="S266" t="str">
        <f t="shared" si="24"/>
        <v>Poor</v>
      </c>
    </row>
    <row r="267" spans="1:19" x14ac:dyDescent="0.25">
      <c r="A267" t="s">
        <v>522</v>
      </c>
      <c r="B267">
        <v>52</v>
      </c>
      <c r="C267" t="s">
        <v>16</v>
      </c>
      <c r="D267" t="s">
        <v>2536</v>
      </c>
      <c r="E267" t="s">
        <v>55</v>
      </c>
      <c r="F267" t="s">
        <v>64</v>
      </c>
      <c r="G267" t="s">
        <v>523</v>
      </c>
      <c r="H267" t="str">
        <f>TEXT(walmart[[#This Row],[Purchase_Date]],"DDD")</f>
        <v>Fri</v>
      </c>
      <c r="I267" t="str">
        <f>TEXT(walmart[[#This Row],[Purchase_Date]],"MMM")</f>
        <v>Oct</v>
      </c>
      <c r="J267" t="str">
        <f>TEXT(walmart[[#This Row],[Purchase_Date]],"YYY")</f>
        <v>2024</v>
      </c>
      <c r="K267" s="3">
        <v>374.92</v>
      </c>
      <c r="L267" t="str">
        <f t="shared" si="20"/>
        <v>5% off</v>
      </c>
      <c r="M267" s="3">
        <f t="shared" si="21"/>
        <v>18.746000000000002</v>
      </c>
      <c r="N267" t="str">
        <f t="shared" si="22"/>
        <v>Yes</v>
      </c>
      <c r="O267" t="s">
        <v>34</v>
      </c>
      <c r="P267" s="3">
        <f t="shared" si="23"/>
        <v>356.17400000000004</v>
      </c>
      <c r="Q267" t="s">
        <v>22</v>
      </c>
      <c r="R267">
        <v>5</v>
      </c>
      <c r="S267" t="str">
        <f t="shared" si="24"/>
        <v>Excellent</v>
      </c>
    </row>
    <row r="268" spans="1:19" x14ac:dyDescent="0.25">
      <c r="A268" t="s">
        <v>524</v>
      </c>
      <c r="B268">
        <v>46</v>
      </c>
      <c r="C268" t="s">
        <v>16</v>
      </c>
      <c r="D268" t="s">
        <v>2537</v>
      </c>
      <c r="E268" t="s">
        <v>73</v>
      </c>
      <c r="F268" t="s">
        <v>74</v>
      </c>
      <c r="G268" t="s">
        <v>525</v>
      </c>
      <c r="H268" t="str">
        <f>TEXT(walmart[[#This Row],[Purchase_Date]],"DDD")</f>
        <v>Mon</v>
      </c>
      <c r="I268" t="str">
        <f>TEXT(walmart[[#This Row],[Purchase_Date]],"MMM")</f>
        <v>Oct</v>
      </c>
      <c r="J268" t="str">
        <f>TEXT(walmart[[#This Row],[Purchase_Date]],"YYY")</f>
        <v>2024</v>
      </c>
      <c r="K268" s="3">
        <v>782.29</v>
      </c>
      <c r="L268" t="str">
        <f t="shared" si="20"/>
        <v>15% off</v>
      </c>
      <c r="M268" s="3">
        <f t="shared" si="21"/>
        <v>117.34349999999999</v>
      </c>
      <c r="N268" t="str">
        <f t="shared" si="22"/>
        <v>Yes</v>
      </c>
      <c r="O268" t="s">
        <v>21</v>
      </c>
      <c r="P268" s="3">
        <f t="shared" si="23"/>
        <v>664.94650000000001</v>
      </c>
      <c r="Q268" t="s">
        <v>22</v>
      </c>
      <c r="R268">
        <v>3</v>
      </c>
      <c r="S268" t="str">
        <f t="shared" si="24"/>
        <v>Average</v>
      </c>
    </row>
    <row r="269" spans="1:19" x14ac:dyDescent="0.25">
      <c r="A269" t="s">
        <v>526</v>
      </c>
      <c r="B269">
        <v>69</v>
      </c>
      <c r="C269" t="s">
        <v>16</v>
      </c>
      <c r="D269" t="s">
        <v>2538</v>
      </c>
      <c r="E269" t="s">
        <v>42</v>
      </c>
      <c r="F269" t="s">
        <v>103</v>
      </c>
      <c r="G269" t="s">
        <v>143</v>
      </c>
      <c r="H269" t="str">
        <f>TEXT(walmart[[#This Row],[Purchase_Date]],"DDD")</f>
        <v>Thu</v>
      </c>
      <c r="I269" t="str">
        <f>TEXT(walmart[[#This Row],[Purchase_Date]],"MMM")</f>
        <v>Dec</v>
      </c>
      <c r="J269" t="str">
        <f>TEXT(walmart[[#This Row],[Purchase_Date]],"YYY")</f>
        <v>2024</v>
      </c>
      <c r="K269" s="3">
        <v>315.56</v>
      </c>
      <c r="L269" t="str">
        <f t="shared" si="20"/>
        <v>5% off</v>
      </c>
      <c r="M269" s="3">
        <f t="shared" si="21"/>
        <v>15.778</v>
      </c>
      <c r="N269" t="str">
        <f t="shared" si="22"/>
        <v>Yes</v>
      </c>
      <c r="O269" t="s">
        <v>21</v>
      </c>
      <c r="P269" s="3">
        <f t="shared" si="23"/>
        <v>299.78199999999998</v>
      </c>
      <c r="Q269" t="s">
        <v>22</v>
      </c>
      <c r="R269">
        <v>2</v>
      </c>
      <c r="S269" t="str">
        <f t="shared" si="24"/>
        <v>Poor</v>
      </c>
    </row>
    <row r="270" spans="1:19" x14ac:dyDescent="0.25">
      <c r="A270" t="s">
        <v>527</v>
      </c>
      <c r="B270">
        <v>31</v>
      </c>
      <c r="C270" t="s">
        <v>29</v>
      </c>
      <c r="D270" t="s">
        <v>2539</v>
      </c>
      <c r="E270" t="s">
        <v>37</v>
      </c>
      <c r="F270" t="s">
        <v>117</v>
      </c>
      <c r="G270" t="s">
        <v>336</v>
      </c>
      <c r="H270" t="str">
        <f>TEXT(walmart[[#This Row],[Purchase_Date]],"DDD")</f>
        <v>Mon</v>
      </c>
      <c r="I270" t="str">
        <f>TEXT(walmart[[#This Row],[Purchase_Date]],"MMM")</f>
        <v>Jul</v>
      </c>
      <c r="J270" t="str">
        <f>TEXT(walmart[[#This Row],[Purchase_Date]],"YYY")</f>
        <v>2024</v>
      </c>
      <c r="K270" s="3">
        <v>165.68</v>
      </c>
      <c r="L270" t="str">
        <f t="shared" si="20"/>
        <v>5% off</v>
      </c>
      <c r="M270" s="3">
        <f t="shared" si="21"/>
        <v>8.2840000000000007</v>
      </c>
      <c r="N270" t="str">
        <f t="shared" si="22"/>
        <v>Yes</v>
      </c>
      <c r="O270" t="s">
        <v>34</v>
      </c>
      <c r="P270" s="3">
        <f t="shared" si="23"/>
        <v>157.39600000000002</v>
      </c>
      <c r="Q270" t="s">
        <v>47</v>
      </c>
      <c r="R270">
        <v>5</v>
      </c>
      <c r="S270" t="str">
        <f t="shared" si="24"/>
        <v>Excellent</v>
      </c>
    </row>
    <row r="271" spans="1:19" x14ac:dyDescent="0.25">
      <c r="A271" t="s">
        <v>528</v>
      </c>
      <c r="B271">
        <v>67</v>
      </c>
      <c r="C271" t="s">
        <v>16</v>
      </c>
      <c r="D271" t="s">
        <v>2540</v>
      </c>
      <c r="E271" t="s">
        <v>37</v>
      </c>
      <c r="F271" t="s">
        <v>117</v>
      </c>
      <c r="G271" t="s">
        <v>529</v>
      </c>
      <c r="H271" t="str">
        <f>TEXT(walmart[[#This Row],[Purchase_Date]],"DDD")</f>
        <v>Fri</v>
      </c>
      <c r="I271" t="str">
        <f>TEXT(walmart[[#This Row],[Purchase_Date]],"MMM")</f>
        <v>Jan</v>
      </c>
      <c r="J271" t="str">
        <f>TEXT(walmart[[#This Row],[Purchase_Date]],"YYY")</f>
        <v>2025</v>
      </c>
      <c r="K271" s="3">
        <v>165.68</v>
      </c>
      <c r="L271" t="str">
        <f t="shared" si="20"/>
        <v>5% off</v>
      </c>
      <c r="M271" s="3">
        <f t="shared" si="21"/>
        <v>8.2840000000000007</v>
      </c>
      <c r="N271" t="str">
        <f t="shared" si="22"/>
        <v>Yes</v>
      </c>
      <c r="O271" t="s">
        <v>34</v>
      </c>
      <c r="P271" s="3">
        <f t="shared" si="23"/>
        <v>157.39600000000002</v>
      </c>
      <c r="Q271" t="s">
        <v>27</v>
      </c>
      <c r="R271">
        <v>4</v>
      </c>
      <c r="S271" t="str">
        <f t="shared" si="24"/>
        <v>Good</v>
      </c>
    </row>
    <row r="272" spans="1:19" x14ac:dyDescent="0.25">
      <c r="A272" t="s">
        <v>530</v>
      </c>
      <c r="B272">
        <v>29</v>
      </c>
      <c r="C272" t="s">
        <v>16</v>
      </c>
      <c r="D272" t="s">
        <v>2488</v>
      </c>
      <c r="E272" t="s">
        <v>37</v>
      </c>
      <c r="F272" t="s">
        <v>38</v>
      </c>
      <c r="G272" t="s">
        <v>531</v>
      </c>
      <c r="H272" t="str">
        <f>TEXT(walmart[[#This Row],[Purchase_Date]],"DDD")</f>
        <v>Thu</v>
      </c>
      <c r="I272" t="str">
        <f>TEXT(walmart[[#This Row],[Purchase_Date]],"MMM")</f>
        <v>Nov</v>
      </c>
      <c r="J272" t="str">
        <f>TEXT(walmart[[#This Row],[Purchase_Date]],"YYY")</f>
        <v>2024</v>
      </c>
      <c r="K272" s="3">
        <v>211.46</v>
      </c>
      <c r="L272" t="str">
        <f t="shared" si="20"/>
        <v>5% off</v>
      </c>
      <c r="M272" s="3">
        <f t="shared" si="21"/>
        <v>10.573</v>
      </c>
      <c r="N272" t="str">
        <f t="shared" si="22"/>
        <v>Yes</v>
      </c>
      <c r="O272" t="s">
        <v>34</v>
      </c>
      <c r="P272" s="3">
        <f t="shared" si="23"/>
        <v>200.887</v>
      </c>
      <c r="Q272" t="s">
        <v>22</v>
      </c>
      <c r="R272">
        <v>2</v>
      </c>
      <c r="S272" t="str">
        <f t="shared" si="24"/>
        <v>Poor</v>
      </c>
    </row>
    <row r="273" spans="1:19" x14ac:dyDescent="0.25">
      <c r="A273" t="s">
        <v>532</v>
      </c>
      <c r="B273">
        <v>41</v>
      </c>
      <c r="C273" t="s">
        <v>29</v>
      </c>
      <c r="D273" t="s">
        <v>2541</v>
      </c>
      <c r="E273" t="s">
        <v>42</v>
      </c>
      <c r="F273" t="s">
        <v>43</v>
      </c>
      <c r="G273" t="s">
        <v>246</v>
      </c>
      <c r="H273" t="str">
        <f>TEXT(walmart[[#This Row],[Purchase_Date]],"DDD")</f>
        <v>Tue</v>
      </c>
      <c r="I273" t="str">
        <f>TEXT(walmart[[#This Row],[Purchase_Date]],"MMM")</f>
        <v>Apr</v>
      </c>
      <c r="J273" t="str">
        <f>TEXT(walmart[[#This Row],[Purchase_Date]],"YYY")</f>
        <v>2024</v>
      </c>
      <c r="K273" s="3">
        <v>512.94000000000005</v>
      </c>
      <c r="L273" t="str">
        <f t="shared" si="20"/>
        <v>10% off</v>
      </c>
      <c r="M273" s="3">
        <f t="shared" si="21"/>
        <v>51.294000000000011</v>
      </c>
      <c r="N273" t="str">
        <f t="shared" si="22"/>
        <v>Yes</v>
      </c>
      <c r="O273" t="s">
        <v>34</v>
      </c>
      <c r="P273" s="3">
        <f t="shared" si="23"/>
        <v>461.64600000000007</v>
      </c>
      <c r="Q273" t="s">
        <v>35</v>
      </c>
      <c r="R273">
        <v>1</v>
      </c>
      <c r="S273" t="str">
        <f t="shared" si="24"/>
        <v>Very Poor</v>
      </c>
    </row>
    <row r="274" spans="1:19" x14ac:dyDescent="0.25">
      <c r="A274" t="s">
        <v>533</v>
      </c>
      <c r="B274">
        <v>33</v>
      </c>
      <c r="C274" t="s">
        <v>16</v>
      </c>
      <c r="D274" t="s">
        <v>2542</v>
      </c>
      <c r="E274" t="s">
        <v>42</v>
      </c>
      <c r="F274" t="s">
        <v>120</v>
      </c>
      <c r="G274" t="s">
        <v>534</v>
      </c>
      <c r="H274" t="str">
        <f>TEXT(walmart[[#This Row],[Purchase_Date]],"DDD")</f>
        <v>Tue</v>
      </c>
      <c r="I274" t="str">
        <f>TEXT(walmart[[#This Row],[Purchase_Date]],"MMM")</f>
        <v>Feb</v>
      </c>
      <c r="J274" t="str">
        <f>TEXT(walmart[[#This Row],[Purchase_Date]],"YYY")</f>
        <v>2025</v>
      </c>
      <c r="K274" s="3">
        <v>260.77999999999997</v>
      </c>
      <c r="L274" t="str">
        <f t="shared" si="20"/>
        <v>5% off</v>
      </c>
      <c r="M274" s="3">
        <f t="shared" si="21"/>
        <v>13.039</v>
      </c>
      <c r="N274" t="str">
        <f t="shared" si="22"/>
        <v>Yes</v>
      </c>
      <c r="O274" t="s">
        <v>34</v>
      </c>
      <c r="P274" s="3">
        <f t="shared" si="23"/>
        <v>247.74099999999999</v>
      </c>
      <c r="Q274" t="s">
        <v>22</v>
      </c>
      <c r="R274">
        <v>3</v>
      </c>
      <c r="S274" t="str">
        <f t="shared" si="24"/>
        <v>Average</v>
      </c>
    </row>
    <row r="275" spans="1:19" x14ac:dyDescent="0.25">
      <c r="A275" t="s">
        <v>535</v>
      </c>
      <c r="B275">
        <v>49</v>
      </c>
      <c r="C275" t="s">
        <v>16</v>
      </c>
      <c r="D275" t="s">
        <v>2543</v>
      </c>
      <c r="E275" t="s">
        <v>18</v>
      </c>
      <c r="F275" t="s">
        <v>59</v>
      </c>
      <c r="G275" t="s">
        <v>536</v>
      </c>
      <c r="H275" t="str">
        <f>TEXT(walmart[[#This Row],[Purchase_Date]],"DDD")</f>
        <v>Tue</v>
      </c>
      <c r="I275" t="str">
        <f>TEXT(walmart[[#This Row],[Purchase_Date]],"MMM")</f>
        <v>Jul</v>
      </c>
      <c r="J275" t="str">
        <f>TEXT(walmart[[#This Row],[Purchase_Date]],"YYY")</f>
        <v>2024</v>
      </c>
      <c r="K275" s="3">
        <v>78.349999999999994</v>
      </c>
      <c r="L275" t="str">
        <f t="shared" si="20"/>
        <v>0% off</v>
      </c>
      <c r="M275" s="3">
        <f t="shared" si="21"/>
        <v>0</v>
      </c>
      <c r="N275" t="str">
        <f t="shared" si="22"/>
        <v>No</v>
      </c>
      <c r="O275" t="s">
        <v>21</v>
      </c>
      <c r="P275" s="3">
        <f t="shared" si="23"/>
        <v>78.349999999999994</v>
      </c>
      <c r="Q275" t="s">
        <v>27</v>
      </c>
      <c r="R275">
        <v>3</v>
      </c>
      <c r="S275" t="str">
        <f t="shared" si="24"/>
        <v>Average</v>
      </c>
    </row>
    <row r="276" spans="1:19" x14ac:dyDescent="0.25">
      <c r="A276" t="s">
        <v>537</v>
      </c>
      <c r="B276">
        <v>45</v>
      </c>
      <c r="C276" t="s">
        <v>29</v>
      </c>
      <c r="D276" t="s">
        <v>2544</v>
      </c>
      <c r="E276" t="s">
        <v>18</v>
      </c>
      <c r="F276" t="s">
        <v>142</v>
      </c>
      <c r="G276" t="s">
        <v>538</v>
      </c>
      <c r="H276" t="str">
        <f>TEXT(walmart[[#This Row],[Purchase_Date]],"DDD")</f>
        <v>Mon</v>
      </c>
      <c r="I276" t="str">
        <f>TEXT(walmart[[#This Row],[Purchase_Date]],"MMM")</f>
        <v>May</v>
      </c>
      <c r="J276" t="str">
        <f>TEXT(walmart[[#This Row],[Purchase_Date]],"YYY")</f>
        <v>2024</v>
      </c>
      <c r="K276" s="3">
        <v>485.26</v>
      </c>
      <c r="L276" t="str">
        <f t="shared" si="20"/>
        <v>5% off</v>
      </c>
      <c r="M276" s="3">
        <f t="shared" si="21"/>
        <v>24.263000000000002</v>
      </c>
      <c r="N276" t="str">
        <f t="shared" si="22"/>
        <v>Yes</v>
      </c>
      <c r="O276" t="s">
        <v>21</v>
      </c>
      <c r="P276" s="3">
        <f t="shared" si="23"/>
        <v>460.99700000000001</v>
      </c>
      <c r="Q276" t="s">
        <v>35</v>
      </c>
      <c r="R276">
        <v>5</v>
      </c>
      <c r="S276" t="str">
        <f t="shared" si="24"/>
        <v>Excellent</v>
      </c>
    </row>
    <row r="277" spans="1:19" x14ac:dyDescent="0.25">
      <c r="A277" t="s">
        <v>539</v>
      </c>
      <c r="B277">
        <v>33</v>
      </c>
      <c r="C277" t="s">
        <v>16</v>
      </c>
      <c r="D277" t="s">
        <v>2545</v>
      </c>
      <c r="E277" t="s">
        <v>55</v>
      </c>
      <c r="F277" t="s">
        <v>56</v>
      </c>
      <c r="G277" t="s">
        <v>540</v>
      </c>
      <c r="H277" t="str">
        <f>TEXT(walmart[[#This Row],[Purchase_Date]],"DDD")</f>
        <v>Sun</v>
      </c>
      <c r="I277" t="str">
        <f>TEXT(walmart[[#This Row],[Purchase_Date]],"MMM")</f>
        <v>Feb</v>
      </c>
      <c r="J277" t="str">
        <f>TEXT(walmart[[#This Row],[Purchase_Date]],"YYY")</f>
        <v>2025</v>
      </c>
      <c r="K277" s="3">
        <v>76.81</v>
      </c>
      <c r="L277" t="str">
        <f t="shared" si="20"/>
        <v>0% off</v>
      </c>
      <c r="M277" s="3">
        <f t="shared" si="21"/>
        <v>0</v>
      </c>
      <c r="N277" t="str">
        <f t="shared" si="22"/>
        <v>No</v>
      </c>
      <c r="O277" t="s">
        <v>34</v>
      </c>
      <c r="P277" s="3">
        <f t="shared" si="23"/>
        <v>76.81</v>
      </c>
      <c r="Q277" t="s">
        <v>22</v>
      </c>
      <c r="R277">
        <v>2</v>
      </c>
      <c r="S277" t="str">
        <f t="shared" si="24"/>
        <v>Poor</v>
      </c>
    </row>
    <row r="278" spans="1:19" x14ac:dyDescent="0.25">
      <c r="A278" t="s">
        <v>541</v>
      </c>
      <c r="B278">
        <v>48</v>
      </c>
      <c r="C278" t="s">
        <v>29</v>
      </c>
      <c r="D278" t="s">
        <v>2546</v>
      </c>
      <c r="E278" t="s">
        <v>42</v>
      </c>
      <c r="F278" t="s">
        <v>43</v>
      </c>
      <c r="G278" t="s">
        <v>187</v>
      </c>
      <c r="H278" t="str">
        <f>TEXT(walmart[[#This Row],[Purchase_Date]],"DDD")</f>
        <v>Sat</v>
      </c>
      <c r="I278" t="str">
        <f>TEXT(walmart[[#This Row],[Purchase_Date]],"MMM")</f>
        <v>Dec</v>
      </c>
      <c r="J278" t="str">
        <f>TEXT(walmart[[#This Row],[Purchase_Date]],"YYY")</f>
        <v>2024</v>
      </c>
      <c r="K278" s="3">
        <v>512.94000000000005</v>
      </c>
      <c r="L278" t="str">
        <f t="shared" si="20"/>
        <v>10% off</v>
      </c>
      <c r="M278" s="3">
        <f t="shared" si="21"/>
        <v>51.294000000000011</v>
      </c>
      <c r="N278" t="str">
        <f t="shared" si="22"/>
        <v>Yes</v>
      </c>
      <c r="O278" t="s">
        <v>21</v>
      </c>
      <c r="P278" s="3">
        <f t="shared" si="23"/>
        <v>461.64600000000007</v>
      </c>
      <c r="Q278" t="s">
        <v>27</v>
      </c>
      <c r="R278">
        <v>1</v>
      </c>
      <c r="S278" t="str">
        <f t="shared" si="24"/>
        <v>Very Poor</v>
      </c>
    </row>
    <row r="279" spans="1:19" x14ac:dyDescent="0.25">
      <c r="A279" t="s">
        <v>542</v>
      </c>
      <c r="B279">
        <v>31</v>
      </c>
      <c r="C279" t="s">
        <v>29</v>
      </c>
      <c r="D279" t="s">
        <v>2547</v>
      </c>
      <c r="E279" t="s">
        <v>18</v>
      </c>
      <c r="F279" t="s">
        <v>77</v>
      </c>
      <c r="G279" t="s">
        <v>496</v>
      </c>
      <c r="H279" t="str">
        <f>TEXT(walmart[[#This Row],[Purchase_Date]],"DDD")</f>
        <v>Wed</v>
      </c>
      <c r="I279" t="str">
        <f>TEXT(walmart[[#This Row],[Purchase_Date]],"MMM")</f>
        <v>Jul</v>
      </c>
      <c r="J279" t="str">
        <f>TEXT(walmart[[#This Row],[Purchase_Date]],"YYY")</f>
        <v>2024</v>
      </c>
      <c r="K279" s="3">
        <v>116.78</v>
      </c>
      <c r="L279" t="str">
        <f t="shared" si="20"/>
        <v>0% off</v>
      </c>
      <c r="M279" s="3">
        <f t="shared" si="21"/>
        <v>0</v>
      </c>
      <c r="N279" t="str">
        <f t="shared" si="22"/>
        <v>No</v>
      </c>
      <c r="O279" t="s">
        <v>34</v>
      </c>
      <c r="P279" s="3">
        <f t="shared" si="23"/>
        <v>116.78</v>
      </c>
      <c r="Q279" t="s">
        <v>22</v>
      </c>
      <c r="R279">
        <v>4</v>
      </c>
      <c r="S279" t="str">
        <f t="shared" si="24"/>
        <v>Good</v>
      </c>
    </row>
    <row r="280" spans="1:19" x14ac:dyDescent="0.25">
      <c r="A280" t="s">
        <v>543</v>
      </c>
      <c r="B280">
        <v>22</v>
      </c>
      <c r="C280" t="s">
        <v>16</v>
      </c>
      <c r="D280" t="s">
        <v>2548</v>
      </c>
      <c r="E280" t="s">
        <v>37</v>
      </c>
      <c r="F280" t="s">
        <v>97</v>
      </c>
      <c r="G280" t="s">
        <v>130</v>
      </c>
      <c r="H280" t="str">
        <f>TEXT(walmart[[#This Row],[Purchase_Date]],"DDD")</f>
        <v>Mon</v>
      </c>
      <c r="I280" t="str">
        <f>TEXT(walmart[[#This Row],[Purchase_Date]],"MMM")</f>
        <v>Nov</v>
      </c>
      <c r="J280" t="str">
        <f>TEXT(walmart[[#This Row],[Purchase_Date]],"YYY")</f>
        <v>2024</v>
      </c>
      <c r="K280" s="3">
        <v>855.21</v>
      </c>
      <c r="L280" t="str">
        <f t="shared" si="20"/>
        <v>15% off</v>
      </c>
      <c r="M280" s="3">
        <f t="shared" si="21"/>
        <v>128.28149999999999</v>
      </c>
      <c r="N280" t="str">
        <f t="shared" si="22"/>
        <v>Yes</v>
      </c>
      <c r="O280" t="s">
        <v>21</v>
      </c>
      <c r="P280" s="3">
        <f t="shared" si="23"/>
        <v>726.92849999999999</v>
      </c>
      <c r="Q280" t="s">
        <v>47</v>
      </c>
      <c r="R280">
        <v>2</v>
      </c>
      <c r="S280" t="str">
        <f t="shared" si="24"/>
        <v>Poor</v>
      </c>
    </row>
    <row r="281" spans="1:19" x14ac:dyDescent="0.25">
      <c r="A281" t="s">
        <v>544</v>
      </c>
      <c r="B281">
        <v>50</v>
      </c>
      <c r="C281" t="s">
        <v>29</v>
      </c>
      <c r="D281" t="s">
        <v>2549</v>
      </c>
      <c r="E281" t="s">
        <v>37</v>
      </c>
      <c r="F281" t="s">
        <v>82</v>
      </c>
      <c r="G281" t="s">
        <v>545</v>
      </c>
      <c r="H281" t="str">
        <f>TEXT(walmart[[#This Row],[Purchase_Date]],"DDD")</f>
        <v>Wed</v>
      </c>
      <c r="I281" t="str">
        <f>TEXT(walmart[[#This Row],[Purchase_Date]],"MMM")</f>
        <v>Feb</v>
      </c>
      <c r="J281" t="str">
        <f>TEXT(walmart[[#This Row],[Purchase_Date]],"YYY")</f>
        <v>2025</v>
      </c>
      <c r="K281" s="3">
        <v>270.41000000000003</v>
      </c>
      <c r="L281" t="str">
        <f t="shared" si="20"/>
        <v>5% off</v>
      </c>
      <c r="M281" s="3">
        <f t="shared" si="21"/>
        <v>13.520500000000002</v>
      </c>
      <c r="N281" t="str">
        <f t="shared" si="22"/>
        <v>Yes</v>
      </c>
      <c r="O281" t="s">
        <v>21</v>
      </c>
      <c r="P281" s="3">
        <f t="shared" si="23"/>
        <v>256.8895</v>
      </c>
      <c r="Q281" t="s">
        <v>22</v>
      </c>
      <c r="R281">
        <v>2</v>
      </c>
      <c r="S281" t="str">
        <f t="shared" si="24"/>
        <v>Poor</v>
      </c>
    </row>
    <row r="282" spans="1:19" x14ac:dyDescent="0.25">
      <c r="A282" t="s">
        <v>546</v>
      </c>
      <c r="B282">
        <v>43</v>
      </c>
      <c r="C282" t="s">
        <v>29</v>
      </c>
      <c r="D282" t="s">
        <v>2550</v>
      </c>
      <c r="E282" t="s">
        <v>24</v>
      </c>
      <c r="F282" t="s">
        <v>162</v>
      </c>
      <c r="G282" t="s">
        <v>547</v>
      </c>
      <c r="H282" t="str">
        <f>TEXT(walmart[[#This Row],[Purchase_Date]],"DDD")</f>
        <v>Fri</v>
      </c>
      <c r="I282" t="str">
        <f>TEXT(walmart[[#This Row],[Purchase_Date]],"MMM")</f>
        <v>May</v>
      </c>
      <c r="J282" t="str">
        <f>TEXT(walmart[[#This Row],[Purchase_Date]],"YYY")</f>
        <v>2024</v>
      </c>
      <c r="K282" s="3">
        <v>362.55</v>
      </c>
      <c r="L282" t="str">
        <f t="shared" si="20"/>
        <v>5% off</v>
      </c>
      <c r="M282" s="3">
        <f t="shared" si="21"/>
        <v>18.127500000000001</v>
      </c>
      <c r="N282" t="str">
        <f t="shared" si="22"/>
        <v>Yes</v>
      </c>
      <c r="O282" t="s">
        <v>34</v>
      </c>
      <c r="P282" s="3">
        <f t="shared" si="23"/>
        <v>344.42250000000001</v>
      </c>
      <c r="Q282" t="s">
        <v>27</v>
      </c>
      <c r="R282">
        <v>1</v>
      </c>
      <c r="S282" t="str">
        <f t="shared" si="24"/>
        <v>Very Poor</v>
      </c>
    </row>
    <row r="283" spans="1:19" x14ac:dyDescent="0.25">
      <c r="A283" t="s">
        <v>548</v>
      </c>
      <c r="B283">
        <v>18</v>
      </c>
      <c r="C283" t="s">
        <v>16</v>
      </c>
      <c r="D283" t="s">
        <v>2551</v>
      </c>
      <c r="E283" t="s">
        <v>31</v>
      </c>
      <c r="F283" t="s">
        <v>300</v>
      </c>
      <c r="G283" t="s">
        <v>323</v>
      </c>
      <c r="H283" t="str">
        <f>TEXT(walmart[[#This Row],[Purchase_Date]],"DDD")</f>
        <v>Tue</v>
      </c>
      <c r="I283" t="str">
        <f>TEXT(walmart[[#This Row],[Purchase_Date]],"MMM")</f>
        <v>Feb</v>
      </c>
      <c r="J283" t="str">
        <f>TEXT(walmart[[#This Row],[Purchase_Date]],"YYY")</f>
        <v>2025</v>
      </c>
      <c r="K283" s="3">
        <v>340.04</v>
      </c>
      <c r="L283" t="str">
        <f t="shared" si="20"/>
        <v>5% off</v>
      </c>
      <c r="M283" s="3">
        <f t="shared" si="21"/>
        <v>17.002000000000002</v>
      </c>
      <c r="N283" t="str">
        <f t="shared" si="22"/>
        <v>Yes</v>
      </c>
      <c r="O283" t="s">
        <v>21</v>
      </c>
      <c r="P283" s="3">
        <f t="shared" si="23"/>
        <v>323.03800000000001</v>
      </c>
      <c r="Q283" t="s">
        <v>35</v>
      </c>
      <c r="R283">
        <v>1</v>
      </c>
      <c r="S283" t="str">
        <f t="shared" si="24"/>
        <v>Very Poor</v>
      </c>
    </row>
    <row r="284" spans="1:19" x14ac:dyDescent="0.25">
      <c r="A284" t="s">
        <v>549</v>
      </c>
      <c r="B284">
        <v>46</v>
      </c>
      <c r="C284" t="s">
        <v>16</v>
      </c>
      <c r="D284" t="s">
        <v>2552</v>
      </c>
      <c r="E284" t="s">
        <v>24</v>
      </c>
      <c r="F284" t="s">
        <v>162</v>
      </c>
      <c r="G284" t="s">
        <v>550</v>
      </c>
      <c r="H284" t="str">
        <f>TEXT(walmart[[#This Row],[Purchase_Date]],"DDD")</f>
        <v>Sun</v>
      </c>
      <c r="I284" t="str">
        <f>TEXT(walmart[[#This Row],[Purchase_Date]],"MMM")</f>
        <v>May</v>
      </c>
      <c r="J284" t="str">
        <f>TEXT(walmart[[#This Row],[Purchase_Date]],"YYY")</f>
        <v>2024</v>
      </c>
      <c r="K284" s="3">
        <v>362.55</v>
      </c>
      <c r="L284" t="str">
        <f t="shared" si="20"/>
        <v>5% off</v>
      </c>
      <c r="M284" s="3">
        <f t="shared" si="21"/>
        <v>18.127500000000001</v>
      </c>
      <c r="N284" t="str">
        <f t="shared" si="22"/>
        <v>Yes</v>
      </c>
      <c r="O284" t="s">
        <v>34</v>
      </c>
      <c r="P284" s="3">
        <f t="shared" si="23"/>
        <v>344.42250000000001</v>
      </c>
      <c r="Q284" t="s">
        <v>47</v>
      </c>
      <c r="R284">
        <v>3</v>
      </c>
      <c r="S284" t="str">
        <f t="shared" si="24"/>
        <v>Average</v>
      </c>
    </row>
    <row r="285" spans="1:19" x14ac:dyDescent="0.25">
      <c r="A285" t="s">
        <v>551</v>
      </c>
      <c r="B285">
        <v>55</v>
      </c>
      <c r="C285" t="s">
        <v>16</v>
      </c>
      <c r="D285" t="s">
        <v>2553</v>
      </c>
      <c r="E285" t="s">
        <v>55</v>
      </c>
      <c r="F285" t="s">
        <v>56</v>
      </c>
      <c r="G285" t="s">
        <v>231</v>
      </c>
      <c r="H285" t="str">
        <f>TEXT(walmart[[#This Row],[Purchase_Date]],"DDD")</f>
        <v>Thu</v>
      </c>
      <c r="I285" t="str">
        <f>TEXT(walmart[[#This Row],[Purchase_Date]],"MMM")</f>
        <v>Oct</v>
      </c>
      <c r="J285" t="str">
        <f>TEXT(walmart[[#This Row],[Purchase_Date]],"YYY")</f>
        <v>2024</v>
      </c>
      <c r="K285" s="3">
        <v>76.81</v>
      </c>
      <c r="L285" t="str">
        <f t="shared" si="20"/>
        <v>0% off</v>
      </c>
      <c r="M285" s="3">
        <f t="shared" si="21"/>
        <v>0</v>
      </c>
      <c r="N285" t="str">
        <f t="shared" si="22"/>
        <v>No</v>
      </c>
      <c r="O285" t="s">
        <v>34</v>
      </c>
      <c r="P285" s="3">
        <f t="shared" si="23"/>
        <v>76.81</v>
      </c>
      <c r="Q285" t="s">
        <v>35</v>
      </c>
      <c r="R285">
        <v>2</v>
      </c>
      <c r="S285" t="str">
        <f t="shared" si="24"/>
        <v>Poor</v>
      </c>
    </row>
    <row r="286" spans="1:19" x14ac:dyDescent="0.25">
      <c r="A286" t="s">
        <v>552</v>
      </c>
      <c r="B286">
        <v>19</v>
      </c>
      <c r="C286" t="s">
        <v>16</v>
      </c>
      <c r="D286" t="s">
        <v>2554</v>
      </c>
      <c r="E286" t="s">
        <v>18</v>
      </c>
      <c r="F286" t="s">
        <v>142</v>
      </c>
      <c r="G286" t="s">
        <v>553</v>
      </c>
      <c r="H286" t="str">
        <f>TEXT(walmart[[#This Row],[Purchase_Date]],"DDD")</f>
        <v>Thu</v>
      </c>
      <c r="I286" t="str">
        <f>TEXT(walmart[[#This Row],[Purchase_Date]],"MMM")</f>
        <v>Jan</v>
      </c>
      <c r="J286" t="str">
        <f>TEXT(walmart[[#This Row],[Purchase_Date]],"YYY")</f>
        <v>2025</v>
      </c>
      <c r="K286" s="3">
        <v>485.26</v>
      </c>
      <c r="L286" t="str">
        <f t="shared" si="20"/>
        <v>5% off</v>
      </c>
      <c r="M286" s="3">
        <f t="shared" si="21"/>
        <v>24.263000000000002</v>
      </c>
      <c r="N286" t="str">
        <f t="shared" si="22"/>
        <v>Yes</v>
      </c>
      <c r="O286" t="s">
        <v>21</v>
      </c>
      <c r="P286" s="3">
        <f t="shared" si="23"/>
        <v>460.99700000000001</v>
      </c>
      <c r="Q286" t="s">
        <v>27</v>
      </c>
      <c r="R286">
        <v>3</v>
      </c>
      <c r="S286" t="str">
        <f t="shared" si="24"/>
        <v>Average</v>
      </c>
    </row>
    <row r="287" spans="1:19" x14ac:dyDescent="0.25">
      <c r="A287" t="s">
        <v>554</v>
      </c>
      <c r="B287">
        <v>58</v>
      </c>
      <c r="C287" t="s">
        <v>16</v>
      </c>
      <c r="D287" t="s">
        <v>2555</v>
      </c>
      <c r="E287" t="s">
        <v>73</v>
      </c>
      <c r="F287" t="s">
        <v>91</v>
      </c>
      <c r="G287" t="s">
        <v>555</v>
      </c>
      <c r="H287" t="str">
        <f>TEXT(walmart[[#This Row],[Purchase_Date]],"DDD")</f>
        <v>Mon</v>
      </c>
      <c r="I287" t="str">
        <f>TEXT(walmart[[#This Row],[Purchase_Date]],"MMM")</f>
        <v>Sep</v>
      </c>
      <c r="J287" t="str">
        <f>TEXT(walmart[[#This Row],[Purchase_Date]],"YYY")</f>
        <v>2024</v>
      </c>
      <c r="K287" s="3">
        <v>418.55</v>
      </c>
      <c r="L287" t="str">
        <f t="shared" si="20"/>
        <v>5% off</v>
      </c>
      <c r="M287" s="3">
        <f t="shared" si="21"/>
        <v>20.927500000000002</v>
      </c>
      <c r="N287" t="str">
        <f t="shared" si="22"/>
        <v>Yes</v>
      </c>
      <c r="O287" t="s">
        <v>21</v>
      </c>
      <c r="P287" s="3">
        <f t="shared" si="23"/>
        <v>397.6225</v>
      </c>
      <c r="Q287" t="s">
        <v>27</v>
      </c>
      <c r="R287">
        <v>4</v>
      </c>
      <c r="S287" t="str">
        <f t="shared" si="24"/>
        <v>Good</v>
      </c>
    </row>
    <row r="288" spans="1:19" x14ac:dyDescent="0.25">
      <c r="A288" t="s">
        <v>556</v>
      </c>
      <c r="B288">
        <v>32</v>
      </c>
      <c r="C288" t="s">
        <v>29</v>
      </c>
      <c r="D288" t="s">
        <v>2556</v>
      </c>
      <c r="E288" t="s">
        <v>37</v>
      </c>
      <c r="F288" t="s">
        <v>38</v>
      </c>
      <c r="G288" t="s">
        <v>313</v>
      </c>
      <c r="H288" t="str">
        <f>TEXT(walmart[[#This Row],[Purchase_Date]],"DDD")</f>
        <v>Fri</v>
      </c>
      <c r="I288" t="str">
        <f>TEXT(walmart[[#This Row],[Purchase_Date]],"MMM")</f>
        <v>Aug</v>
      </c>
      <c r="J288" t="str">
        <f>TEXT(walmart[[#This Row],[Purchase_Date]],"YYY")</f>
        <v>2024</v>
      </c>
      <c r="K288" s="3">
        <v>211.46</v>
      </c>
      <c r="L288" t="str">
        <f t="shared" si="20"/>
        <v>5% off</v>
      </c>
      <c r="M288" s="3">
        <f t="shared" si="21"/>
        <v>10.573</v>
      </c>
      <c r="N288" t="str">
        <f t="shared" si="22"/>
        <v>Yes</v>
      </c>
      <c r="O288" t="s">
        <v>34</v>
      </c>
      <c r="P288" s="3">
        <f t="shared" si="23"/>
        <v>200.887</v>
      </c>
      <c r="Q288" t="s">
        <v>22</v>
      </c>
      <c r="R288">
        <v>3</v>
      </c>
      <c r="S288" t="str">
        <f t="shared" si="24"/>
        <v>Average</v>
      </c>
    </row>
    <row r="289" spans="1:19" x14ac:dyDescent="0.25">
      <c r="A289" t="s">
        <v>557</v>
      </c>
      <c r="B289">
        <v>48</v>
      </c>
      <c r="C289" t="s">
        <v>29</v>
      </c>
      <c r="D289" t="s">
        <v>2557</v>
      </c>
      <c r="E289" t="s">
        <v>42</v>
      </c>
      <c r="F289" t="s">
        <v>43</v>
      </c>
      <c r="G289" t="s">
        <v>558</v>
      </c>
      <c r="H289" t="str">
        <f>TEXT(walmart[[#This Row],[Purchase_Date]],"DDD")</f>
        <v>Tue</v>
      </c>
      <c r="I289" t="str">
        <f>TEXT(walmart[[#This Row],[Purchase_Date]],"MMM")</f>
        <v>Dec</v>
      </c>
      <c r="J289" t="str">
        <f>TEXT(walmart[[#This Row],[Purchase_Date]],"YYY")</f>
        <v>2024</v>
      </c>
      <c r="K289" s="3">
        <v>512.94000000000005</v>
      </c>
      <c r="L289" t="str">
        <f t="shared" si="20"/>
        <v>10% off</v>
      </c>
      <c r="M289" s="3">
        <f t="shared" si="21"/>
        <v>51.294000000000011</v>
      </c>
      <c r="N289" t="str">
        <f t="shared" si="22"/>
        <v>Yes</v>
      </c>
      <c r="O289" t="s">
        <v>34</v>
      </c>
      <c r="P289" s="3">
        <f t="shared" si="23"/>
        <v>461.64600000000007</v>
      </c>
      <c r="Q289" t="s">
        <v>22</v>
      </c>
      <c r="R289">
        <v>5</v>
      </c>
      <c r="S289" t="str">
        <f t="shared" si="24"/>
        <v>Excellent</v>
      </c>
    </row>
    <row r="290" spans="1:19" x14ac:dyDescent="0.25">
      <c r="A290" t="s">
        <v>559</v>
      </c>
      <c r="B290">
        <v>40</v>
      </c>
      <c r="C290" t="s">
        <v>29</v>
      </c>
      <c r="D290" t="s">
        <v>2558</v>
      </c>
      <c r="E290" t="s">
        <v>42</v>
      </c>
      <c r="F290" t="s">
        <v>52</v>
      </c>
      <c r="G290" t="s">
        <v>560</v>
      </c>
      <c r="H290" t="str">
        <f>TEXT(walmart[[#This Row],[Purchase_Date]],"DDD")</f>
        <v>Wed</v>
      </c>
      <c r="I290" t="str">
        <f>TEXT(walmart[[#This Row],[Purchase_Date]],"MMM")</f>
        <v>Sep</v>
      </c>
      <c r="J290" t="str">
        <f>TEXT(walmart[[#This Row],[Purchase_Date]],"YYY")</f>
        <v>2024</v>
      </c>
      <c r="K290" s="3">
        <v>988.77</v>
      </c>
      <c r="L290" t="str">
        <f t="shared" si="20"/>
        <v>20% off</v>
      </c>
      <c r="M290" s="3">
        <f t="shared" si="21"/>
        <v>197.75400000000002</v>
      </c>
      <c r="N290" t="str">
        <f t="shared" si="22"/>
        <v>Yes</v>
      </c>
      <c r="O290" t="s">
        <v>34</v>
      </c>
      <c r="P290" s="3">
        <f t="shared" si="23"/>
        <v>791.01599999999996</v>
      </c>
      <c r="Q290" t="s">
        <v>47</v>
      </c>
      <c r="R290">
        <v>3</v>
      </c>
      <c r="S290" t="str">
        <f t="shared" si="24"/>
        <v>Average</v>
      </c>
    </row>
    <row r="291" spans="1:19" x14ac:dyDescent="0.25">
      <c r="A291" t="s">
        <v>561</v>
      </c>
      <c r="B291">
        <v>35</v>
      </c>
      <c r="C291" t="s">
        <v>16</v>
      </c>
      <c r="D291" t="s">
        <v>2559</v>
      </c>
      <c r="E291" t="s">
        <v>73</v>
      </c>
      <c r="F291" t="s">
        <v>91</v>
      </c>
      <c r="G291" t="s">
        <v>293</v>
      </c>
      <c r="H291" t="str">
        <f>TEXT(walmart[[#This Row],[Purchase_Date]],"DDD")</f>
        <v>Wed</v>
      </c>
      <c r="I291" t="str">
        <f>TEXT(walmart[[#This Row],[Purchase_Date]],"MMM")</f>
        <v>May</v>
      </c>
      <c r="J291" t="str">
        <f>TEXT(walmart[[#This Row],[Purchase_Date]],"YYY")</f>
        <v>2024</v>
      </c>
      <c r="K291" s="3">
        <v>418.55</v>
      </c>
      <c r="L291" t="str">
        <f t="shared" si="20"/>
        <v>5% off</v>
      </c>
      <c r="M291" s="3">
        <f t="shared" si="21"/>
        <v>20.927500000000002</v>
      </c>
      <c r="N291" t="str">
        <f t="shared" si="22"/>
        <v>Yes</v>
      </c>
      <c r="O291" t="s">
        <v>21</v>
      </c>
      <c r="P291" s="3">
        <f t="shared" si="23"/>
        <v>397.6225</v>
      </c>
      <c r="Q291" t="s">
        <v>47</v>
      </c>
      <c r="R291">
        <v>4</v>
      </c>
      <c r="S291" t="str">
        <f t="shared" si="24"/>
        <v>Good</v>
      </c>
    </row>
    <row r="292" spans="1:19" x14ac:dyDescent="0.25">
      <c r="A292" t="s">
        <v>562</v>
      </c>
      <c r="B292">
        <v>24</v>
      </c>
      <c r="C292" t="s">
        <v>29</v>
      </c>
      <c r="D292" t="s">
        <v>2560</v>
      </c>
      <c r="E292" t="s">
        <v>18</v>
      </c>
      <c r="F292" t="s">
        <v>59</v>
      </c>
      <c r="G292" t="s">
        <v>461</v>
      </c>
      <c r="H292" t="str">
        <f>TEXT(walmart[[#This Row],[Purchase_Date]],"DDD")</f>
        <v>Thu</v>
      </c>
      <c r="I292" t="str">
        <f>TEXT(walmart[[#This Row],[Purchase_Date]],"MMM")</f>
        <v>Mar</v>
      </c>
      <c r="J292" t="str">
        <f>TEXT(walmart[[#This Row],[Purchase_Date]],"YYY")</f>
        <v>2025</v>
      </c>
      <c r="K292" s="3">
        <v>78.349999999999994</v>
      </c>
      <c r="L292" t="str">
        <f t="shared" si="20"/>
        <v>0% off</v>
      </c>
      <c r="M292" s="3">
        <f t="shared" si="21"/>
        <v>0</v>
      </c>
      <c r="N292" t="str">
        <f t="shared" si="22"/>
        <v>No</v>
      </c>
      <c r="O292" t="s">
        <v>34</v>
      </c>
      <c r="P292" s="3">
        <f t="shared" si="23"/>
        <v>78.349999999999994</v>
      </c>
      <c r="Q292" t="s">
        <v>22</v>
      </c>
      <c r="R292">
        <v>4</v>
      </c>
      <c r="S292" t="str">
        <f t="shared" si="24"/>
        <v>Good</v>
      </c>
    </row>
    <row r="293" spans="1:19" x14ac:dyDescent="0.25">
      <c r="A293" t="s">
        <v>563</v>
      </c>
      <c r="B293">
        <v>40</v>
      </c>
      <c r="C293" t="s">
        <v>16</v>
      </c>
      <c r="D293" t="s">
        <v>2561</v>
      </c>
      <c r="E293" t="s">
        <v>42</v>
      </c>
      <c r="F293" t="s">
        <v>120</v>
      </c>
      <c r="G293" t="s">
        <v>101</v>
      </c>
      <c r="H293" t="str">
        <f>TEXT(walmart[[#This Row],[Purchase_Date]],"DDD")</f>
        <v>Mon</v>
      </c>
      <c r="I293" t="str">
        <f>TEXT(walmart[[#This Row],[Purchase_Date]],"MMM")</f>
        <v>Feb</v>
      </c>
      <c r="J293" t="str">
        <f>TEXT(walmart[[#This Row],[Purchase_Date]],"YYY")</f>
        <v>2025</v>
      </c>
      <c r="K293" s="3">
        <v>260.77999999999997</v>
      </c>
      <c r="L293" t="str">
        <f t="shared" si="20"/>
        <v>5% off</v>
      </c>
      <c r="M293" s="3">
        <f t="shared" si="21"/>
        <v>13.039</v>
      </c>
      <c r="N293" t="str">
        <f t="shared" si="22"/>
        <v>Yes</v>
      </c>
      <c r="O293" t="s">
        <v>34</v>
      </c>
      <c r="P293" s="3">
        <f t="shared" si="23"/>
        <v>247.74099999999999</v>
      </c>
      <c r="Q293" t="s">
        <v>47</v>
      </c>
      <c r="R293">
        <v>3</v>
      </c>
      <c r="S293" t="str">
        <f t="shared" si="24"/>
        <v>Average</v>
      </c>
    </row>
    <row r="294" spans="1:19" x14ac:dyDescent="0.25">
      <c r="A294" t="s">
        <v>564</v>
      </c>
      <c r="B294">
        <v>35</v>
      </c>
      <c r="C294" t="s">
        <v>16</v>
      </c>
      <c r="D294" t="s">
        <v>2501</v>
      </c>
      <c r="E294" t="s">
        <v>73</v>
      </c>
      <c r="F294" t="s">
        <v>91</v>
      </c>
      <c r="G294" t="s">
        <v>78</v>
      </c>
      <c r="H294" t="str">
        <f>TEXT(walmart[[#This Row],[Purchase_Date]],"DDD")</f>
        <v>Mon</v>
      </c>
      <c r="I294" t="str">
        <f>TEXT(walmart[[#This Row],[Purchase_Date]],"MMM")</f>
        <v>Jul</v>
      </c>
      <c r="J294" t="str">
        <f>TEXT(walmart[[#This Row],[Purchase_Date]],"YYY")</f>
        <v>2024</v>
      </c>
      <c r="K294" s="3">
        <v>418.55</v>
      </c>
      <c r="L294" t="str">
        <f t="shared" si="20"/>
        <v>5% off</v>
      </c>
      <c r="M294" s="3">
        <f t="shared" si="21"/>
        <v>20.927500000000002</v>
      </c>
      <c r="N294" t="str">
        <f t="shared" si="22"/>
        <v>Yes</v>
      </c>
      <c r="O294" t="s">
        <v>21</v>
      </c>
      <c r="P294" s="3">
        <f t="shared" si="23"/>
        <v>397.6225</v>
      </c>
      <c r="Q294" t="s">
        <v>27</v>
      </c>
      <c r="R294">
        <v>5</v>
      </c>
      <c r="S294" t="str">
        <f t="shared" si="24"/>
        <v>Excellent</v>
      </c>
    </row>
    <row r="295" spans="1:19" x14ac:dyDescent="0.25">
      <c r="A295" t="s">
        <v>565</v>
      </c>
      <c r="B295">
        <v>36</v>
      </c>
      <c r="C295" t="s">
        <v>29</v>
      </c>
      <c r="D295" t="s">
        <v>2504</v>
      </c>
      <c r="E295" t="s">
        <v>73</v>
      </c>
      <c r="F295" t="s">
        <v>138</v>
      </c>
      <c r="G295" t="s">
        <v>566</v>
      </c>
      <c r="H295" t="str">
        <f>TEXT(walmart[[#This Row],[Purchase_Date]],"DDD")</f>
        <v>Wed</v>
      </c>
      <c r="I295" t="str">
        <f>TEXT(walmart[[#This Row],[Purchase_Date]],"MMM")</f>
        <v>Oct</v>
      </c>
      <c r="J295" t="str">
        <f>TEXT(walmart[[#This Row],[Purchase_Date]],"YYY")</f>
        <v>2024</v>
      </c>
      <c r="K295" s="3">
        <v>461.81</v>
      </c>
      <c r="L295" t="str">
        <f t="shared" si="20"/>
        <v>5% off</v>
      </c>
      <c r="M295" s="3">
        <f t="shared" si="21"/>
        <v>23.090500000000002</v>
      </c>
      <c r="N295" t="str">
        <f t="shared" si="22"/>
        <v>Yes</v>
      </c>
      <c r="O295" t="s">
        <v>21</v>
      </c>
      <c r="P295" s="3">
        <f t="shared" si="23"/>
        <v>438.71949999999998</v>
      </c>
      <c r="Q295" t="s">
        <v>27</v>
      </c>
      <c r="R295">
        <v>1</v>
      </c>
      <c r="S295" t="str">
        <f t="shared" si="24"/>
        <v>Very Poor</v>
      </c>
    </row>
    <row r="296" spans="1:19" x14ac:dyDescent="0.25">
      <c r="A296" t="s">
        <v>567</v>
      </c>
      <c r="B296">
        <v>43</v>
      </c>
      <c r="C296" t="s">
        <v>16</v>
      </c>
      <c r="D296" t="s">
        <v>2505</v>
      </c>
      <c r="E296" t="s">
        <v>73</v>
      </c>
      <c r="F296" t="s">
        <v>74</v>
      </c>
      <c r="G296" t="s">
        <v>568</v>
      </c>
      <c r="H296" t="str">
        <f>TEXT(walmart[[#This Row],[Purchase_Date]],"DDD")</f>
        <v>Sun</v>
      </c>
      <c r="I296" t="str">
        <f>TEXT(walmart[[#This Row],[Purchase_Date]],"MMM")</f>
        <v>Oct</v>
      </c>
      <c r="J296" t="str">
        <f>TEXT(walmart[[#This Row],[Purchase_Date]],"YYY")</f>
        <v>2024</v>
      </c>
      <c r="K296" s="3">
        <v>782.29</v>
      </c>
      <c r="L296" t="str">
        <f t="shared" si="20"/>
        <v>15% off</v>
      </c>
      <c r="M296" s="3">
        <f t="shared" si="21"/>
        <v>117.34349999999999</v>
      </c>
      <c r="N296" t="str">
        <f t="shared" si="22"/>
        <v>Yes</v>
      </c>
      <c r="O296" t="s">
        <v>34</v>
      </c>
      <c r="P296" s="3">
        <f t="shared" si="23"/>
        <v>664.94650000000001</v>
      </c>
      <c r="Q296" t="s">
        <v>27</v>
      </c>
      <c r="R296">
        <v>2</v>
      </c>
      <c r="S296" t="str">
        <f t="shared" si="24"/>
        <v>Poor</v>
      </c>
    </row>
    <row r="297" spans="1:19" x14ac:dyDescent="0.25">
      <c r="A297" t="s">
        <v>569</v>
      </c>
      <c r="B297">
        <v>67</v>
      </c>
      <c r="C297" t="s">
        <v>16</v>
      </c>
      <c r="D297" t="s">
        <v>2562</v>
      </c>
      <c r="E297" t="s">
        <v>37</v>
      </c>
      <c r="F297" t="s">
        <v>38</v>
      </c>
      <c r="G297" t="s">
        <v>570</v>
      </c>
      <c r="H297" t="str">
        <f>TEXT(walmart[[#This Row],[Purchase_Date]],"DDD")</f>
        <v>Tue</v>
      </c>
      <c r="I297" t="str">
        <f>TEXT(walmart[[#This Row],[Purchase_Date]],"MMM")</f>
        <v>Jun</v>
      </c>
      <c r="J297" t="str">
        <f>TEXT(walmart[[#This Row],[Purchase_Date]],"YYY")</f>
        <v>2024</v>
      </c>
      <c r="K297" s="3">
        <v>211.46</v>
      </c>
      <c r="L297" t="str">
        <f t="shared" si="20"/>
        <v>5% off</v>
      </c>
      <c r="M297" s="3">
        <f t="shared" si="21"/>
        <v>10.573</v>
      </c>
      <c r="N297" t="str">
        <f t="shared" si="22"/>
        <v>Yes</v>
      </c>
      <c r="O297" t="s">
        <v>21</v>
      </c>
      <c r="P297" s="3">
        <f t="shared" si="23"/>
        <v>200.887</v>
      </c>
      <c r="Q297" t="s">
        <v>22</v>
      </c>
      <c r="R297">
        <v>4</v>
      </c>
      <c r="S297" t="str">
        <f t="shared" si="24"/>
        <v>Good</v>
      </c>
    </row>
    <row r="298" spans="1:19" x14ac:dyDescent="0.25">
      <c r="A298" t="s">
        <v>571</v>
      </c>
      <c r="B298">
        <v>51</v>
      </c>
      <c r="C298" t="s">
        <v>29</v>
      </c>
      <c r="D298" t="s">
        <v>2563</v>
      </c>
      <c r="E298" t="s">
        <v>18</v>
      </c>
      <c r="F298" t="s">
        <v>142</v>
      </c>
      <c r="G298" t="s">
        <v>26</v>
      </c>
      <c r="H298" t="str">
        <f>TEXT(walmart[[#This Row],[Purchase_Date]],"DDD")</f>
        <v>Tue</v>
      </c>
      <c r="I298" t="str">
        <f>TEXT(walmart[[#This Row],[Purchase_Date]],"MMM")</f>
        <v>Nov</v>
      </c>
      <c r="J298" t="str">
        <f>TEXT(walmart[[#This Row],[Purchase_Date]],"YYY")</f>
        <v>2024</v>
      </c>
      <c r="K298" s="3">
        <v>485.26</v>
      </c>
      <c r="L298" t="str">
        <f t="shared" si="20"/>
        <v>5% off</v>
      </c>
      <c r="M298" s="3">
        <f t="shared" si="21"/>
        <v>24.263000000000002</v>
      </c>
      <c r="N298" t="str">
        <f t="shared" si="22"/>
        <v>Yes</v>
      </c>
      <c r="O298" t="s">
        <v>21</v>
      </c>
      <c r="P298" s="3">
        <f t="shared" si="23"/>
        <v>460.99700000000001</v>
      </c>
      <c r="Q298" t="s">
        <v>47</v>
      </c>
      <c r="R298">
        <v>5</v>
      </c>
      <c r="S298" t="str">
        <f t="shared" si="24"/>
        <v>Excellent</v>
      </c>
    </row>
    <row r="299" spans="1:19" x14ac:dyDescent="0.25">
      <c r="A299" t="s">
        <v>572</v>
      </c>
      <c r="B299">
        <v>37</v>
      </c>
      <c r="C299" t="s">
        <v>29</v>
      </c>
      <c r="D299" t="s">
        <v>2564</v>
      </c>
      <c r="E299" t="s">
        <v>42</v>
      </c>
      <c r="F299" t="s">
        <v>52</v>
      </c>
      <c r="G299" t="s">
        <v>573</v>
      </c>
      <c r="H299" t="str">
        <f>TEXT(walmart[[#This Row],[Purchase_Date]],"DDD")</f>
        <v>Mon</v>
      </c>
      <c r="I299" t="str">
        <f>TEXT(walmart[[#This Row],[Purchase_Date]],"MMM")</f>
        <v>Oct</v>
      </c>
      <c r="J299" t="str">
        <f>TEXT(walmart[[#This Row],[Purchase_Date]],"YYY")</f>
        <v>2024</v>
      </c>
      <c r="K299" s="3">
        <v>988.77</v>
      </c>
      <c r="L299" t="str">
        <f t="shared" si="20"/>
        <v>20% off</v>
      </c>
      <c r="M299" s="3">
        <f t="shared" si="21"/>
        <v>197.75400000000002</v>
      </c>
      <c r="N299" t="str">
        <f t="shared" si="22"/>
        <v>Yes</v>
      </c>
      <c r="O299" t="s">
        <v>21</v>
      </c>
      <c r="P299" s="3">
        <f t="shared" si="23"/>
        <v>791.01599999999996</v>
      </c>
      <c r="Q299" t="s">
        <v>47</v>
      </c>
      <c r="R299">
        <v>5</v>
      </c>
      <c r="S299" t="str">
        <f t="shared" si="24"/>
        <v>Excellent</v>
      </c>
    </row>
    <row r="300" spans="1:19" x14ac:dyDescent="0.25">
      <c r="A300" t="s">
        <v>574</v>
      </c>
      <c r="B300">
        <v>68</v>
      </c>
      <c r="C300" t="s">
        <v>29</v>
      </c>
      <c r="D300" t="s">
        <v>2565</v>
      </c>
      <c r="E300" t="s">
        <v>24</v>
      </c>
      <c r="F300" t="s">
        <v>209</v>
      </c>
      <c r="G300" t="s">
        <v>540</v>
      </c>
      <c r="H300" t="str">
        <f>TEXT(walmart[[#This Row],[Purchase_Date]],"DDD")</f>
        <v>Sun</v>
      </c>
      <c r="I300" t="str">
        <f>TEXT(walmart[[#This Row],[Purchase_Date]],"MMM")</f>
        <v>Feb</v>
      </c>
      <c r="J300" t="str">
        <f>TEXT(walmart[[#This Row],[Purchase_Date]],"YYY")</f>
        <v>2025</v>
      </c>
      <c r="K300" s="3">
        <v>775.75</v>
      </c>
      <c r="L300" t="str">
        <f t="shared" si="20"/>
        <v>15% off</v>
      </c>
      <c r="M300" s="3">
        <f t="shared" si="21"/>
        <v>116.3625</v>
      </c>
      <c r="N300" t="str">
        <f t="shared" si="22"/>
        <v>Yes</v>
      </c>
      <c r="O300" t="s">
        <v>34</v>
      </c>
      <c r="P300" s="3">
        <f t="shared" si="23"/>
        <v>659.38750000000005</v>
      </c>
      <c r="Q300" t="s">
        <v>22</v>
      </c>
      <c r="R300">
        <v>1</v>
      </c>
      <c r="S300" t="str">
        <f t="shared" si="24"/>
        <v>Very Poor</v>
      </c>
    </row>
    <row r="301" spans="1:19" x14ac:dyDescent="0.25">
      <c r="A301" t="s">
        <v>575</v>
      </c>
      <c r="B301">
        <v>32</v>
      </c>
      <c r="C301" t="s">
        <v>16</v>
      </c>
      <c r="D301" t="s">
        <v>2566</v>
      </c>
      <c r="E301" t="s">
        <v>55</v>
      </c>
      <c r="F301" t="s">
        <v>64</v>
      </c>
      <c r="G301" t="s">
        <v>576</v>
      </c>
      <c r="H301" t="str">
        <f>TEXT(walmart[[#This Row],[Purchase_Date]],"DDD")</f>
        <v>Mon</v>
      </c>
      <c r="I301" t="str">
        <f>TEXT(walmart[[#This Row],[Purchase_Date]],"MMM")</f>
        <v>Sep</v>
      </c>
      <c r="J301" t="str">
        <f>TEXT(walmart[[#This Row],[Purchase_Date]],"YYY")</f>
        <v>2024</v>
      </c>
      <c r="K301" s="3">
        <v>374.92</v>
      </c>
      <c r="L301" t="str">
        <f t="shared" si="20"/>
        <v>5% off</v>
      </c>
      <c r="M301" s="3">
        <f t="shared" si="21"/>
        <v>18.746000000000002</v>
      </c>
      <c r="N301" t="str">
        <f t="shared" si="22"/>
        <v>Yes</v>
      </c>
      <c r="O301" t="s">
        <v>34</v>
      </c>
      <c r="P301" s="3">
        <f t="shared" si="23"/>
        <v>356.17400000000004</v>
      </c>
      <c r="Q301" t="s">
        <v>27</v>
      </c>
      <c r="R301">
        <v>5</v>
      </c>
      <c r="S301" t="str">
        <f t="shared" si="24"/>
        <v>Excellent</v>
      </c>
    </row>
    <row r="302" spans="1:19" x14ac:dyDescent="0.25">
      <c r="A302" t="s">
        <v>577</v>
      </c>
      <c r="B302">
        <v>65</v>
      </c>
      <c r="C302" t="s">
        <v>16</v>
      </c>
      <c r="D302" t="s">
        <v>2433</v>
      </c>
      <c r="E302" t="s">
        <v>73</v>
      </c>
      <c r="F302" t="s">
        <v>91</v>
      </c>
      <c r="G302" t="s">
        <v>323</v>
      </c>
      <c r="H302" t="str">
        <f>TEXT(walmart[[#This Row],[Purchase_Date]],"DDD")</f>
        <v>Tue</v>
      </c>
      <c r="I302" t="str">
        <f>TEXT(walmart[[#This Row],[Purchase_Date]],"MMM")</f>
        <v>Feb</v>
      </c>
      <c r="J302" t="str">
        <f>TEXT(walmart[[#This Row],[Purchase_Date]],"YYY")</f>
        <v>2025</v>
      </c>
      <c r="K302" s="3">
        <v>418.55</v>
      </c>
      <c r="L302" t="str">
        <f t="shared" si="20"/>
        <v>5% off</v>
      </c>
      <c r="M302" s="3">
        <f t="shared" si="21"/>
        <v>20.927500000000002</v>
      </c>
      <c r="N302" t="str">
        <f t="shared" si="22"/>
        <v>Yes</v>
      </c>
      <c r="O302" t="s">
        <v>34</v>
      </c>
      <c r="P302" s="3">
        <f t="shared" si="23"/>
        <v>397.6225</v>
      </c>
      <c r="Q302" t="s">
        <v>22</v>
      </c>
      <c r="R302">
        <v>3</v>
      </c>
      <c r="S302" t="str">
        <f t="shared" si="24"/>
        <v>Average</v>
      </c>
    </row>
    <row r="303" spans="1:19" x14ac:dyDescent="0.25">
      <c r="A303" t="s">
        <v>578</v>
      </c>
      <c r="B303">
        <v>65</v>
      </c>
      <c r="C303" t="s">
        <v>29</v>
      </c>
      <c r="D303" t="s">
        <v>49</v>
      </c>
      <c r="E303" t="s">
        <v>37</v>
      </c>
      <c r="F303" t="s">
        <v>117</v>
      </c>
      <c r="G303" t="s">
        <v>579</v>
      </c>
      <c r="H303" t="str">
        <f>TEXT(walmart[[#This Row],[Purchase_Date]],"DDD")</f>
        <v>Sat</v>
      </c>
      <c r="I303" t="str">
        <f>TEXT(walmart[[#This Row],[Purchase_Date]],"MMM")</f>
        <v>Aug</v>
      </c>
      <c r="J303" t="str">
        <f>TEXT(walmart[[#This Row],[Purchase_Date]],"YYY")</f>
        <v>2024</v>
      </c>
      <c r="K303" s="3">
        <v>165.68</v>
      </c>
      <c r="L303" t="str">
        <f t="shared" si="20"/>
        <v>5% off</v>
      </c>
      <c r="M303" s="3">
        <f t="shared" si="21"/>
        <v>8.2840000000000007</v>
      </c>
      <c r="N303" t="str">
        <f t="shared" si="22"/>
        <v>Yes</v>
      </c>
      <c r="O303" t="s">
        <v>21</v>
      </c>
      <c r="P303" s="3">
        <f t="shared" si="23"/>
        <v>157.39600000000002</v>
      </c>
      <c r="Q303" t="s">
        <v>35</v>
      </c>
      <c r="R303">
        <v>5</v>
      </c>
      <c r="S303" t="str">
        <f t="shared" si="24"/>
        <v>Excellent</v>
      </c>
    </row>
    <row r="304" spans="1:19" x14ac:dyDescent="0.25">
      <c r="A304" t="s">
        <v>580</v>
      </c>
      <c r="B304">
        <v>59</v>
      </c>
      <c r="C304" t="s">
        <v>29</v>
      </c>
      <c r="D304" t="s">
        <v>30</v>
      </c>
      <c r="E304" t="s">
        <v>18</v>
      </c>
      <c r="F304" t="s">
        <v>77</v>
      </c>
      <c r="G304" t="s">
        <v>215</v>
      </c>
      <c r="H304" t="str">
        <f>TEXT(walmart[[#This Row],[Purchase_Date]],"DDD")</f>
        <v>Mon</v>
      </c>
      <c r="I304" t="str">
        <f>TEXT(walmart[[#This Row],[Purchase_Date]],"MMM")</f>
        <v>Feb</v>
      </c>
      <c r="J304" t="str">
        <f>TEXT(walmart[[#This Row],[Purchase_Date]],"YYY")</f>
        <v>2025</v>
      </c>
      <c r="K304" s="3">
        <v>116.78</v>
      </c>
      <c r="L304" t="str">
        <f t="shared" si="20"/>
        <v>0% off</v>
      </c>
      <c r="M304" s="3">
        <f t="shared" si="21"/>
        <v>0</v>
      </c>
      <c r="N304" t="str">
        <f t="shared" si="22"/>
        <v>No</v>
      </c>
      <c r="O304" t="s">
        <v>34</v>
      </c>
      <c r="P304" s="3">
        <f t="shared" si="23"/>
        <v>116.78</v>
      </c>
      <c r="Q304" t="s">
        <v>47</v>
      </c>
      <c r="R304">
        <v>5</v>
      </c>
      <c r="S304" t="str">
        <f t="shared" si="24"/>
        <v>Excellent</v>
      </c>
    </row>
    <row r="305" spans="1:19" x14ac:dyDescent="0.25">
      <c r="A305" t="s">
        <v>581</v>
      </c>
      <c r="B305">
        <v>64</v>
      </c>
      <c r="C305" t="s">
        <v>29</v>
      </c>
      <c r="D305" t="s">
        <v>41</v>
      </c>
      <c r="E305" t="s">
        <v>31</v>
      </c>
      <c r="F305" t="s">
        <v>169</v>
      </c>
      <c r="G305" t="s">
        <v>174</v>
      </c>
      <c r="H305" t="str">
        <f>TEXT(walmart[[#This Row],[Purchase_Date]],"DDD")</f>
        <v>Sun</v>
      </c>
      <c r="I305" t="str">
        <f>TEXT(walmart[[#This Row],[Purchase_Date]],"MMM")</f>
        <v>Dec</v>
      </c>
      <c r="J305" t="str">
        <f>TEXT(walmart[[#This Row],[Purchase_Date]],"YYY")</f>
        <v>2024</v>
      </c>
      <c r="K305" s="3">
        <v>52.44</v>
      </c>
      <c r="L305" t="str">
        <f t="shared" si="20"/>
        <v>0% off</v>
      </c>
      <c r="M305" s="3">
        <f t="shared" si="21"/>
        <v>0</v>
      </c>
      <c r="N305" t="str">
        <f t="shared" si="22"/>
        <v>No</v>
      </c>
      <c r="O305" t="s">
        <v>34</v>
      </c>
      <c r="P305" s="3">
        <f t="shared" si="23"/>
        <v>52.44</v>
      </c>
      <c r="Q305" t="s">
        <v>22</v>
      </c>
      <c r="R305">
        <v>3</v>
      </c>
      <c r="S305" t="str">
        <f t="shared" si="24"/>
        <v>Average</v>
      </c>
    </row>
    <row r="306" spans="1:19" x14ac:dyDescent="0.25">
      <c r="A306" t="s">
        <v>582</v>
      </c>
      <c r="B306">
        <v>67</v>
      </c>
      <c r="C306" t="s">
        <v>29</v>
      </c>
      <c r="D306" t="s">
        <v>2434</v>
      </c>
      <c r="E306" t="s">
        <v>42</v>
      </c>
      <c r="F306" t="s">
        <v>103</v>
      </c>
      <c r="G306" t="s">
        <v>311</v>
      </c>
      <c r="H306" t="str">
        <f>TEXT(walmart[[#This Row],[Purchase_Date]],"DDD")</f>
        <v>Mon</v>
      </c>
      <c r="I306" t="str">
        <f>TEXT(walmart[[#This Row],[Purchase_Date]],"MMM")</f>
        <v>Mar</v>
      </c>
      <c r="J306" t="str">
        <f>TEXT(walmart[[#This Row],[Purchase_Date]],"YYY")</f>
        <v>2025</v>
      </c>
      <c r="K306" s="3">
        <v>315.56</v>
      </c>
      <c r="L306" t="str">
        <f t="shared" si="20"/>
        <v>5% off</v>
      </c>
      <c r="M306" s="3">
        <f t="shared" si="21"/>
        <v>15.778</v>
      </c>
      <c r="N306" t="str">
        <f t="shared" si="22"/>
        <v>Yes</v>
      </c>
      <c r="O306" t="s">
        <v>34</v>
      </c>
      <c r="P306" s="3">
        <f t="shared" si="23"/>
        <v>299.78199999999998</v>
      </c>
      <c r="Q306" t="s">
        <v>22</v>
      </c>
      <c r="R306">
        <v>4</v>
      </c>
      <c r="S306" t="str">
        <f t="shared" si="24"/>
        <v>Good</v>
      </c>
    </row>
    <row r="307" spans="1:19" x14ac:dyDescent="0.25">
      <c r="A307" t="s">
        <v>583</v>
      </c>
      <c r="B307">
        <v>56</v>
      </c>
      <c r="C307" t="s">
        <v>16</v>
      </c>
      <c r="D307" t="s">
        <v>2435</v>
      </c>
      <c r="E307" t="s">
        <v>24</v>
      </c>
      <c r="F307" t="s">
        <v>25</v>
      </c>
      <c r="G307" t="s">
        <v>584</v>
      </c>
      <c r="H307" t="str">
        <f>TEXT(walmart[[#This Row],[Purchase_Date]],"DDD")</f>
        <v>Sat</v>
      </c>
      <c r="I307" t="str">
        <f>TEXT(walmart[[#This Row],[Purchase_Date]],"MMM")</f>
        <v>Mar</v>
      </c>
      <c r="J307" t="str">
        <f>TEXT(walmart[[#This Row],[Purchase_Date]],"YYY")</f>
        <v>2025</v>
      </c>
      <c r="K307" s="3">
        <v>67.040000000000006</v>
      </c>
      <c r="L307" t="str">
        <f t="shared" si="20"/>
        <v>0% off</v>
      </c>
      <c r="M307" s="3">
        <f t="shared" si="21"/>
        <v>0</v>
      </c>
      <c r="N307" t="str">
        <f t="shared" si="22"/>
        <v>No</v>
      </c>
      <c r="O307" t="s">
        <v>34</v>
      </c>
      <c r="P307" s="3">
        <f t="shared" si="23"/>
        <v>67.040000000000006</v>
      </c>
      <c r="Q307" t="s">
        <v>35</v>
      </c>
      <c r="R307">
        <v>3</v>
      </c>
      <c r="S307" t="str">
        <f t="shared" si="24"/>
        <v>Average</v>
      </c>
    </row>
    <row r="308" spans="1:19" x14ac:dyDescent="0.25">
      <c r="A308" t="s">
        <v>585</v>
      </c>
      <c r="B308">
        <v>31</v>
      </c>
      <c r="C308" t="s">
        <v>29</v>
      </c>
      <c r="D308" t="s">
        <v>2436</v>
      </c>
      <c r="E308" t="s">
        <v>42</v>
      </c>
      <c r="F308" t="s">
        <v>52</v>
      </c>
      <c r="G308" t="s">
        <v>586</v>
      </c>
      <c r="H308" t="str">
        <f>TEXT(walmart[[#This Row],[Purchase_Date]],"DDD")</f>
        <v>Fri</v>
      </c>
      <c r="I308" t="str">
        <f>TEXT(walmart[[#This Row],[Purchase_Date]],"MMM")</f>
        <v>Feb</v>
      </c>
      <c r="J308" t="str">
        <f>TEXT(walmart[[#This Row],[Purchase_Date]],"YYY")</f>
        <v>2025</v>
      </c>
      <c r="K308" s="3">
        <v>988.77</v>
      </c>
      <c r="L308" t="str">
        <f t="shared" si="20"/>
        <v>20% off</v>
      </c>
      <c r="M308" s="3">
        <f t="shared" si="21"/>
        <v>197.75400000000002</v>
      </c>
      <c r="N308" t="str">
        <f t="shared" si="22"/>
        <v>Yes</v>
      </c>
      <c r="O308" t="s">
        <v>34</v>
      </c>
      <c r="P308" s="3">
        <f t="shared" si="23"/>
        <v>791.01599999999996</v>
      </c>
      <c r="Q308" t="s">
        <v>27</v>
      </c>
      <c r="R308">
        <v>3</v>
      </c>
      <c r="S308" t="str">
        <f t="shared" si="24"/>
        <v>Average</v>
      </c>
    </row>
    <row r="309" spans="1:19" x14ac:dyDescent="0.25">
      <c r="A309" t="s">
        <v>587</v>
      </c>
      <c r="B309">
        <v>48</v>
      </c>
      <c r="C309" t="s">
        <v>16</v>
      </c>
      <c r="D309" t="s">
        <v>2437</v>
      </c>
      <c r="E309" t="s">
        <v>31</v>
      </c>
      <c r="F309" t="s">
        <v>112</v>
      </c>
      <c r="G309" t="s">
        <v>588</v>
      </c>
      <c r="H309" t="str">
        <f>TEXT(walmart[[#This Row],[Purchase_Date]],"DDD")</f>
        <v>Mon</v>
      </c>
      <c r="I309" t="str">
        <f>TEXT(walmart[[#This Row],[Purchase_Date]],"MMM")</f>
        <v>Mar</v>
      </c>
      <c r="J309" t="str">
        <f>TEXT(walmart[[#This Row],[Purchase_Date]],"YYY")</f>
        <v>2025</v>
      </c>
      <c r="K309" s="3">
        <v>492.1</v>
      </c>
      <c r="L309" t="str">
        <f t="shared" si="20"/>
        <v>5% off</v>
      </c>
      <c r="M309" s="3">
        <f t="shared" si="21"/>
        <v>24.605000000000004</v>
      </c>
      <c r="N309" t="str">
        <f t="shared" si="22"/>
        <v>Yes</v>
      </c>
      <c r="O309" t="s">
        <v>34</v>
      </c>
      <c r="P309" s="3">
        <f t="shared" si="23"/>
        <v>467.495</v>
      </c>
      <c r="Q309" t="s">
        <v>27</v>
      </c>
      <c r="R309">
        <v>2</v>
      </c>
      <c r="S309" t="str">
        <f t="shared" si="24"/>
        <v>Poor</v>
      </c>
    </row>
    <row r="310" spans="1:19" x14ac:dyDescent="0.25">
      <c r="A310" t="s">
        <v>589</v>
      </c>
      <c r="B310">
        <v>55</v>
      </c>
      <c r="C310" t="s">
        <v>16</v>
      </c>
      <c r="D310" t="s">
        <v>2438</v>
      </c>
      <c r="E310" t="s">
        <v>55</v>
      </c>
      <c r="F310" t="s">
        <v>64</v>
      </c>
      <c r="G310" t="s">
        <v>590</v>
      </c>
      <c r="H310" t="str">
        <f>TEXT(walmart[[#This Row],[Purchase_Date]],"DDD")</f>
        <v>Sun</v>
      </c>
      <c r="I310" t="str">
        <f>TEXT(walmart[[#This Row],[Purchase_Date]],"MMM")</f>
        <v>Aug</v>
      </c>
      <c r="J310" t="str">
        <f>TEXT(walmart[[#This Row],[Purchase_Date]],"YYY")</f>
        <v>2024</v>
      </c>
      <c r="K310" s="3">
        <v>374.92</v>
      </c>
      <c r="L310" t="str">
        <f t="shared" si="20"/>
        <v>5% off</v>
      </c>
      <c r="M310" s="3">
        <f t="shared" si="21"/>
        <v>18.746000000000002</v>
      </c>
      <c r="N310" t="str">
        <f t="shared" si="22"/>
        <v>Yes</v>
      </c>
      <c r="O310" t="s">
        <v>34</v>
      </c>
      <c r="P310" s="3">
        <f t="shared" si="23"/>
        <v>356.17400000000004</v>
      </c>
      <c r="Q310" t="s">
        <v>35</v>
      </c>
      <c r="R310">
        <v>2</v>
      </c>
      <c r="S310" t="str">
        <f t="shared" si="24"/>
        <v>Poor</v>
      </c>
    </row>
    <row r="311" spans="1:19" x14ac:dyDescent="0.25">
      <c r="A311" t="s">
        <v>591</v>
      </c>
      <c r="B311">
        <v>42</v>
      </c>
      <c r="C311" t="s">
        <v>16</v>
      </c>
      <c r="D311" t="s">
        <v>2439</v>
      </c>
      <c r="E311" t="s">
        <v>24</v>
      </c>
      <c r="F311" t="s">
        <v>209</v>
      </c>
      <c r="G311" t="s">
        <v>592</v>
      </c>
      <c r="H311" t="str">
        <f>TEXT(walmart[[#This Row],[Purchase_Date]],"DDD")</f>
        <v>Thu</v>
      </c>
      <c r="I311" t="str">
        <f>TEXT(walmart[[#This Row],[Purchase_Date]],"MMM")</f>
        <v>Jan</v>
      </c>
      <c r="J311" t="str">
        <f>TEXT(walmart[[#This Row],[Purchase_Date]],"YYY")</f>
        <v>2025</v>
      </c>
      <c r="K311" s="3">
        <v>775.75</v>
      </c>
      <c r="L311" t="str">
        <f t="shared" si="20"/>
        <v>15% off</v>
      </c>
      <c r="M311" s="3">
        <f t="shared" si="21"/>
        <v>116.3625</v>
      </c>
      <c r="N311" t="str">
        <f t="shared" si="22"/>
        <v>Yes</v>
      </c>
      <c r="O311" t="s">
        <v>34</v>
      </c>
      <c r="P311" s="3">
        <f t="shared" si="23"/>
        <v>659.38750000000005</v>
      </c>
      <c r="Q311" t="s">
        <v>22</v>
      </c>
      <c r="R311">
        <v>2</v>
      </c>
      <c r="S311" t="str">
        <f t="shared" si="24"/>
        <v>Poor</v>
      </c>
    </row>
    <row r="312" spans="1:19" x14ac:dyDescent="0.25">
      <c r="A312" t="s">
        <v>593</v>
      </c>
      <c r="B312">
        <v>40</v>
      </c>
      <c r="C312" t="s">
        <v>16</v>
      </c>
      <c r="D312" t="s">
        <v>2440</v>
      </c>
      <c r="E312" t="s">
        <v>24</v>
      </c>
      <c r="F312" t="s">
        <v>209</v>
      </c>
      <c r="G312" t="s">
        <v>594</v>
      </c>
      <c r="H312" t="str">
        <f>TEXT(walmart[[#This Row],[Purchase_Date]],"DDD")</f>
        <v>Thu</v>
      </c>
      <c r="I312" t="str">
        <f>TEXT(walmart[[#This Row],[Purchase_Date]],"MMM")</f>
        <v>Nov</v>
      </c>
      <c r="J312" t="str">
        <f>TEXT(walmart[[#This Row],[Purchase_Date]],"YYY")</f>
        <v>2024</v>
      </c>
      <c r="K312" s="3">
        <v>775.75</v>
      </c>
      <c r="L312" t="str">
        <f t="shared" si="20"/>
        <v>15% off</v>
      </c>
      <c r="M312" s="3">
        <f t="shared" si="21"/>
        <v>116.3625</v>
      </c>
      <c r="N312" t="str">
        <f t="shared" si="22"/>
        <v>Yes</v>
      </c>
      <c r="O312" t="s">
        <v>21</v>
      </c>
      <c r="P312" s="3">
        <f t="shared" si="23"/>
        <v>659.38750000000005</v>
      </c>
      <c r="Q312" t="s">
        <v>47</v>
      </c>
      <c r="R312">
        <v>1</v>
      </c>
      <c r="S312" t="str">
        <f t="shared" si="24"/>
        <v>Very Poor</v>
      </c>
    </row>
    <row r="313" spans="1:19" x14ac:dyDescent="0.25">
      <c r="A313" t="s">
        <v>595</v>
      </c>
      <c r="B313">
        <v>29</v>
      </c>
      <c r="C313" t="s">
        <v>29</v>
      </c>
      <c r="D313" t="s">
        <v>2441</v>
      </c>
      <c r="E313" t="s">
        <v>37</v>
      </c>
      <c r="F313" t="s">
        <v>82</v>
      </c>
      <c r="G313" t="s">
        <v>482</v>
      </c>
      <c r="H313" t="str">
        <f>TEXT(walmart[[#This Row],[Purchase_Date]],"DDD")</f>
        <v>Fri</v>
      </c>
      <c r="I313" t="str">
        <f>TEXT(walmart[[#This Row],[Purchase_Date]],"MMM")</f>
        <v>May</v>
      </c>
      <c r="J313" t="str">
        <f>TEXT(walmart[[#This Row],[Purchase_Date]],"YYY")</f>
        <v>2024</v>
      </c>
      <c r="K313" s="3">
        <v>270.41000000000003</v>
      </c>
      <c r="L313" t="str">
        <f t="shared" si="20"/>
        <v>5% off</v>
      </c>
      <c r="M313" s="3">
        <f t="shared" si="21"/>
        <v>13.520500000000002</v>
      </c>
      <c r="N313" t="str">
        <f t="shared" si="22"/>
        <v>Yes</v>
      </c>
      <c r="O313" t="s">
        <v>34</v>
      </c>
      <c r="P313" s="3">
        <f t="shared" si="23"/>
        <v>256.8895</v>
      </c>
      <c r="Q313" t="s">
        <v>35</v>
      </c>
      <c r="R313">
        <v>4</v>
      </c>
      <c r="S313" t="str">
        <f t="shared" si="24"/>
        <v>Good</v>
      </c>
    </row>
    <row r="314" spans="1:19" x14ac:dyDescent="0.25">
      <c r="A314" t="s">
        <v>596</v>
      </c>
      <c r="B314">
        <v>66</v>
      </c>
      <c r="C314" t="s">
        <v>29</v>
      </c>
      <c r="D314" t="s">
        <v>17</v>
      </c>
      <c r="E314" t="s">
        <v>18</v>
      </c>
      <c r="F314" t="s">
        <v>19</v>
      </c>
      <c r="G314" t="s">
        <v>597</v>
      </c>
      <c r="H314" t="str">
        <f>TEXT(walmart[[#This Row],[Purchase_Date]],"DDD")</f>
        <v>Tue</v>
      </c>
      <c r="I314" t="str">
        <f>TEXT(walmart[[#This Row],[Purchase_Date]],"MMM")</f>
        <v>Oct</v>
      </c>
      <c r="J314" t="str">
        <f>TEXT(walmart[[#This Row],[Purchase_Date]],"YYY")</f>
        <v>2024</v>
      </c>
      <c r="K314" s="3">
        <v>697.86</v>
      </c>
      <c r="L314" t="str">
        <f t="shared" si="20"/>
        <v>10% off</v>
      </c>
      <c r="M314" s="3">
        <f t="shared" si="21"/>
        <v>69.786000000000001</v>
      </c>
      <c r="N314" t="str">
        <f t="shared" si="22"/>
        <v>Yes</v>
      </c>
      <c r="O314" t="s">
        <v>34</v>
      </c>
      <c r="P314" s="3">
        <f t="shared" si="23"/>
        <v>628.07400000000007</v>
      </c>
      <c r="Q314" t="s">
        <v>47</v>
      </c>
      <c r="R314">
        <v>1</v>
      </c>
      <c r="S314" t="str">
        <f t="shared" si="24"/>
        <v>Very Poor</v>
      </c>
    </row>
    <row r="315" spans="1:19" x14ac:dyDescent="0.25">
      <c r="A315" t="s">
        <v>598</v>
      </c>
      <c r="B315">
        <v>26</v>
      </c>
      <c r="C315" t="s">
        <v>29</v>
      </c>
      <c r="D315" t="s">
        <v>2442</v>
      </c>
      <c r="E315" t="s">
        <v>24</v>
      </c>
      <c r="F315" t="s">
        <v>162</v>
      </c>
      <c r="G315" t="s">
        <v>248</v>
      </c>
      <c r="H315" t="str">
        <f>TEXT(walmart[[#This Row],[Purchase_Date]],"DDD")</f>
        <v>Tue</v>
      </c>
      <c r="I315" t="str">
        <f>TEXT(walmart[[#This Row],[Purchase_Date]],"MMM")</f>
        <v>Apr</v>
      </c>
      <c r="J315" t="str">
        <f>TEXT(walmart[[#This Row],[Purchase_Date]],"YYY")</f>
        <v>2024</v>
      </c>
      <c r="K315" s="3">
        <v>362.55</v>
      </c>
      <c r="L315" t="str">
        <f t="shared" si="20"/>
        <v>5% off</v>
      </c>
      <c r="M315" s="3">
        <f t="shared" si="21"/>
        <v>18.127500000000001</v>
      </c>
      <c r="N315" t="str">
        <f t="shared" si="22"/>
        <v>Yes</v>
      </c>
      <c r="O315" t="s">
        <v>34</v>
      </c>
      <c r="P315" s="3">
        <f t="shared" si="23"/>
        <v>344.42250000000001</v>
      </c>
      <c r="Q315" t="s">
        <v>35</v>
      </c>
      <c r="R315">
        <v>5</v>
      </c>
      <c r="S315" t="str">
        <f t="shared" si="24"/>
        <v>Excellent</v>
      </c>
    </row>
    <row r="316" spans="1:19" x14ac:dyDescent="0.25">
      <c r="A316" t="s">
        <v>599</v>
      </c>
      <c r="B316">
        <v>32</v>
      </c>
      <c r="C316" t="s">
        <v>16</v>
      </c>
      <c r="D316" t="s">
        <v>2443</v>
      </c>
      <c r="E316" t="s">
        <v>18</v>
      </c>
      <c r="F316" t="s">
        <v>19</v>
      </c>
      <c r="G316" t="s">
        <v>600</v>
      </c>
      <c r="H316" t="str">
        <f>TEXT(walmart[[#This Row],[Purchase_Date]],"DDD")</f>
        <v>Sun</v>
      </c>
      <c r="I316" t="str">
        <f>TEXT(walmart[[#This Row],[Purchase_Date]],"MMM")</f>
        <v>Dec</v>
      </c>
      <c r="J316" t="str">
        <f>TEXT(walmart[[#This Row],[Purchase_Date]],"YYY")</f>
        <v>2024</v>
      </c>
      <c r="K316" s="3">
        <v>697.86</v>
      </c>
      <c r="L316" t="str">
        <f t="shared" si="20"/>
        <v>10% off</v>
      </c>
      <c r="M316" s="3">
        <f t="shared" si="21"/>
        <v>69.786000000000001</v>
      </c>
      <c r="N316" t="str">
        <f t="shared" si="22"/>
        <v>Yes</v>
      </c>
      <c r="O316" t="s">
        <v>34</v>
      </c>
      <c r="P316" s="3">
        <f t="shared" si="23"/>
        <v>628.07400000000007</v>
      </c>
      <c r="Q316" t="s">
        <v>47</v>
      </c>
      <c r="R316">
        <v>2</v>
      </c>
      <c r="S316" t="str">
        <f t="shared" si="24"/>
        <v>Poor</v>
      </c>
    </row>
    <row r="317" spans="1:19" x14ac:dyDescent="0.25">
      <c r="A317" t="s">
        <v>601</v>
      </c>
      <c r="B317">
        <v>22</v>
      </c>
      <c r="C317" t="s">
        <v>29</v>
      </c>
      <c r="D317" t="s">
        <v>2444</v>
      </c>
      <c r="E317" t="s">
        <v>55</v>
      </c>
      <c r="F317" t="s">
        <v>64</v>
      </c>
      <c r="G317" t="s">
        <v>602</v>
      </c>
      <c r="H317" t="str">
        <f>TEXT(walmart[[#This Row],[Purchase_Date]],"DDD")</f>
        <v>Fri</v>
      </c>
      <c r="I317" t="str">
        <f>TEXT(walmart[[#This Row],[Purchase_Date]],"MMM")</f>
        <v>Jun</v>
      </c>
      <c r="J317" t="str">
        <f>TEXT(walmart[[#This Row],[Purchase_Date]],"YYY")</f>
        <v>2024</v>
      </c>
      <c r="K317" s="3">
        <v>374.92</v>
      </c>
      <c r="L317" t="str">
        <f t="shared" si="20"/>
        <v>5% off</v>
      </c>
      <c r="M317" s="3">
        <f t="shared" si="21"/>
        <v>18.746000000000002</v>
      </c>
      <c r="N317" t="str">
        <f t="shared" si="22"/>
        <v>Yes</v>
      </c>
      <c r="O317" t="s">
        <v>34</v>
      </c>
      <c r="P317" s="3">
        <f t="shared" si="23"/>
        <v>356.17400000000004</v>
      </c>
      <c r="Q317" t="s">
        <v>27</v>
      </c>
      <c r="R317">
        <v>3</v>
      </c>
      <c r="S317" t="str">
        <f t="shared" si="24"/>
        <v>Average</v>
      </c>
    </row>
    <row r="318" spans="1:19" x14ac:dyDescent="0.25">
      <c r="A318" t="s">
        <v>603</v>
      </c>
      <c r="B318">
        <v>56</v>
      </c>
      <c r="C318" t="s">
        <v>16</v>
      </c>
      <c r="D318" t="s">
        <v>2445</v>
      </c>
      <c r="E318" t="s">
        <v>24</v>
      </c>
      <c r="F318" t="s">
        <v>186</v>
      </c>
      <c r="G318" t="s">
        <v>289</v>
      </c>
      <c r="H318" t="str">
        <f>TEXT(walmart[[#This Row],[Purchase_Date]],"DDD")</f>
        <v>Sat</v>
      </c>
      <c r="I318" t="str">
        <f>TEXT(walmart[[#This Row],[Purchase_Date]],"MMM")</f>
        <v>Sep</v>
      </c>
      <c r="J318" t="str">
        <f>TEXT(walmart[[#This Row],[Purchase_Date]],"YYY")</f>
        <v>2024</v>
      </c>
      <c r="K318" s="3">
        <v>527.16999999999996</v>
      </c>
      <c r="L318" t="str">
        <f t="shared" si="20"/>
        <v>10% off</v>
      </c>
      <c r="M318" s="3">
        <f t="shared" si="21"/>
        <v>52.716999999999999</v>
      </c>
      <c r="N318" t="str">
        <f t="shared" si="22"/>
        <v>Yes</v>
      </c>
      <c r="O318" t="s">
        <v>34</v>
      </c>
      <c r="P318" s="3">
        <f t="shared" si="23"/>
        <v>474.45299999999997</v>
      </c>
      <c r="Q318" t="s">
        <v>35</v>
      </c>
      <c r="R318">
        <v>3</v>
      </c>
      <c r="S318" t="str">
        <f t="shared" si="24"/>
        <v>Average</v>
      </c>
    </row>
    <row r="319" spans="1:19" x14ac:dyDescent="0.25">
      <c r="A319" t="s">
        <v>604</v>
      </c>
      <c r="B319">
        <v>27</v>
      </c>
      <c r="C319" t="s">
        <v>29</v>
      </c>
      <c r="D319" t="s">
        <v>2446</v>
      </c>
      <c r="E319" t="s">
        <v>31</v>
      </c>
      <c r="F319" t="s">
        <v>169</v>
      </c>
      <c r="G319" t="s">
        <v>605</v>
      </c>
      <c r="H319" t="str">
        <f>TEXT(walmart[[#This Row],[Purchase_Date]],"DDD")</f>
        <v>Sun</v>
      </c>
      <c r="I319" t="str">
        <f>TEXT(walmart[[#This Row],[Purchase_Date]],"MMM")</f>
        <v>Mar</v>
      </c>
      <c r="J319" t="str">
        <f>TEXT(walmart[[#This Row],[Purchase_Date]],"YYY")</f>
        <v>2025</v>
      </c>
      <c r="K319" s="3">
        <v>52.44</v>
      </c>
      <c r="L319" t="str">
        <f t="shared" si="20"/>
        <v>0% off</v>
      </c>
      <c r="M319" s="3">
        <f t="shared" si="21"/>
        <v>0</v>
      </c>
      <c r="N319" t="str">
        <f t="shared" si="22"/>
        <v>No</v>
      </c>
      <c r="O319" t="s">
        <v>34</v>
      </c>
      <c r="P319" s="3">
        <f t="shared" si="23"/>
        <v>52.44</v>
      </c>
      <c r="Q319" t="s">
        <v>35</v>
      </c>
      <c r="R319">
        <v>2</v>
      </c>
      <c r="S319" t="str">
        <f t="shared" si="24"/>
        <v>Poor</v>
      </c>
    </row>
    <row r="320" spans="1:19" x14ac:dyDescent="0.25">
      <c r="A320" t="s">
        <v>606</v>
      </c>
      <c r="B320">
        <v>68</v>
      </c>
      <c r="C320" t="s">
        <v>29</v>
      </c>
      <c r="D320" t="s">
        <v>2447</v>
      </c>
      <c r="E320" t="s">
        <v>42</v>
      </c>
      <c r="F320" t="s">
        <v>52</v>
      </c>
      <c r="G320" t="s">
        <v>607</v>
      </c>
      <c r="H320" t="str">
        <f>TEXT(walmart[[#This Row],[Purchase_Date]],"DDD")</f>
        <v>Wed</v>
      </c>
      <c r="I320" t="str">
        <f>TEXT(walmart[[#This Row],[Purchase_Date]],"MMM")</f>
        <v>Oct</v>
      </c>
      <c r="J320" t="str">
        <f>TEXT(walmart[[#This Row],[Purchase_Date]],"YYY")</f>
        <v>2024</v>
      </c>
      <c r="K320" s="3">
        <v>988.77</v>
      </c>
      <c r="L320" t="str">
        <f t="shared" si="20"/>
        <v>20% off</v>
      </c>
      <c r="M320" s="3">
        <f t="shared" si="21"/>
        <v>197.75400000000002</v>
      </c>
      <c r="N320" t="str">
        <f t="shared" si="22"/>
        <v>Yes</v>
      </c>
      <c r="O320" t="s">
        <v>34</v>
      </c>
      <c r="P320" s="3">
        <f t="shared" si="23"/>
        <v>791.01599999999996</v>
      </c>
      <c r="Q320" t="s">
        <v>27</v>
      </c>
      <c r="R320">
        <v>1</v>
      </c>
      <c r="S320" t="str">
        <f t="shared" si="24"/>
        <v>Very Poor</v>
      </c>
    </row>
    <row r="321" spans="1:19" x14ac:dyDescent="0.25">
      <c r="A321" t="s">
        <v>608</v>
      </c>
      <c r="B321">
        <v>51</v>
      </c>
      <c r="C321" t="s">
        <v>29</v>
      </c>
      <c r="D321" t="s">
        <v>2448</v>
      </c>
      <c r="E321" t="s">
        <v>18</v>
      </c>
      <c r="F321" t="s">
        <v>19</v>
      </c>
      <c r="G321" t="s">
        <v>609</v>
      </c>
      <c r="H321" t="str">
        <f>TEXT(walmart[[#This Row],[Purchase_Date]],"DDD")</f>
        <v>Sat</v>
      </c>
      <c r="I321" t="str">
        <f>TEXT(walmart[[#This Row],[Purchase_Date]],"MMM")</f>
        <v>Sep</v>
      </c>
      <c r="J321" t="str">
        <f>TEXT(walmart[[#This Row],[Purchase_Date]],"YYY")</f>
        <v>2024</v>
      </c>
      <c r="K321" s="3">
        <v>697.86</v>
      </c>
      <c r="L321" t="str">
        <f t="shared" si="20"/>
        <v>10% off</v>
      </c>
      <c r="M321" s="3">
        <f t="shared" si="21"/>
        <v>69.786000000000001</v>
      </c>
      <c r="N321" t="str">
        <f t="shared" si="22"/>
        <v>Yes</v>
      </c>
      <c r="O321" t="s">
        <v>21</v>
      </c>
      <c r="P321" s="3">
        <f t="shared" si="23"/>
        <v>628.07400000000007</v>
      </c>
      <c r="Q321" t="s">
        <v>47</v>
      </c>
      <c r="R321">
        <v>2</v>
      </c>
      <c r="S321" t="str">
        <f t="shared" si="24"/>
        <v>Poor</v>
      </c>
    </row>
    <row r="322" spans="1:19" x14ac:dyDescent="0.25">
      <c r="A322" t="s">
        <v>610</v>
      </c>
      <c r="B322">
        <v>41</v>
      </c>
      <c r="C322" t="s">
        <v>29</v>
      </c>
      <c r="D322" t="s">
        <v>2449</v>
      </c>
      <c r="E322" t="s">
        <v>42</v>
      </c>
      <c r="F322" t="s">
        <v>103</v>
      </c>
      <c r="G322" t="s">
        <v>353</v>
      </c>
      <c r="H322" t="str">
        <f>TEXT(walmart[[#This Row],[Purchase_Date]],"DDD")</f>
        <v>Tue</v>
      </c>
      <c r="I322" t="str">
        <f>TEXT(walmart[[#This Row],[Purchase_Date]],"MMM")</f>
        <v>Jul</v>
      </c>
      <c r="J322" t="str">
        <f>TEXT(walmart[[#This Row],[Purchase_Date]],"YYY")</f>
        <v>2024</v>
      </c>
      <c r="K322" s="3">
        <v>315.56</v>
      </c>
      <c r="L322" t="str">
        <f t="shared" si="20"/>
        <v>5% off</v>
      </c>
      <c r="M322" s="3">
        <f t="shared" si="21"/>
        <v>15.778</v>
      </c>
      <c r="N322" t="str">
        <f t="shared" si="22"/>
        <v>Yes</v>
      </c>
      <c r="O322" t="s">
        <v>21</v>
      </c>
      <c r="P322" s="3">
        <f t="shared" si="23"/>
        <v>299.78199999999998</v>
      </c>
      <c r="Q322" t="s">
        <v>35</v>
      </c>
      <c r="R322">
        <v>3</v>
      </c>
      <c r="S322" t="str">
        <f t="shared" si="24"/>
        <v>Average</v>
      </c>
    </row>
    <row r="323" spans="1:19" x14ac:dyDescent="0.25">
      <c r="A323" t="s">
        <v>611</v>
      </c>
      <c r="B323">
        <v>33</v>
      </c>
      <c r="C323" t="s">
        <v>16</v>
      </c>
      <c r="D323" t="s">
        <v>2450</v>
      </c>
      <c r="E323" t="s">
        <v>31</v>
      </c>
      <c r="F323" t="s">
        <v>112</v>
      </c>
      <c r="G323" t="s">
        <v>612</v>
      </c>
      <c r="H323" t="str">
        <f>TEXT(walmart[[#This Row],[Purchase_Date]],"DDD")</f>
        <v>Fri</v>
      </c>
      <c r="I323" t="str">
        <f>TEXT(walmart[[#This Row],[Purchase_Date]],"MMM")</f>
        <v>Apr</v>
      </c>
      <c r="J323" t="str">
        <f>TEXT(walmart[[#This Row],[Purchase_Date]],"YYY")</f>
        <v>2024</v>
      </c>
      <c r="K323" s="3">
        <v>492.1</v>
      </c>
      <c r="L323" t="str">
        <f t="shared" ref="L323:L386" si="25">IF(K323&lt;150,"0% off",IF(K323&lt;500,"5% off",IF(K323&lt;700,"10% off",IF(K323&lt;900,"15% off","20% off"))))</f>
        <v>5% off</v>
      </c>
      <c r="M323" s="3">
        <f t="shared" ref="M323:M386" si="26">K323 * (LEFT(L323, LEN(L323)-5) / 100)</f>
        <v>24.605000000000004</v>
      </c>
      <c r="N323" t="str">
        <f t="shared" ref="N323:N386" si="27">IF(L323="0% off", "No", "Yes")</f>
        <v>Yes</v>
      </c>
      <c r="O323" t="s">
        <v>21</v>
      </c>
      <c r="P323" s="3">
        <f t="shared" ref="P323:P386" si="28">K323-M323</f>
        <v>467.495</v>
      </c>
      <c r="Q323" t="s">
        <v>22</v>
      </c>
      <c r="R323">
        <v>1</v>
      </c>
      <c r="S323" t="str">
        <f t="shared" ref="S323:S386" si="29">IF(R323=5, "Excellent", IF(R323=4, "Good", IF(R323=3, "Average", IF(R323=2, "Poor", IF(R323=1, "Very Poor", "Invalid Rating")))))</f>
        <v>Very Poor</v>
      </c>
    </row>
    <row r="324" spans="1:19" x14ac:dyDescent="0.25">
      <c r="A324" t="s">
        <v>613</v>
      </c>
      <c r="B324">
        <v>54</v>
      </c>
      <c r="C324" t="s">
        <v>16</v>
      </c>
      <c r="D324" t="s">
        <v>2451</v>
      </c>
      <c r="E324" t="s">
        <v>37</v>
      </c>
      <c r="F324" t="s">
        <v>97</v>
      </c>
      <c r="G324" t="s">
        <v>311</v>
      </c>
      <c r="H324" t="str">
        <f>TEXT(walmart[[#This Row],[Purchase_Date]],"DDD")</f>
        <v>Mon</v>
      </c>
      <c r="I324" t="str">
        <f>TEXT(walmart[[#This Row],[Purchase_Date]],"MMM")</f>
        <v>Mar</v>
      </c>
      <c r="J324" t="str">
        <f>TEXT(walmart[[#This Row],[Purchase_Date]],"YYY")</f>
        <v>2025</v>
      </c>
      <c r="K324" s="3">
        <v>855.21</v>
      </c>
      <c r="L324" t="str">
        <f t="shared" si="25"/>
        <v>15% off</v>
      </c>
      <c r="M324" s="3">
        <f t="shared" si="26"/>
        <v>128.28149999999999</v>
      </c>
      <c r="N324" t="str">
        <f t="shared" si="27"/>
        <v>Yes</v>
      </c>
      <c r="O324" t="s">
        <v>34</v>
      </c>
      <c r="P324" s="3">
        <f t="shared" si="28"/>
        <v>726.92849999999999</v>
      </c>
      <c r="Q324" t="s">
        <v>22</v>
      </c>
      <c r="R324">
        <v>1</v>
      </c>
      <c r="S324" t="str">
        <f t="shared" si="29"/>
        <v>Very Poor</v>
      </c>
    </row>
    <row r="325" spans="1:19" x14ac:dyDescent="0.25">
      <c r="A325" t="s">
        <v>614</v>
      </c>
      <c r="B325">
        <v>42</v>
      </c>
      <c r="C325" t="s">
        <v>29</v>
      </c>
      <c r="D325" t="s">
        <v>2452</v>
      </c>
      <c r="E325" t="s">
        <v>73</v>
      </c>
      <c r="F325" t="s">
        <v>91</v>
      </c>
      <c r="G325" t="s">
        <v>145</v>
      </c>
      <c r="H325" t="str">
        <f>TEXT(walmart[[#This Row],[Purchase_Date]],"DDD")</f>
        <v>Mon</v>
      </c>
      <c r="I325" t="str">
        <f>TEXT(walmart[[#This Row],[Purchase_Date]],"MMM")</f>
        <v>Jun</v>
      </c>
      <c r="J325" t="str">
        <f>TEXT(walmart[[#This Row],[Purchase_Date]],"YYY")</f>
        <v>2024</v>
      </c>
      <c r="K325" s="3">
        <v>418.55</v>
      </c>
      <c r="L325" t="str">
        <f t="shared" si="25"/>
        <v>5% off</v>
      </c>
      <c r="M325" s="3">
        <f t="shared" si="26"/>
        <v>20.927500000000002</v>
      </c>
      <c r="N325" t="str">
        <f t="shared" si="27"/>
        <v>Yes</v>
      </c>
      <c r="O325" t="s">
        <v>34</v>
      </c>
      <c r="P325" s="3">
        <f t="shared" si="28"/>
        <v>397.6225</v>
      </c>
      <c r="Q325" t="s">
        <v>35</v>
      </c>
      <c r="R325">
        <v>3</v>
      </c>
      <c r="S325" t="str">
        <f t="shared" si="29"/>
        <v>Average</v>
      </c>
    </row>
    <row r="326" spans="1:19" x14ac:dyDescent="0.25">
      <c r="A326" t="s">
        <v>615</v>
      </c>
      <c r="B326">
        <v>45</v>
      </c>
      <c r="C326" t="s">
        <v>29</v>
      </c>
      <c r="D326" t="s">
        <v>2453</v>
      </c>
      <c r="E326" t="s">
        <v>55</v>
      </c>
      <c r="F326" t="s">
        <v>64</v>
      </c>
      <c r="G326" t="s">
        <v>560</v>
      </c>
      <c r="H326" t="str">
        <f>TEXT(walmart[[#This Row],[Purchase_Date]],"DDD")</f>
        <v>Wed</v>
      </c>
      <c r="I326" t="str">
        <f>TEXT(walmart[[#This Row],[Purchase_Date]],"MMM")</f>
        <v>Sep</v>
      </c>
      <c r="J326" t="str">
        <f>TEXT(walmart[[#This Row],[Purchase_Date]],"YYY")</f>
        <v>2024</v>
      </c>
      <c r="K326" s="3">
        <v>374.92</v>
      </c>
      <c r="L326" t="str">
        <f t="shared" si="25"/>
        <v>5% off</v>
      </c>
      <c r="M326" s="3">
        <f t="shared" si="26"/>
        <v>18.746000000000002</v>
      </c>
      <c r="N326" t="str">
        <f t="shared" si="27"/>
        <v>Yes</v>
      </c>
      <c r="O326" t="s">
        <v>21</v>
      </c>
      <c r="P326" s="3">
        <f t="shared" si="28"/>
        <v>356.17400000000004</v>
      </c>
      <c r="Q326" t="s">
        <v>47</v>
      </c>
      <c r="R326">
        <v>3</v>
      </c>
      <c r="S326" t="str">
        <f t="shared" si="29"/>
        <v>Average</v>
      </c>
    </row>
    <row r="327" spans="1:19" x14ac:dyDescent="0.25">
      <c r="A327" t="s">
        <v>616</v>
      </c>
      <c r="B327">
        <v>68</v>
      </c>
      <c r="C327" t="s">
        <v>16</v>
      </c>
      <c r="D327" t="s">
        <v>2454</v>
      </c>
      <c r="E327" t="s">
        <v>24</v>
      </c>
      <c r="F327" t="s">
        <v>186</v>
      </c>
      <c r="G327" t="s">
        <v>617</v>
      </c>
      <c r="H327" t="str">
        <f>TEXT(walmart[[#This Row],[Purchase_Date]],"DDD")</f>
        <v>Mon</v>
      </c>
      <c r="I327" t="str">
        <f>TEXT(walmart[[#This Row],[Purchase_Date]],"MMM")</f>
        <v>Jul</v>
      </c>
      <c r="J327" t="str">
        <f>TEXT(walmart[[#This Row],[Purchase_Date]],"YYY")</f>
        <v>2024</v>
      </c>
      <c r="K327" s="3">
        <v>527.16999999999996</v>
      </c>
      <c r="L327" t="str">
        <f t="shared" si="25"/>
        <v>10% off</v>
      </c>
      <c r="M327" s="3">
        <f t="shared" si="26"/>
        <v>52.716999999999999</v>
      </c>
      <c r="N327" t="str">
        <f t="shared" si="27"/>
        <v>Yes</v>
      </c>
      <c r="O327" t="s">
        <v>21</v>
      </c>
      <c r="P327" s="3">
        <f t="shared" si="28"/>
        <v>474.45299999999997</v>
      </c>
      <c r="Q327" t="s">
        <v>22</v>
      </c>
      <c r="R327">
        <v>4</v>
      </c>
      <c r="S327" t="str">
        <f t="shared" si="29"/>
        <v>Good</v>
      </c>
    </row>
    <row r="328" spans="1:19" x14ac:dyDescent="0.25">
      <c r="A328" t="s">
        <v>618</v>
      </c>
      <c r="B328">
        <v>70</v>
      </c>
      <c r="C328" t="s">
        <v>29</v>
      </c>
      <c r="D328" t="s">
        <v>2455</v>
      </c>
      <c r="E328" t="s">
        <v>73</v>
      </c>
      <c r="F328" t="s">
        <v>94</v>
      </c>
      <c r="G328" t="s">
        <v>619</v>
      </c>
      <c r="H328" t="str">
        <f>TEXT(walmart[[#This Row],[Purchase_Date]],"DDD")</f>
        <v>Tue</v>
      </c>
      <c r="I328" t="str">
        <f>TEXT(walmart[[#This Row],[Purchase_Date]],"MMM")</f>
        <v>May</v>
      </c>
      <c r="J328" t="str">
        <f>TEXT(walmart[[#This Row],[Purchase_Date]],"YYY")</f>
        <v>2024</v>
      </c>
      <c r="K328" s="3">
        <v>965.09</v>
      </c>
      <c r="L328" t="str">
        <f t="shared" si="25"/>
        <v>20% off</v>
      </c>
      <c r="M328" s="3">
        <f t="shared" si="26"/>
        <v>193.01800000000003</v>
      </c>
      <c r="N328" t="str">
        <f t="shared" si="27"/>
        <v>Yes</v>
      </c>
      <c r="O328" t="s">
        <v>34</v>
      </c>
      <c r="P328" s="3">
        <f t="shared" si="28"/>
        <v>772.072</v>
      </c>
      <c r="Q328" t="s">
        <v>22</v>
      </c>
      <c r="R328">
        <v>5</v>
      </c>
      <c r="S328" t="str">
        <f t="shared" si="29"/>
        <v>Excellent</v>
      </c>
    </row>
    <row r="329" spans="1:19" x14ac:dyDescent="0.25">
      <c r="A329" t="s">
        <v>620</v>
      </c>
      <c r="B329">
        <v>49</v>
      </c>
      <c r="C329" t="s">
        <v>29</v>
      </c>
      <c r="D329" t="s">
        <v>2456</v>
      </c>
      <c r="E329" t="s">
        <v>55</v>
      </c>
      <c r="F329" t="s">
        <v>56</v>
      </c>
      <c r="G329" t="s">
        <v>385</v>
      </c>
      <c r="H329" t="str">
        <f>TEXT(walmart[[#This Row],[Purchase_Date]],"DDD")</f>
        <v>Wed</v>
      </c>
      <c r="I329" t="str">
        <f>TEXT(walmart[[#This Row],[Purchase_Date]],"MMM")</f>
        <v>Apr</v>
      </c>
      <c r="J329" t="str">
        <f>TEXT(walmart[[#This Row],[Purchase_Date]],"YYY")</f>
        <v>2024</v>
      </c>
      <c r="K329" s="3">
        <v>76.81</v>
      </c>
      <c r="L329" t="str">
        <f t="shared" si="25"/>
        <v>0% off</v>
      </c>
      <c r="M329" s="3">
        <f t="shared" si="26"/>
        <v>0</v>
      </c>
      <c r="N329" t="str">
        <f t="shared" si="27"/>
        <v>No</v>
      </c>
      <c r="O329" t="s">
        <v>34</v>
      </c>
      <c r="P329" s="3">
        <f t="shared" si="28"/>
        <v>76.81</v>
      </c>
      <c r="Q329" t="s">
        <v>22</v>
      </c>
      <c r="R329">
        <v>1</v>
      </c>
      <c r="S329" t="str">
        <f t="shared" si="29"/>
        <v>Very Poor</v>
      </c>
    </row>
    <row r="330" spans="1:19" x14ac:dyDescent="0.25">
      <c r="A330" t="s">
        <v>621</v>
      </c>
      <c r="B330">
        <v>60</v>
      </c>
      <c r="C330" t="s">
        <v>29</v>
      </c>
      <c r="D330" t="s">
        <v>2457</v>
      </c>
      <c r="E330" t="s">
        <v>37</v>
      </c>
      <c r="F330" t="s">
        <v>117</v>
      </c>
      <c r="G330" t="s">
        <v>622</v>
      </c>
      <c r="H330" t="str">
        <f>TEXT(walmart[[#This Row],[Purchase_Date]],"DDD")</f>
        <v>Mon</v>
      </c>
      <c r="I330" t="str">
        <f>TEXT(walmart[[#This Row],[Purchase_Date]],"MMM")</f>
        <v>Dec</v>
      </c>
      <c r="J330" t="str">
        <f>TEXT(walmart[[#This Row],[Purchase_Date]],"YYY")</f>
        <v>2024</v>
      </c>
      <c r="K330" s="3">
        <v>165.68</v>
      </c>
      <c r="L330" t="str">
        <f t="shared" si="25"/>
        <v>5% off</v>
      </c>
      <c r="M330" s="3">
        <f t="shared" si="26"/>
        <v>8.2840000000000007</v>
      </c>
      <c r="N330" t="str">
        <f t="shared" si="27"/>
        <v>Yes</v>
      </c>
      <c r="O330" t="s">
        <v>34</v>
      </c>
      <c r="P330" s="3">
        <f t="shared" si="28"/>
        <v>157.39600000000002</v>
      </c>
      <c r="Q330" t="s">
        <v>22</v>
      </c>
      <c r="R330">
        <v>4</v>
      </c>
      <c r="S330" t="str">
        <f t="shared" si="29"/>
        <v>Good</v>
      </c>
    </row>
    <row r="331" spans="1:19" x14ac:dyDescent="0.25">
      <c r="A331" t="s">
        <v>623</v>
      </c>
      <c r="B331">
        <v>28</v>
      </c>
      <c r="C331" t="s">
        <v>29</v>
      </c>
      <c r="D331" t="s">
        <v>2458</v>
      </c>
      <c r="E331" t="s">
        <v>18</v>
      </c>
      <c r="F331" t="s">
        <v>77</v>
      </c>
      <c r="G331" t="s">
        <v>157</v>
      </c>
      <c r="H331" t="str">
        <f>TEXT(walmart[[#This Row],[Purchase_Date]],"DDD")</f>
        <v>Mon</v>
      </c>
      <c r="I331" t="str">
        <f>TEXT(walmart[[#This Row],[Purchase_Date]],"MMM")</f>
        <v>Jun</v>
      </c>
      <c r="J331" t="str">
        <f>TEXT(walmart[[#This Row],[Purchase_Date]],"YYY")</f>
        <v>2024</v>
      </c>
      <c r="K331" s="3">
        <v>116.78</v>
      </c>
      <c r="L331" t="str">
        <f t="shared" si="25"/>
        <v>0% off</v>
      </c>
      <c r="M331" s="3">
        <f t="shared" si="26"/>
        <v>0</v>
      </c>
      <c r="N331" t="str">
        <f t="shared" si="27"/>
        <v>No</v>
      </c>
      <c r="O331" t="s">
        <v>21</v>
      </c>
      <c r="P331" s="3">
        <f t="shared" si="28"/>
        <v>116.78</v>
      </c>
      <c r="Q331" t="s">
        <v>35</v>
      </c>
      <c r="R331">
        <v>4</v>
      </c>
      <c r="S331" t="str">
        <f t="shared" si="29"/>
        <v>Good</v>
      </c>
    </row>
    <row r="332" spans="1:19" x14ac:dyDescent="0.25">
      <c r="A332" t="s">
        <v>624</v>
      </c>
      <c r="B332">
        <v>19</v>
      </c>
      <c r="C332" t="s">
        <v>16</v>
      </c>
      <c r="D332" t="s">
        <v>2459</v>
      </c>
      <c r="E332" t="s">
        <v>42</v>
      </c>
      <c r="F332" t="s">
        <v>103</v>
      </c>
      <c r="G332" t="s">
        <v>625</v>
      </c>
      <c r="H332" t="str">
        <f>TEXT(walmart[[#This Row],[Purchase_Date]],"DDD")</f>
        <v>Wed</v>
      </c>
      <c r="I332" t="str">
        <f>TEXT(walmart[[#This Row],[Purchase_Date]],"MMM")</f>
        <v>Sep</v>
      </c>
      <c r="J332" t="str">
        <f>TEXT(walmart[[#This Row],[Purchase_Date]],"YYY")</f>
        <v>2024</v>
      </c>
      <c r="K332" s="3">
        <v>315.56</v>
      </c>
      <c r="L332" t="str">
        <f t="shared" si="25"/>
        <v>5% off</v>
      </c>
      <c r="M332" s="3">
        <f t="shared" si="26"/>
        <v>15.778</v>
      </c>
      <c r="N332" t="str">
        <f t="shared" si="27"/>
        <v>Yes</v>
      </c>
      <c r="O332" t="s">
        <v>21</v>
      </c>
      <c r="P332" s="3">
        <f t="shared" si="28"/>
        <v>299.78199999999998</v>
      </c>
      <c r="Q332" t="s">
        <v>35</v>
      </c>
      <c r="R332">
        <v>2</v>
      </c>
      <c r="S332" t="str">
        <f t="shared" si="29"/>
        <v>Poor</v>
      </c>
    </row>
    <row r="333" spans="1:19" x14ac:dyDescent="0.25">
      <c r="A333" t="s">
        <v>626</v>
      </c>
      <c r="B333">
        <v>65</v>
      </c>
      <c r="C333" t="s">
        <v>29</v>
      </c>
      <c r="D333" t="s">
        <v>2460</v>
      </c>
      <c r="E333" t="s">
        <v>55</v>
      </c>
      <c r="F333" t="s">
        <v>67</v>
      </c>
      <c r="G333" t="s">
        <v>461</v>
      </c>
      <c r="H333" t="str">
        <f>TEXT(walmart[[#This Row],[Purchase_Date]],"DDD")</f>
        <v>Thu</v>
      </c>
      <c r="I333" t="str">
        <f>TEXT(walmart[[#This Row],[Purchase_Date]],"MMM")</f>
        <v>Mar</v>
      </c>
      <c r="J333" t="str">
        <f>TEXT(walmart[[#This Row],[Purchase_Date]],"YYY")</f>
        <v>2025</v>
      </c>
      <c r="K333" s="3">
        <v>452.97</v>
      </c>
      <c r="L333" t="str">
        <f t="shared" si="25"/>
        <v>5% off</v>
      </c>
      <c r="M333" s="3">
        <f t="shared" si="26"/>
        <v>22.648500000000002</v>
      </c>
      <c r="N333" t="str">
        <f t="shared" si="27"/>
        <v>Yes</v>
      </c>
      <c r="O333" t="s">
        <v>21</v>
      </c>
      <c r="P333" s="3">
        <f t="shared" si="28"/>
        <v>430.32150000000001</v>
      </c>
      <c r="Q333" t="s">
        <v>35</v>
      </c>
      <c r="R333">
        <v>2</v>
      </c>
      <c r="S333" t="str">
        <f t="shared" si="29"/>
        <v>Poor</v>
      </c>
    </row>
    <row r="334" spans="1:19" x14ac:dyDescent="0.25">
      <c r="A334" t="s">
        <v>627</v>
      </c>
      <c r="B334">
        <v>20</v>
      </c>
      <c r="C334" t="s">
        <v>29</v>
      </c>
      <c r="D334" t="s">
        <v>2461</v>
      </c>
      <c r="E334" t="s">
        <v>73</v>
      </c>
      <c r="F334" t="s">
        <v>91</v>
      </c>
      <c r="G334" t="s">
        <v>628</v>
      </c>
      <c r="H334" t="str">
        <f>TEXT(walmart[[#This Row],[Purchase_Date]],"DDD")</f>
        <v>Wed</v>
      </c>
      <c r="I334" t="str">
        <f>TEXT(walmart[[#This Row],[Purchase_Date]],"MMM")</f>
        <v>Nov</v>
      </c>
      <c r="J334" t="str">
        <f>TEXT(walmart[[#This Row],[Purchase_Date]],"YYY")</f>
        <v>2024</v>
      </c>
      <c r="K334" s="3">
        <v>418.55</v>
      </c>
      <c r="L334" t="str">
        <f t="shared" si="25"/>
        <v>5% off</v>
      </c>
      <c r="M334" s="3">
        <f t="shared" si="26"/>
        <v>20.927500000000002</v>
      </c>
      <c r="N334" t="str">
        <f t="shared" si="27"/>
        <v>Yes</v>
      </c>
      <c r="O334" t="s">
        <v>21</v>
      </c>
      <c r="P334" s="3">
        <f t="shared" si="28"/>
        <v>397.6225</v>
      </c>
      <c r="Q334" t="s">
        <v>27</v>
      </c>
      <c r="R334">
        <v>5</v>
      </c>
      <c r="S334" t="str">
        <f t="shared" si="29"/>
        <v>Excellent</v>
      </c>
    </row>
    <row r="335" spans="1:19" x14ac:dyDescent="0.25">
      <c r="A335" t="s">
        <v>629</v>
      </c>
      <c r="B335">
        <v>30</v>
      </c>
      <c r="C335" t="s">
        <v>29</v>
      </c>
      <c r="D335" t="s">
        <v>2462</v>
      </c>
      <c r="E335" t="s">
        <v>31</v>
      </c>
      <c r="F335" t="s">
        <v>300</v>
      </c>
      <c r="G335" t="s">
        <v>630</v>
      </c>
      <c r="H335" t="str">
        <f>TEXT(walmart[[#This Row],[Purchase_Date]],"DDD")</f>
        <v>Tue</v>
      </c>
      <c r="I335" t="str">
        <f>TEXT(walmart[[#This Row],[Purchase_Date]],"MMM")</f>
        <v>Mar</v>
      </c>
      <c r="J335" t="str">
        <f>TEXT(walmart[[#This Row],[Purchase_Date]],"YYY")</f>
        <v>2025</v>
      </c>
      <c r="K335" s="3">
        <v>340.04</v>
      </c>
      <c r="L335" t="str">
        <f t="shared" si="25"/>
        <v>5% off</v>
      </c>
      <c r="M335" s="3">
        <f t="shared" si="26"/>
        <v>17.002000000000002</v>
      </c>
      <c r="N335" t="str">
        <f t="shared" si="27"/>
        <v>Yes</v>
      </c>
      <c r="O335" t="s">
        <v>21</v>
      </c>
      <c r="P335" s="3">
        <f t="shared" si="28"/>
        <v>323.03800000000001</v>
      </c>
      <c r="Q335" t="s">
        <v>27</v>
      </c>
      <c r="R335">
        <v>2</v>
      </c>
      <c r="S335" t="str">
        <f t="shared" si="29"/>
        <v>Poor</v>
      </c>
    </row>
    <row r="336" spans="1:19" x14ac:dyDescent="0.25">
      <c r="A336" t="s">
        <v>631</v>
      </c>
      <c r="B336">
        <v>31</v>
      </c>
      <c r="C336" t="s">
        <v>29</v>
      </c>
      <c r="D336" t="s">
        <v>2463</v>
      </c>
      <c r="E336" t="s">
        <v>18</v>
      </c>
      <c r="F336" t="s">
        <v>77</v>
      </c>
      <c r="G336" t="s">
        <v>632</v>
      </c>
      <c r="H336" t="str">
        <f>TEXT(walmart[[#This Row],[Purchase_Date]],"DDD")</f>
        <v>Wed</v>
      </c>
      <c r="I336" t="str">
        <f>TEXT(walmart[[#This Row],[Purchase_Date]],"MMM")</f>
        <v>Jan</v>
      </c>
      <c r="J336" t="str">
        <f>TEXT(walmart[[#This Row],[Purchase_Date]],"YYY")</f>
        <v>2025</v>
      </c>
      <c r="K336" s="3">
        <v>116.78</v>
      </c>
      <c r="L336" t="str">
        <f t="shared" si="25"/>
        <v>0% off</v>
      </c>
      <c r="M336" s="3">
        <f t="shared" si="26"/>
        <v>0</v>
      </c>
      <c r="N336" t="str">
        <f t="shared" si="27"/>
        <v>No</v>
      </c>
      <c r="O336" t="s">
        <v>21</v>
      </c>
      <c r="P336" s="3">
        <f t="shared" si="28"/>
        <v>116.78</v>
      </c>
      <c r="Q336" t="s">
        <v>22</v>
      </c>
      <c r="R336">
        <v>1</v>
      </c>
      <c r="S336" t="str">
        <f t="shared" si="29"/>
        <v>Very Poor</v>
      </c>
    </row>
    <row r="337" spans="1:19" x14ac:dyDescent="0.25">
      <c r="A337" t="s">
        <v>633</v>
      </c>
      <c r="B337">
        <v>36</v>
      </c>
      <c r="C337" t="s">
        <v>16</v>
      </c>
      <c r="D337" t="s">
        <v>2464</v>
      </c>
      <c r="E337" t="s">
        <v>55</v>
      </c>
      <c r="F337" t="s">
        <v>56</v>
      </c>
      <c r="G337" t="s">
        <v>221</v>
      </c>
      <c r="H337" t="str">
        <f>TEXT(walmart[[#This Row],[Purchase_Date]],"DDD")</f>
        <v>Fri</v>
      </c>
      <c r="I337" t="str">
        <f>TEXT(walmart[[#This Row],[Purchase_Date]],"MMM")</f>
        <v>Dec</v>
      </c>
      <c r="J337" t="str">
        <f>TEXT(walmart[[#This Row],[Purchase_Date]],"YYY")</f>
        <v>2024</v>
      </c>
      <c r="K337" s="3">
        <v>76.81</v>
      </c>
      <c r="L337" t="str">
        <f t="shared" si="25"/>
        <v>0% off</v>
      </c>
      <c r="M337" s="3">
        <f t="shared" si="26"/>
        <v>0</v>
      </c>
      <c r="N337" t="str">
        <f t="shared" si="27"/>
        <v>No</v>
      </c>
      <c r="O337" t="s">
        <v>21</v>
      </c>
      <c r="P337" s="3">
        <f t="shared" si="28"/>
        <v>76.81</v>
      </c>
      <c r="Q337" t="s">
        <v>47</v>
      </c>
      <c r="R337">
        <v>1</v>
      </c>
      <c r="S337" t="str">
        <f t="shared" si="29"/>
        <v>Very Poor</v>
      </c>
    </row>
    <row r="338" spans="1:19" x14ac:dyDescent="0.25">
      <c r="A338" t="s">
        <v>634</v>
      </c>
      <c r="B338">
        <v>19</v>
      </c>
      <c r="C338" t="s">
        <v>29</v>
      </c>
      <c r="D338" t="s">
        <v>2465</v>
      </c>
      <c r="E338" t="s">
        <v>24</v>
      </c>
      <c r="F338" t="s">
        <v>162</v>
      </c>
      <c r="G338" t="s">
        <v>203</v>
      </c>
      <c r="H338" t="str">
        <f>TEXT(walmart[[#This Row],[Purchase_Date]],"DDD")</f>
        <v>Thu</v>
      </c>
      <c r="I338" t="str">
        <f>TEXT(walmart[[#This Row],[Purchase_Date]],"MMM")</f>
        <v>Mar</v>
      </c>
      <c r="J338" t="str">
        <f>TEXT(walmart[[#This Row],[Purchase_Date]],"YYY")</f>
        <v>2024</v>
      </c>
      <c r="K338" s="3">
        <v>362.55</v>
      </c>
      <c r="L338" t="str">
        <f t="shared" si="25"/>
        <v>5% off</v>
      </c>
      <c r="M338" s="3">
        <f t="shared" si="26"/>
        <v>18.127500000000001</v>
      </c>
      <c r="N338" t="str">
        <f t="shared" si="27"/>
        <v>Yes</v>
      </c>
      <c r="O338" t="s">
        <v>34</v>
      </c>
      <c r="P338" s="3">
        <f t="shared" si="28"/>
        <v>344.42250000000001</v>
      </c>
      <c r="Q338" t="s">
        <v>27</v>
      </c>
      <c r="R338">
        <v>1</v>
      </c>
      <c r="S338" t="str">
        <f t="shared" si="29"/>
        <v>Very Poor</v>
      </c>
    </row>
    <row r="339" spans="1:19" x14ac:dyDescent="0.25">
      <c r="A339" t="s">
        <v>635</v>
      </c>
      <c r="B339">
        <v>35</v>
      </c>
      <c r="C339" t="s">
        <v>29</v>
      </c>
      <c r="D339" t="s">
        <v>2466</v>
      </c>
      <c r="E339" t="s">
        <v>73</v>
      </c>
      <c r="F339" t="s">
        <v>91</v>
      </c>
      <c r="G339" t="s">
        <v>219</v>
      </c>
      <c r="H339" t="str">
        <f>TEXT(walmart[[#This Row],[Purchase_Date]],"DDD")</f>
        <v>Thu</v>
      </c>
      <c r="I339" t="str">
        <f>TEXT(walmart[[#This Row],[Purchase_Date]],"MMM")</f>
        <v>Aug</v>
      </c>
      <c r="J339" t="str">
        <f>TEXT(walmart[[#This Row],[Purchase_Date]],"YYY")</f>
        <v>2024</v>
      </c>
      <c r="K339" s="3">
        <v>418.55</v>
      </c>
      <c r="L339" t="str">
        <f t="shared" si="25"/>
        <v>5% off</v>
      </c>
      <c r="M339" s="3">
        <f t="shared" si="26"/>
        <v>20.927500000000002</v>
      </c>
      <c r="N339" t="str">
        <f t="shared" si="27"/>
        <v>Yes</v>
      </c>
      <c r="O339" t="s">
        <v>34</v>
      </c>
      <c r="P339" s="3">
        <f t="shared" si="28"/>
        <v>397.6225</v>
      </c>
      <c r="Q339" t="s">
        <v>22</v>
      </c>
      <c r="R339">
        <v>2</v>
      </c>
      <c r="S339" t="str">
        <f t="shared" si="29"/>
        <v>Poor</v>
      </c>
    </row>
    <row r="340" spans="1:19" x14ac:dyDescent="0.25">
      <c r="A340" t="s">
        <v>636</v>
      </c>
      <c r="B340">
        <v>25</v>
      </c>
      <c r="C340" t="s">
        <v>29</v>
      </c>
      <c r="D340" t="s">
        <v>2467</v>
      </c>
      <c r="E340" t="s">
        <v>24</v>
      </c>
      <c r="F340" t="s">
        <v>186</v>
      </c>
      <c r="G340" t="s">
        <v>637</v>
      </c>
      <c r="H340" t="str">
        <f>TEXT(walmart[[#This Row],[Purchase_Date]],"DDD")</f>
        <v>Mon</v>
      </c>
      <c r="I340" t="str">
        <f>TEXT(walmart[[#This Row],[Purchase_Date]],"MMM")</f>
        <v>Aug</v>
      </c>
      <c r="J340" t="str">
        <f>TEXT(walmart[[#This Row],[Purchase_Date]],"YYY")</f>
        <v>2024</v>
      </c>
      <c r="K340" s="3">
        <v>527.16999999999996</v>
      </c>
      <c r="L340" t="str">
        <f t="shared" si="25"/>
        <v>10% off</v>
      </c>
      <c r="M340" s="3">
        <f t="shared" si="26"/>
        <v>52.716999999999999</v>
      </c>
      <c r="N340" t="str">
        <f t="shared" si="27"/>
        <v>Yes</v>
      </c>
      <c r="O340" t="s">
        <v>34</v>
      </c>
      <c r="P340" s="3">
        <f t="shared" si="28"/>
        <v>474.45299999999997</v>
      </c>
      <c r="Q340" t="s">
        <v>22</v>
      </c>
      <c r="R340">
        <v>3</v>
      </c>
      <c r="S340" t="str">
        <f t="shared" si="29"/>
        <v>Average</v>
      </c>
    </row>
    <row r="341" spans="1:19" x14ac:dyDescent="0.25">
      <c r="A341" t="s">
        <v>638</v>
      </c>
      <c r="B341">
        <v>22</v>
      </c>
      <c r="C341" t="s">
        <v>29</v>
      </c>
      <c r="D341" t="s">
        <v>2468</v>
      </c>
      <c r="E341" t="s">
        <v>37</v>
      </c>
      <c r="F341" t="s">
        <v>38</v>
      </c>
      <c r="G341" t="s">
        <v>639</v>
      </c>
      <c r="H341" t="str">
        <f>TEXT(walmart[[#This Row],[Purchase_Date]],"DDD")</f>
        <v>Fri</v>
      </c>
      <c r="I341" t="str">
        <f>TEXT(walmart[[#This Row],[Purchase_Date]],"MMM")</f>
        <v>Jun</v>
      </c>
      <c r="J341" t="str">
        <f>TEXT(walmart[[#This Row],[Purchase_Date]],"YYY")</f>
        <v>2024</v>
      </c>
      <c r="K341" s="3">
        <v>211.46</v>
      </c>
      <c r="L341" t="str">
        <f t="shared" si="25"/>
        <v>5% off</v>
      </c>
      <c r="M341" s="3">
        <f t="shared" si="26"/>
        <v>10.573</v>
      </c>
      <c r="N341" t="str">
        <f t="shared" si="27"/>
        <v>Yes</v>
      </c>
      <c r="O341" t="s">
        <v>34</v>
      </c>
      <c r="P341" s="3">
        <f t="shared" si="28"/>
        <v>200.887</v>
      </c>
      <c r="Q341" t="s">
        <v>47</v>
      </c>
      <c r="R341">
        <v>5</v>
      </c>
      <c r="S341" t="str">
        <f t="shared" si="29"/>
        <v>Excellent</v>
      </c>
    </row>
    <row r="342" spans="1:19" x14ac:dyDescent="0.25">
      <c r="A342" t="s">
        <v>640</v>
      </c>
      <c r="B342">
        <v>41</v>
      </c>
      <c r="C342" t="s">
        <v>16</v>
      </c>
      <c r="D342" t="s">
        <v>2469</v>
      </c>
      <c r="E342" t="s">
        <v>37</v>
      </c>
      <c r="F342" t="s">
        <v>97</v>
      </c>
      <c r="G342" t="s">
        <v>641</v>
      </c>
      <c r="H342" t="str">
        <f>TEXT(walmart[[#This Row],[Purchase_Date]],"DDD")</f>
        <v>Sun</v>
      </c>
      <c r="I342" t="str">
        <f>TEXT(walmart[[#This Row],[Purchase_Date]],"MMM")</f>
        <v>Nov</v>
      </c>
      <c r="J342" t="str">
        <f>TEXT(walmart[[#This Row],[Purchase_Date]],"YYY")</f>
        <v>2024</v>
      </c>
      <c r="K342" s="3">
        <v>855.21</v>
      </c>
      <c r="L342" t="str">
        <f t="shared" si="25"/>
        <v>15% off</v>
      </c>
      <c r="M342" s="3">
        <f t="shared" si="26"/>
        <v>128.28149999999999</v>
      </c>
      <c r="N342" t="str">
        <f t="shared" si="27"/>
        <v>Yes</v>
      </c>
      <c r="O342" t="s">
        <v>21</v>
      </c>
      <c r="P342" s="3">
        <f t="shared" si="28"/>
        <v>726.92849999999999</v>
      </c>
      <c r="Q342" t="s">
        <v>47</v>
      </c>
      <c r="R342">
        <v>3</v>
      </c>
      <c r="S342" t="str">
        <f t="shared" si="29"/>
        <v>Average</v>
      </c>
    </row>
    <row r="343" spans="1:19" x14ac:dyDescent="0.25">
      <c r="A343" t="s">
        <v>642</v>
      </c>
      <c r="B343">
        <v>23</v>
      </c>
      <c r="C343" t="s">
        <v>16</v>
      </c>
      <c r="D343" t="s">
        <v>2470</v>
      </c>
      <c r="E343" t="s">
        <v>55</v>
      </c>
      <c r="F343" t="s">
        <v>64</v>
      </c>
      <c r="G343" t="s">
        <v>555</v>
      </c>
      <c r="H343" t="str">
        <f>TEXT(walmart[[#This Row],[Purchase_Date]],"DDD")</f>
        <v>Mon</v>
      </c>
      <c r="I343" t="str">
        <f>TEXT(walmart[[#This Row],[Purchase_Date]],"MMM")</f>
        <v>Sep</v>
      </c>
      <c r="J343" t="str">
        <f>TEXT(walmart[[#This Row],[Purchase_Date]],"YYY")</f>
        <v>2024</v>
      </c>
      <c r="K343" s="3">
        <v>374.92</v>
      </c>
      <c r="L343" t="str">
        <f t="shared" si="25"/>
        <v>5% off</v>
      </c>
      <c r="M343" s="3">
        <f t="shared" si="26"/>
        <v>18.746000000000002</v>
      </c>
      <c r="N343" t="str">
        <f t="shared" si="27"/>
        <v>Yes</v>
      </c>
      <c r="O343" t="s">
        <v>21</v>
      </c>
      <c r="P343" s="3">
        <f t="shared" si="28"/>
        <v>356.17400000000004</v>
      </c>
      <c r="Q343" t="s">
        <v>47</v>
      </c>
      <c r="R343">
        <v>2</v>
      </c>
      <c r="S343" t="str">
        <f t="shared" si="29"/>
        <v>Poor</v>
      </c>
    </row>
    <row r="344" spans="1:19" x14ac:dyDescent="0.25">
      <c r="A344" t="s">
        <v>643</v>
      </c>
      <c r="B344">
        <v>19</v>
      </c>
      <c r="C344" t="s">
        <v>29</v>
      </c>
      <c r="D344" t="s">
        <v>2471</v>
      </c>
      <c r="E344" t="s">
        <v>18</v>
      </c>
      <c r="F344" t="s">
        <v>19</v>
      </c>
      <c r="G344" t="s">
        <v>644</v>
      </c>
      <c r="H344" t="str">
        <f>TEXT(walmart[[#This Row],[Purchase_Date]],"DDD")</f>
        <v>Fri</v>
      </c>
      <c r="I344" t="str">
        <f>TEXT(walmart[[#This Row],[Purchase_Date]],"MMM")</f>
        <v>Jan</v>
      </c>
      <c r="J344" t="str">
        <f>TEXT(walmart[[#This Row],[Purchase_Date]],"YYY")</f>
        <v>2025</v>
      </c>
      <c r="K344" s="3">
        <v>697.86</v>
      </c>
      <c r="L344" t="str">
        <f t="shared" si="25"/>
        <v>10% off</v>
      </c>
      <c r="M344" s="3">
        <f t="shared" si="26"/>
        <v>69.786000000000001</v>
      </c>
      <c r="N344" t="str">
        <f t="shared" si="27"/>
        <v>Yes</v>
      </c>
      <c r="O344" t="s">
        <v>34</v>
      </c>
      <c r="P344" s="3">
        <f t="shared" si="28"/>
        <v>628.07400000000007</v>
      </c>
      <c r="Q344" t="s">
        <v>47</v>
      </c>
      <c r="R344">
        <v>5</v>
      </c>
      <c r="S344" t="str">
        <f t="shared" si="29"/>
        <v>Excellent</v>
      </c>
    </row>
    <row r="345" spans="1:19" x14ac:dyDescent="0.25">
      <c r="A345" t="s">
        <v>645</v>
      </c>
      <c r="B345">
        <v>23</v>
      </c>
      <c r="C345" t="s">
        <v>16</v>
      </c>
      <c r="D345" t="s">
        <v>2472</v>
      </c>
      <c r="E345" t="s">
        <v>31</v>
      </c>
      <c r="F345" t="s">
        <v>300</v>
      </c>
      <c r="G345" t="s">
        <v>46</v>
      </c>
      <c r="H345" t="str">
        <f>TEXT(walmart[[#This Row],[Purchase_Date]],"DDD")</f>
        <v>Thu</v>
      </c>
      <c r="I345" t="str">
        <f>TEXT(walmart[[#This Row],[Purchase_Date]],"MMM")</f>
        <v>May</v>
      </c>
      <c r="J345" t="str">
        <f>TEXT(walmart[[#This Row],[Purchase_Date]],"YYY")</f>
        <v>2024</v>
      </c>
      <c r="K345" s="3">
        <v>340.04</v>
      </c>
      <c r="L345" t="str">
        <f t="shared" si="25"/>
        <v>5% off</v>
      </c>
      <c r="M345" s="3">
        <f t="shared" si="26"/>
        <v>17.002000000000002</v>
      </c>
      <c r="N345" t="str">
        <f t="shared" si="27"/>
        <v>Yes</v>
      </c>
      <c r="O345" t="s">
        <v>21</v>
      </c>
      <c r="P345" s="3">
        <f t="shared" si="28"/>
        <v>323.03800000000001</v>
      </c>
      <c r="Q345" t="s">
        <v>35</v>
      </c>
      <c r="R345">
        <v>4</v>
      </c>
      <c r="S345" t="str">
        <f t="shared" si="29"/>
        <v>Good</v>
      </c>
    </row>
    <row r="346" spans="1:19" x14ac:dyDescent="0.25">
      <c r="A346" t="s">
        <v>646</v>
      </c>
      <c r="B346">
        <v>41</v>
      </c>
      <c r="C346" t="s">
        <v>16</v>
      </c>
      <c r="D346" t="s">
        <v>2473</v>
      </c>
      <c r="E346" t="s">
        <v>31</v>
      </c>
      <c r="F346" t="s">
        <v>300</v>
      </c>
      <c r="G346" t="s">
        <v>647</v>
      </c>
      <c r="H346" t="str">
        <f>TEXT(walmart[[#This Row],[Purchase_Date]],"DDD")</f>
        <v>Wed</v>
      </c>
      <c r="I346" t="str">
        <f>TEXT(walmart[[#This Row],[Purchase_Date]],"MMM")</f>
        <v>Oct</v>
      </c>
      <c r="J346" t="str">
        <f>TEXT(walmart[[#This Row],[Purchase_Date]],"YYY")</f>
        <v>2024</v>
      </c>
      <c r="K346" s="3">
        <v>340.04</v>
      </c>
      <c r="L346" t="str">
        <f t="shared" si="25"/>
        <v>5% off</v>
      </c>
      <c r="M346" s="3">
        <f t="shared" si="26"/>
        <v>17.002000000000002</v>
      </c>
      <c r="N346" t="str">
        <f t="shared" si="27"/>
        <v>Yes</v>
      </c>
      <c r="O346" t="s">
        <v>21</v>
      </c>
      <c r="P346" s="3">
        <f t="shared" si="28"/>
        <v>323.03800000000001</v>
      </c>
      <c r="Q346" t="s">
        <v>22</v>
      </c>
      <c r="R346">
        <v>5</v>
      </c>
      <c r="S346" t="str">
        <f t="shared" si="29"/>
        <v>Excellent</v>
      </c>
    </row>
    <row r="347" spans="1:19" x14ac:dyDescent="0.25">
      <c r="A347" t="s">
        <v>648</v>
      </c>
      <c r="B347">
        <v>70</v>
      </c>
      <c r="C347" t="s">
        <v>16</v>
      </c>
      <c r="D347" t="s">
        <v>2474</v>
      </c>
      <c r="E347" t="s">
        <v>55</v>
      </c>
      <c r="F347" t="s">
        <v>56</v>
      </c>
      <c r="G347" t="s">
        <v>87</v>
      </c>
      <c r="H347" t="str">
        <f>TEXT(walmart[[#This Row],[Purchase_Date]],"DDD")</f>
        <v>Thu</v>
      </c>
      <c r="I347" t="str">
        <f>TEXT(walmart[[#This Row],[Purchase_Date]],"MMM")</f>
        <v>Sep</v>
      </c>
      <c r="J347" t="str">
        <f>TEXT(walmart[[#This Row],[Purchase_Date]],"YYY")</f>
        <v>2024</v>
      </c>
      <c r="K347" s="3">
        <v>76.81</v>
      </c>
      <c r="L347" t="str">
        <f t="shared" si="25"/>
        <v>0% off</v>
      </c>
      <c r="M347" s="3">
        <f t="shared" si="26"/>
        <v>0</v>
      </c>
      <c r="N347" t="str">
        <f t="shared" si="27"/>
        <v>No</v>
      </c>
      <c r="O347" t="s">
        <v>21</v>
      </c>
      <c r="P347" s="3">
        <f t="shared" si="28"/>
        <v>76.81</v>
      </c>
      <c r="Q347" t="s">
        <v>35</v>
      </c>
      <c r="R347">
        <v>2</v>
      </c>
      <c r="S347" t="str">
        <f t="shared" si="29"/>
        <v>Poor</v>
      </c>
    </row>
    <row r="348" spans="1:19" x14ac:dyDescent="0.25">
      <c r="A348" t="s">
        <v>649</v>
      </c>
      <c r="B348">
        <v>21</v>
      </c>
      <c r="C348" t="s">
        <v>29</v>
      </c>
      <c r="D348" t="s">
        <v>2475</v>
      </c>
      <c r="E348" t="s">
        <v>42</v>
      </c>
      <c r="F348" t="s">
        <v>103</v>
      </c>
      <c r="G348" t="s">
        <v>411</v>
      </c>
      <c r="H348" t="str">
        <f>TEXT(walmart[[#This Row],[Purchase_Date]],"DDD")</f>
        <v>Wed</v>
      </c>
      <c r="I348" t="str">
        <f>TEXT(walmart[[#This Row],[Purchase_Date]],"MMM")</f>
        <v>Apr</v>
      </c>
      <c r="J348" t="str">
        <f>TEXT(walmart[[#This Row],[Purchase_Date]],"YYY")</f>
        <v>2024</v>
      </c>
      <c r="K348" s="3">
        <v>315.56</v>
      </c>
      <c r="L348" t="str">
        <f t="shared" si="25"/>
        <v>5% off</v>
      </c>
      <c r="M348" s="3">
        <f t="shared" si="26"/>
        <v>15.778</v>
      </c>
      <c r="N348" t="str">
        <f t="shared" si="27"/>
        <v>Yes</v>
      </c>
      <c r="O348" t="s">
        <v>21</v>
      </c>
      <c r="P348" s="3">
        <f t="shared" si="28"/>
        <v>299.78199999999998</v>
      </c>
      <c r="Q348" t="s">
        <v>47</v>
      </c>
      <c r="R348">
        <v>5</v>
      </c>
      <c r="S348" t="str">
        <f t="shared" si="29"/>
        <v>Excellent</v>
      </c>
    </row>
    <row r="349" spans="1:19" x14ac:dyDescent="0.25">
      <c r="A349" t="s">
        <v>650</v>
      </c>
      <c r="B349">
        <v>46</v>
      </c>
      <c r="C349" t="s">
        <v>16</v>
      </c>
      <c r="D349" t="s">
        <v>2476</v>
      </c>
      <c r="E349" t="s">
        <v>73</v>
      </c>
      <c r="F349" t="s">
        <v>91</v>
      </c>
      <c r="G349" t="s">
        <v>651</v>
      </c>
      <c r="H349" t="str">
        <f>TEXT(walmart[[#This Row],[Purchase_Date]],"DDD")</f>
        <v>Mon</v>
      </c>
      <c r="I349" t="str">
        <f>TEXT(walmart[[#This Row],[Purchase_Date]],"MMM")</f>
        <v>Nov</v>
      </c>
      <c r="J349" t="str">
        <f>TEXT(walmart[[#This Row],[Purchase_Date]],"YYY")</f>
        <v>2024</v>
      </c>
      <c r="K349" s="3">
        <v>418.55</v>
      </c>
      <c r="L349" t="str">
        <f t="shared" si="25"/>
        <v>5% off</v>
      </c>
      <c r="M349" s="3">
        <f t="shared" si="26"/>
        <v>20.927500000000002</v>
      </c>
      <c r="N349" t="str">
        <f t="shared" si="27"/>
        <v>Yes</v>
      </c>
      <c r="O349" t="s">
        <v>34</v>
      </c>
      <c r="P349" s="3">
        <f t="shared" si="28"/>
        <v>397.6225</v>
      </c>
      <c r="Q349" t="s">
        <v>22</v>
      </c>
      <c r="R349">
        <v>1</v>
      </c>
      <c r="S349" t="str">
        <f t="shared" si="29"/>
        <v>Very Poor</v>
      </c>
    </row>
    <row r="350" spans="1:19" x14ac:dyDescent="0.25">
      <c r="A350" t="s">
        <v>652</v>
      </c>
      <c r="B350">
        <v>68</v>
      </c>
      <c r="C350" t="s">
        <v>16</v>
      </c>
      <c r="D350" t="s">
        <v>2477</v>
      </c>
      <c r="E350" t="s">
        <v>18</v>
      </c>
      <c r="F350" t="s">
        <v>59</v>
      </c>
      <c r="G350" t="s">
        <v>612</v>
      </c>
      <c r="H350" t="str">
        <f>TEXT(walmart[[#This Row],[Purchase_Date]],"DDD")</f>
        <v>Fri</v>
      </c>
      <c r="I350" t="str">
        <f>TEXT(walmart[[#This Row],[Purchase_Date]],"MMM")</f>
        <v>Apr</v>
      </c>
      <c r="J350" t="str">
        <f>TEXT(walmart[[#This Row],[Purchase_Date]],"YYY")</f>
        <v>2024</v>
      </c>
      <c r="K350" s="3">
        <v>78.349999999999994</v>
      </c>
      <c r="L350" t="str">
        <f t="shared" si="25"/>
        <v>0% off</v>
      </c>
      <c r="M350" s="3">
        <f t="shared" si="26"/>
        <v>0</v>
      </c>
      <c r="N350" t="str">
        <f t="shared" si="27"/>
        <v>No</v>
      </c>
      <c r="O350" t="s">
        <v>21</v>
      </c>
      <c r="P350" s="3">
        <f t="shared" si="28"/>
        <v>78.349999999999994</v>
      </c>
      <c r="Q350" t="s">
        <v>22</v>
      </c>
      <c r="R350">
        <v>5</v>
      </c>
      <c r="S350" t="str">
        <f t="shared" si="29"/>
        <v>Excellent</v>
      </c>
    </row>
    <row r="351" spans="1:19" x14ac:dyDescent="0.25">
      <c r="A351" t="s">
        <v>653</v>
      </c>
      <c r="B351">
        <v>54</v>
      </c>
      <c r="C351" t="s">
        <v>16</v>
      </c>
      <c r="D351" t="s">
        <v>2478</v>
      </c>
      <c r="E351" t="s">
        <v>37</v>
      </c>
      <c r="F351" t="s">
        <v>97</v>
      </c>
      <c r="G351" t="s">
        <v>478</v>
      </c>
      <c r="H351" t="str">
        <f>TEXT(walmart[[#This Row],[Purchase_Date]],"DDD")</f>
        <v>Tue</v>
      </c>
      <c r="I351" t="str">
        <f>TEXT(walmart[[#This Row],[Purchase_Date]],"MMM")</f>
        <v>Sep</v>
      </c>
      <c r="J351" t="str">
        <f>TEXT(walmart[[#This Row],[Purchase_Date]],"YYY")</f>
        <v>2024</v>
      </c>
      <c r="K351" s="3">
        <v>855.21</v>
      </c>
      <c r="L351" t="str">
        <f t="shared" si="25"/>
        <v>15% off</v>
      </c>
      <c r="M351" s="3">
        <f t="shared" si="26"/>
        <v>128.28149999999999</v>
      </c>
      <c r="N351" t="str">
        <f t="shared" si="27"/>
        <v>Yes</v>
      </c>
      <c r="O351" t="s">
        <v>21</v>
      </c>
      <c r="P351" s="3">
        <f t="shared" si="28"/>
        <v>726.92849999999999</v>
      </c>
      <c r="Q351" t="s">
        <v>47</v>
      </c>
      <c r="R351">
        <v>2</v>
      </c>
      <c r="S351" t="str">
        <f t="shared" si="29"/>
        <v>Poor</v>
      </c>
    </row>
    <row r="352" spans="1:19" x14ac:dyDescent="0.25">
      <c r="A352" t="s">
        <v>654</v>
      </c>
      <c r="B352">
        <v>56</v>
      </c>
      <c r="C352" t="s">
        <v>16</v>
      </c>
      <c r="D352" t="s">
        <v>2479</v>
      </c>
      <c r="E352" t="s">
        <v>37</v>
      </c>
      <c r="F352" t="s">
        <v>117</v>
      </c>
      <c r="G352" t="s">
        <v>641</v>
      </c>
      <c r="H352" t="str">
        <f>TEXT(walmart[[#This Row],[Purchase_Date]],"DDD")</f>
        <v>Sun</v>
      </c>
      <c r="I352" t="str">
        <f>TEXT(walmart[[#This Row],[Purchase_Date]],"MMM")</f>
        <v>Nov</v>
      </c>
      <c r="J352" t="str">
        <f>TEXT(walmart[[#This Row],[Purchase_Date]],"YYY")</f>
        <v>2024</v>
      </c>
      <c r="K352" s="3">
        <v>165.68</v>
      </c>
      <c r="L352" t="str">
        <f t="shared" si="25"/>
        <v>5% off</v>
      </c>
      <c r="M352" s="3">
        <f t="shared" si="26"/>
        <v>8.2840000000000007</v>
      </c>
      <c r="N352" t="str">
        <f t="shared" si="27"/>
        <v>Yes</v>
      </c>
      <c r="O352" t="s">
        <v>34</v>
      </c>
      <c r="P352" s="3">
        <f t="shared" si="28"/>
        <v>157.39600000000002</v>
      </c>
      <c r="Q352" t="s">
        <v>35</v>
      </c>
      <c r="R352">
        <v>5</v>
      </c>
      <c r="S352" t="str">
        <f t="shared" si="29"/>
        <v>Excellent</v>
      </c>
    </row>
    <row r="353" spans="1:19" x14ac:dyDescent="0.25">
      <c r="A353" t="s">
        <v>655</v>
      </c>
      <c r="B353">
        <v>59</v>
      </c>
      <c r="C353" t="s">
        <v>16</v>
      </c>
      <c r="D353" t="s">
        <v>2480</v>
      </c>
      <c r="E353" t="s">
        <v>24</v>
      </c>
      <c r="F353" t="s">
        <v>162</v>
      </c>
      <c r="G353" t="s">
        <v>656</v>
      </c>
      <c r="H353" t="str">
        <f>TEXT(walmart[[#This Row],[Purchase_Date]],"DDD")</f>
        <v>Tue</v>
      </c>
      <c r="I353" t="str">
        <f>TEXT(walmart[[#This Row],[Purchase_Date]],"MMM")</f>
        <v>Dec</v>
      </c>
      <c r="J353" t="str">
        <f>TEXT(walmart[[#This Row],[Purchase_Date]],"YYY")</f>
        <v>2024</v>
      </c>
      <c r="K353" s="3">
        <v>362.55</v>
      </c>
      <c r="L353" t="str">
        <f t="shared" si="25"/>
        <v>5% off</v>
      </c>
      <c r="M353" s="3">
        <f t="shared" si="26"/>
        <v>18.127500000000001</v>
      </c>
      <c r="N353" t="str">
        <f t="shared" si="27"/>
        <v>Yes</v>
      </c>
      <c r="O353" t="s">
        <v>21</v>
      </c>
      <c r="P353" s="3">
        <f t="shared" si="28"/>
        <v>344.42250000000001</v>
      </c>
      <c r="Q353" t="s">
        <v>27</v>
      </c>
      <c r="R353">
        <v>1</v>
      </c>
      <c r="S353" t="str">
        <f t="shared" si="29"/>
        <v>Very Poor</v>
      </c>
    </row>
    <row r="354" spans="1:19" x14ac:dyDescent="0.25">
      <c r="A354" t="s">
        <v>657</v>
      </c>
      <c r="B354">
        <v>68</v>
      </c>
      <c r="C354" t="s">
        <v>16</v>
      </c>
      <c r="D354" t="s">
        <v>2481</v>
      </c>
      <c r="E354" t="s">
        <v>42</v>
      </c>
      <c r="F354" t="s">
        <v>103</v>
      </c>
      <c r="G354" t="s">
        <v>658</v>
      </c>
      <c r="H354" t="str">
        <f>TEXT(walmart[[#This Row],[Purchase_Date]],"DDD")</f>
        <v>Fri</v>
      </c>
      <c r="I354" t="str">
        <f>TEXT(walmart[[#This Row],[Purchase_Date]],"MMM")</f>
        <v>Jun</v>
      </c>
      <c r="J354" t="str">
        <f>TEXT(walmart[[#This Row],[Purchase_Date]],"YYY")</f>
        <v>2024</v>
      </c>
      <c r="K354" s="3">
        <v>315.56</v>
      </c>
      <c r="L354" t="str">
        <f t="shared" si="25"/>
        <v>5% off</v>
      </c>
      <c r="M354" s="3">
        <f t="shared" si="26"/>
        <v>15.778</v>
      </c>
      <c r="N354" t="str">
        <f t="shared" si="27"/>
        <v>Yes</v>
      </c>
      <c r="O354" t="s">
        <v>34</v>
      </c>
      <c r="P354" s="3">
        <f t="shared" si="28"/>
        <v>299.78199999999998</v>
      </c>
      <c r="Q354" t="s">
        <v>35</v>
      </c>
      <c r="R354">
        <v>1</v>
      </c>
      <c r="S354" t="str">
        <f t="shared" si="29"/>
        <v>Very Poor</v>
      </c>
    </row>
    <row r="355" spans="1:19" x14ac:dyDescent="0.25">
      <c r="A355" t="s">
        <v>659</v>
      </c>
      <c r="B355">
        <v>32</v>
      </c>
      <c r="C355" t="s">
        <v>29</v>
      </c>
      <c r="D355" t="s">
        <v>2482</v>
      </c>
      <c r="E355" t="s">
        <v>73</v>
      </c>
      <c r="F355" t="s">
        <v>74</v>
      </c>
      <c r="G355" t="s">
        <v>268</v>
      </c>
      <c r="H355" t="str">
        <f>TEXT(walmart[[#This Row],[Purchase_Date]],"DDD")</f>
        <v>Fri</v>
      </c>
      <c r="I355" t="str">
        <f>TEXT(walmart[[#This Row],[Purchase_Date]],"MMM")</f>
        <v>Oct</v>
      </c>
      <c r="J355" t="str">
        <f>TEXT(walmart[[#This Row],[Purchase_Date]],"YYY")</f>
        <v>2024</v>
      </c>
      <c r="K355" s="3">
        <v>782.29</v>
      </c>
      <c r="L355" t="str">
        <f t="shared" si="25"/>
        <v>15% off</v>
      </c>
      <c r="M355" s="3">
        <f t="shared" si="26"/>
        <v>117.34349999999999</v>
      </c>
      <c r="N355" t="str">
        <f t="shared" si="27"/>
        <v>Yes</v>
      </c>
      <c r="O355" t="s">
        <v>34</v>
      </c>
      <c r="P355" s="3">
        <f t="shared" si="28"/>
        <v>664.94650000000001</v>
      </c>
      <c r="Q355" t="s">
        <v>35</v>
      </c>
      <c r="R355">
        <v>5</v>
      </c>
      <c r="S355" t="str">
        <f t="shared" si="29"/>
        <v>Excellent</v>
      </c>
    </row>
    <row r="356" spans="1:19" x14ac:dyDescent="0.25">
      <c r="A356" t="s">
        <v>660</v>
      </c>
      <c r="B356">
        <v>58</v>
      </c>
      <c r="C356" t="s">
        <v>16</v>
      </c>
      <c r="D356" t="s">
        <v>2462</v>
      </c>
      <c r="E356" t="s">
        <v>73</v>
      </c>
      <c r="F356" t="s">
        <v>138</v>
      </c>
      <c r="G356" t="s">
        <v>602</v>
      </c>
      <c r="H356" t="str">
        <f>TEXT(walmart[[#This Row],[Purchase_Date]],"DDD")</f>
        <v>Fri</v>
      </c>
      <c r="I356" t="str">
        <f>TEXT(walmart[[#This Row],[Purchase_Date]],"MMM")</f>
        <v>Jun</v>
      </c>
      <c r="J356" t="str">
        <f>TEXT(walmart[[#This Row],[Purchase_Date]],"YYY")</f>
        <v>2024</v>
      </c>
      <c r="K356" s="3">
        <v>461.81</v>
      </c>
      <c r="L356" t="str">
        <f t="shared" si="25"/>
        <v>5% off</v>
      </c>
      <c r="M356" s="3">
        <f t="shared" si="26"/>
        <v>23.090500000000002</v>
      </c>
      <c r="N356" t="str">
        <f t="shared" si="27"/>
        <v>Yes</v>
      </c>
      <c r="O356" t="s">
        <v>21</v>
      </c>
      <c r="P356" s="3">
        <f t="shared" si="28"/>
        <v>438.71949999999998</v>
      </c>
      <c r="Q356" t="s">
        <v>47</v>
      </c>
      <c r="R356">
        <v>3</v>
      </c>
      <c r="S356" t="str">
        <f t="shared" si="29"/>
        <v>Average</v>
      </c>
    </row>
    <row r="357" spans="1:19" x14ac:dyDescent="0.25">
      <c r="A357" t="s">
        <v>661</v>
      </c>
      <c r="B357">
        <v>55</v>
      </c>
      <c r="C357" t="s">
        <v>29</v>
      </c>
      <c r="D357" t="s">
        <v>2483</v>
      </c>
      <c r="E357" t="s">
        <v>42</v>
      </c>
      <c r="F357" t="s">
        <v>120</v>
      </c>
      <c r="G357" t="s">
        <v>662</v>
      </c>
      <c r="H357" t="str">
        <f>TEXT(walmart[[#This Row],[Purchase_Date]],"DDD")</f>
        <v>Sat</v>
      </c>
      <c r="I357" t="str">
        <f>TEXT(walmart[[#This Row],[Purchase_Date]],"MMM")</f>
        <v>May</v>
      </c>
      <c r="J357" t="str">
        <f>TEXT(walmart[[#This Row],[Purchase_Date]],"YYY")</f>
        <v>2024</v>
      </c>
      <c r="K357" s="3">
        <v>260.77999999999997</v>
      </c>
      <c r="L357" t="str">
        <f t="shared" si="25"/>
        <v>5% off</v>
      </c>
      <c r="M357" s="3">
        <f t="shared" si="26"/>
        <v>13.039</v>
      </c>
      <c r="N357" t="str">
        <f t="shared" si="27"/>
        <v>Yes</v>
      </c>
      <c r="O357" t="s">
        <v>34</v>
      </c>
      <c r="P357" s="3">
        <f t="shared" si="28"/>
        <v>247.74099999999999</v>
      </c>
      <c r="Q357" t="s">
        <v>27</v>
      </c>
      <c r="R357">
        <v>5</v>
      </c>
      <c r="S357" t="str">
        <f t="shared" si="29"/>
        <v>Excellent</v>
      </c>
    </row>
    <row r="358" spans="1:19" x14ac:dyDescent="0.25">
      <c r="A358" t="s">
        <v>663</v>
      </c>
      <c r="B358">
        <v>19</v>
      </c>
      <c r="C358" t="s">
        <v>16</v>
      </c>
      <c r="D358" t="s">
        <v>2484</v>
      </c>
      <c r="E358" t="s">
        <v>55</v>
      </c>
      <c r="F358" t="s">
        <v>67</v>
      </c>
      <c r="G358" t="s">
        <v>594</v>
      </c>
      <c r="H358" t="str">
        <f>TEXT(walmart[[#This Row],[Purchase_Date]],"DDD")</f>
        <v>Thu</v>
      </c>
      <c r="I358" t="str">
        <f>TEXT(walmart[[#This Row],[Purchase_Date]],"MMM")</f>
        <v>Nov</v>
      </c>
      <c r="J358" t="str">
        <f>TEXT(walmart[[#This Row],[Purchase_Date]],"YYY")</f>
        <v>2024</v>
      </c>
      <c r="K358" s="3">
        <v>452.97</v>
      </c>
      <c r="L358" t="str">
        <f t="shared" si="25"/>
        <v>5% off</v>
      </c>
      <c r="M358" s="3">
        <f t="shared" si="26"/>
        <v>22.648500000000002</v>
      </c>
      <c r="N358" t="str">
        <f t="shared" si="27"/>
        <v>Yes</v>
      </c>
      <c r="O358" t="s">
        <v>34</v>
      </c>
      <c r="P358" s="3">
        <f t="shared" si="28"/>
        <v>430.32150000000001</v>
      </c>
      <c r="Q358" t="s">
        <v>27</v>
      </c>
      <c r="R358">
        <v>4</v>
      </c>
      <c r="S358" t="str">
        <f t="shared" si="29"/>
        <v>Good</v>
      </c>
    </row>
    <row r="359" spans="1:19" x14ac:dyDescent="0.25">
      <c r="A359" t="s">
        <v>664</v>
      </c>
      <c r="B359">
        <v>69</v>
      </c>
      <c r="C359" t="s">
        <v>29</v>
      </c>
      <c r="D359" t="s">
        <v>2485</v>
      </c>
      <c r="E359" t="s">
        <v>42</v>
      </c>
      <c r="F359" t="s">
        <v>43</v>
      </c>
      <c r="G359" t="s">
        <v>167</v>
      </c>
      <c r="H359" t="str">
        <f>TEXT(walmart[[#This Row],[Purchase_Date]],"DDD")</f>
        <v>Mon</v>
      </c>
      <c r="I359" t="str">
        <f>TEXT(walmart[[#This Row],[Purchase_Date]],"MMM")</f>
        <v>Jan</v>
      </c>
      <c r="J359" t="str">
        <f>TEXT(walmart[[#This Row],[Purchase_Date]],"YYY")</f>
        <v>2025</v>
      </c>
      <c r="K359" s="3">
        <v>512.94000000000005</v>
      </c>
      <c r="L359" t="str">
        <f t="shared" si="25"/>
        <v>10% off</v>
      </c>
      <c r="M359" s="3">
        <f t="shared" si="26"/>
        <v>51.294000000000011</v>
      </c>
      <c r="N359" t="str">
        <f t="shared" si="27"/>
        <v>Yes</v>
      </c>
      <c r="O359" t="s">
        <v>21</v>
      </c>
      <c r="P359" s="3">
        <f t="shared" si="28"/>
        <v>461.64600000000007</v>
      </c>
      <c r="Q359" t="s">
        <v>27</v>
      </c>
      <c r="R359">
        <v>2</v>
      </c>
      <c r="S359" t="str">
        <f t="shared" si="29"/>
        <v>Poor</v>
      </c>
    </row>
    <row r="360" spans="1:19" x14ac:dyDescent="0.25">
      <c r="A360" t="s">
        <v>665</v>
      </c>
      <c r="B360">
        <v>44</v>
      </c>
      <c r="C360" t="s">
        <v>16</v>
      </c>
      <c r="D360" t="s">
        <v>2486</v>
      </c>
      <c r="E360" t="s">
        <v>73</v>
      </c>
      <c r="F360" t="s">
        <v>94</v>
      </c>
      <c r="G360" t="s">
        <v>26</v>
      </c>
      <c r="H360" t="str">
        <f>TEXT(walmart[[#This Row],[Purchase_Date]],"DDD")</f>
        <v>Tue</v>
      </c>
      <c r="I360" t="str">
        <f>TEXT(walmart[[#This Row],[Purchase_Date]],"MMM")</f>
        <v>Nov</v>
      </c>
      <c r="J360" t="str">
        <f>TEXT(walmart[[#This Row],[Purchase_Date]],"YYY")</f>
        <v>2024</v>
      </c>
      <c r="K360" s="3">
        <v>965.09</v>
      </c>
      <c r="L360" t="str">
        <f t="shared" si="25"/>
        <v>20% off</v>
      </c>
      <c r="M360" s="3">
        <f t="shared" si="26"/>
        <v>193.01800000000003</v>
      </c>
      <c r="N360" t="str">
        <f t="shared" si="27"/>
        <v>Yes</v>
      </c>
      <c r="O360" t="s">
        <v>21</v>
      </c>
      <c r="P360" s="3">
        <f t="shared" si="28"/>
        <v>772.072</v>
      </c>
      <c r="Q360" t="s">
        <v>22</v>
      </c>
      <c r="R360">
        <v>5</v>
      </c>
      <c r="S360" t="str">
        <f t="shared" si="29"/>
        <v>Excellent</v>
      </c>
    </row>
    <row r="361" spans="1:19" x14ac:dyDescent="0.25">
      <c r="A361" t="s">
        <v>666</v>
      </c>
      <c r="B361">
        <v>26</v>
      </c>
      <c r="C361" t="s">
        <v>16</v>
      </c>
      <c r="D361" t="s">
        <v>2487</v>
      </c>
      <c r="E361" t="s">
        <v>37</v>
      </c>
      <c r="F361" t="s">
        <v>82</v>
      </c>
      <c r="G361" t="s">
        <v>439</v>
      </c>
      <c r="H361" t="str">
        <f>TEXT(walmart[[#This Row],[Purchase_Date]],"DDD")</f>
        <v>Sat</v>
      </c>
      <c r="I361" t="str">
        <f>TEXT(walmart[[#This Row],[Purchase_Date]],"MMM")</f>
        <v>Aug</v>
      </c>
      <c r="J361" t="str">
        <f>TEXT(walmart[[#This Row],[Purchase_Date]],"YYY")</f>
        <v>2024</v>
      </c>
      <c r="K361" s="3">
        <v>270.41000000000003</v>
      </c>
      <c r="L361" t="str">
        <f t="shared" si="25"/>
        <v>5% off</v>
      </c>
      <c r="M361" s="3">
        <f t="shared" si="26"/>
        <v>13.520500000000002</v>
      </c>
      <c r="N361" t="str">
        <f t="shared" si="27"/>
        <v>Yes</v>
      </c>
      <c r="O361" t="s">
        <v>21</v>
      </c>
      <c r="P361" s="3">
        <f t="shared" si="28"/>
        <v>256.8895</v>
      </c>
      <c r="Q361" t="s">
        <v>27</v>
      </c>
      <c r="R361">
        <v>3</v>
      </c>
      <c r="S361" t="str">
        <f t="shared" si="29"/>
        <v>Average</v>
      </c>
    </row>
    <row r="362" spans="1:19" x14ac:dyDescent="0.25">
      <c r="A362" t="s">
        <v>667</v>
      </c>
      <c r="B362">
        <v>44</v>
      </c>
      <c r="C362" t="s">
        <v>16</v>
      </c>
      <c r="D362" t="s">
        <v>2488</v>
      </c>
      <c r="E362" t="s">
        <v>73</v>
      </c>
      <c r="F362" t="s">
        <v>94</v>
      </c>
      <c r="G362" t="s">
        <v>226</v>
      </c>
      <c r="H362" t="str">
        <f>TEXT(walmart[[#This Row],[Purchase_Date]],"DDD")</f>
        <v>Tue</v>
      </c>
      <c r="I362" t="str">
        <f>TEXT(walmart[[#This Row],[Purchase_Date]],"MMM")</f>
        <v>Jan</v>
      </c>
      <c r="J362" t="str">
        <f>TEXT(walmart[[#This Row],[Purchase_Date]],"YYY")</f>
        <v>2025</v>
      </c>
      <c r="K362" s="3">
        <v>965.09</v>
      </c>
      <c r="L362" t="str">
        <f t="shared" si="25"/>
        <v>20% off</v>
      </c>
      <c r="M362" s="3">
        <f t="shared" si="26"/>
        <v>193.01800000000003</v>
      </c>
      <c r="N362" t="str">
        <f t="shared" si="27"/>
        <v>Yes</v>
      </c>
      <c r="O362" t="s">
        <v>21</v>
      </c>
      <c r="P362" s="3">
        <f t="shared" si="28"/>
        <v>772.072</v>
      </c>
      <c r="Q362" t="s">
        <v>27</v>
      </c>
      <c r="R362">
        <v>2</v>
      </c>
      <c r="S362" t="str">
        <f t="shared" si="29"/>
        <v>Poor</v>
      </c>
    </row>
    <row r="363" spans="1:19" x14ac:dyDescent="0.25">
      <c r="A363" t="s">
        <v>668</v>
      </c>
      <c r="B363">
        <v>35</v>
      </c>
      <c r="C363" t="s">
        <v>29</v>
      </c>
      <c r="D363" t="s">
        <v>2489</v>
      </c>
      <c r="E363" t="s">
        <v>18</v>
      </c>
      <c r="F363" t="s">
        <v>19</v>
      </c>
      <c r="G363" t="s">
        <v>323</v>
      </c>
      <c r="H363" t="str">
        <f>TEXT(walmart[[#This Row],[Purchase_Date]],"DDD")</f>
        <v>Tue</v>
      </c>
      <c r="I363" t="str">
        <f>TEXT(walmart[[#This Row],[Purchase_Date]],"MMM")</f>
        <v>Feb</v>
      </c>
      <c r="J363" t="str">
        <f>TEXT(walmart[[#This Row],[Purchase_Date]],"YYY")</f>
        <v>2025</v>
      </c>
      <c r="K363" s="3">
        <v>697.86</v>
      </c>
      <c r="L363" t="str">
        <f t="shared" si="25"/>
        <v>10% off</v>
      </c>
      <c r="M363" s="3">
        <f t="shared" si="26"/>
        <v>69.786000000000001</v>
      </c>
      <c r="N363" t="str">
        <f t="shared" si="27"/>
        <v>Yes</v>
      </c>
      <c r="O363" t="s">
        <v>34</v>
      </c>
      <c r="P363" s="3">
        <f t="shared" si="28"/>
        <v>628.07400000000007</v>
      </c>
      <c r="Q363" t="s">
        <v>27</v>
      </c>
      <c r="R363">
        <v>1</v>
      </c>
      <c r="S363" t="str">
        <f t="shared" si="29"/>
        <v>Very Poor</v>
      </c>
    </row>
    <row r="364" spans="1:19" x14ac:dyDescent="0.25">
      <c r="A364" t="s">
        <v>669</v>
      </c>
      <c r="B364">
        <v>39</v>
      </c>
      <c r="C364" t="s">
        <v>29</v>
      </c>
      <c r="D364" t="s">
        <v>2490</v>
      </c>
      <c r="E364" t="s">
        <v>55</v>
      </c>
      <c r="F364" t="s">
        <v>64</v>
      </c>
      <c r="G364" t="s">
        <v>670</v>
      </c>
      <c r="H364" t="str">
        <f>TEXT(walmart[[#This Row],[Purchase_Date]],"DDD")</f>
        <v>Wed</v>
      </c>
      <c r="I364" t="str">
        <f>TEXT(walmart[[#This Row],[Purchase_Date]],"MMM")</f>
        <v>Sep</v>
      </c>
      <c r="J364" t="str">
        <f>TEXT(walmart[[#This Row],[Purchase_Date]],"YYY")</f>
        <v>2024</v>
      </c>
      <c r="K364" s="3">
        <v>374.92</v>
      </c>
      <c r="L364" t="str">
        <f t="shared" si="25"/>
        <v>5% off</v>
      </c>
      <c r="M364" s="3">
        <f t="shared" si="26"/>
        <v>18.746000000000002</v>
      </c>
      <c r="N364" t="str">
        <f t="shared" si="27"/>
        <v>Yes</v>
      </c>
      <c r="O364" t="s">
        <v>34</v>
      </c>
      <c r="P364" s="3">
        <f t="shared" si="28"/>
        <v>356.17400000000004</v>
      </c>
      <c r="Q364" t="s">
        <v>47</v>
      </c>
      <c r="R364">
        <v>1</v>
      </c>
      <c r="S364" t="str">
        <f t="shared" si="29"/>
        <v>Very Poor</v>
      </c>
    </row>
    <row r="365" spans="1:19" x14ac:dyDescent="0.25">
      <c r="A365" t="s">
        <v>671</v>
      </c>
      <c r="B365">
        <v>34</v>
      </c>
      <c r="C365" t="s">
        <v>16</v>
      </c>
      <c r="D365" t="s">
        <v>2471</v>
      </c>
      <c r="E365" t="s">
        <v>37</v>
      </c>
      <c r="F365" t="s">
        <v>38</v>
      </c>
      <c r="G365" t="s">
        <v>672</v>
      </c>
      <c r="H365" t="str">
        <f>TEXT(walmart[[#This Row],[Purchase_Date]],"DDD")</f>
        <v>Sat</v>
      </c>
      <c r="I365" t="str">
        <f>TEXT(walmart[[#This Row],[Purchase_Date]],"MMM")</f>
        <v>Feb</v>
      </c>
      <c r="J365" t="str">
        <f>TEXT(walmart[[#This Row],[Purchase_Date]],"YYY")</f>
        <v>2025</v>
      </c>
      <c r="K365" s="3">
        <v>211.46</v>
      </c>
      <c r="L365" t="str">
        <f t="shared" si="25"/>
        <v>5% off</v>
      </c>
      <c r="M365" s="3">
        <f t="shared" si="26"/>
        <v>10.573</v>
      </c>
      <c r="N365" t="str">
        <f t="shared" si="27"/>
        <v>Yes</v>
      </c>
      <c r="O365" t="s">
        <v>21</v>
      </c>
      <c r="P365" s="3">
        <f t="shared" si="28"/>
        <v>200.887</v>
      </c>
      <c r="Q365" t="s">
        <v>22</v>
      </c>
      <c r="R365">
        <v>3</v>
      </c>
      <c r="S365" t="str">
        <f t="shared" si="29"/>
        <v>Average</v>
      </c>
    </row>
    <row r="366" spans="1:19" x14ac:dyDescent="0.25">
      <c r="A366" t="s">
        <v>673</v>
      </c>
      <c r="B366">
        <v>34</v>
      </c>
      <c r="C366" t="s">
        <v>16</v>
      </c>
      <c r="D366" t="s">
        <v>2491</v>
      </c>
      <c r="E366" t="s">
        <v>55</v>
      </c>
      <c r="F366" t="s">
        <v>64</v>
      </c>
      <c r="G366" t="s">
        <v>289</v>
      </c>
      <c r="H366" t="str">
        <f>TEXT(walmart[[#This Row],[Purchase_Date]],"DDD")</f>
        <v>Sat</v>
      </c>
      <c r="I366" t="str">
        <f>TEXT(walmart[[#This Row],[Purchase_Date]],"MMM")</f>
        <v>Sep</v>
      </c>
      <c r="J366" t="str">
        <f>TEXT(walmart[[#This Row],[Purchase_Date]],"YYY")</f>
        <v>2024</v>
      </c>
      <c r="K366" s="3">
        <v>374.92</v>
      </c>
      <c r="L366" t="str">
        <f t="shared" si="25"/>
        <v>5% off</v>
      </c>
      <c r="M366" s="3">
        <f t="shared" si="26"/>
        <v>18.746000000000002</v>
      </c>
      <c r="N366" t="str">
        <f t="shared" si="27"/>
        <v>Yes</v>
      </c>
      <c r="O366" t="s">
        <v>34</v>
      </c>
      <c r="P366" s="3">
        <f t="shared" si="28"/>
        <v>356.17400000000004</v>
      </c>
      <c r="Q366" t="s">
        <v>35</v>
      </c>
      <c r="R366">
        <v>1</v>
      </c>
      <c r="S366" t="str">
        <f t="shared" si="29"/>
        <v>Very Poor</v>
      </c>
    </row>
    <row r="367" spans="1:19" x14ac:dyDescent="0.25">
      <c r="A367" t="s">
        <v>674</v>
      </c>
      <c r="B367">
        <v>58</v>
      </c>
      <c r="C367" t="s">
        <v>29</v>
      </c>
      <c r="D367" t="s">
        <v>2492</v>
      </c>
      <c r="E367" t="s">
        <v>55</v>
      </c>
      <c r="F367" t="s">
        <v>64</v>
      </c>
      <c r="G367" t="s">
        <v>262</v>
      </c>
      <c r="H367" t="str">
        <f>TEXT(walmart[[#This Row],[Purchase_Date]],"DDD")</f>
        <v>Wed</v>
      </c>
      <c r="I367" t="str">
        <f>TEXT(walmart[[#This Row],[Purchase_Date]],"MMM")</f>
        <v>Sep</v>
      </c>
      <c r="J367" t="str">
        <f>TEXT(walmart[[#This Row],[Purchase_Date]],"YYY")</f>
        <v>2024</v>
      </c>
      <c r="K367" s="3">
        <v>374.92</v>
      </c>
      <c r="L367" t="str">
        <f t="shared" si="25"/>
        <v>5% off</v>
      </c>
      <c r="M367" s="3">
        <f t="shared" si="26"/>
        <v>18.746000000000002</v>
      </c>
      <c r="N367" t="str">
        <f t="shared" si="27"/>
        <v>Yes</v>
      </c>
      <c r="O367" t="s">
        <v>21</v>
      </c>
      <c r="P367" s="3">
        <f t="shared" si="28"/>
        <v>356.17400000000004</v>
      </c>
      <c r="Q367" t="s">
        <v>27</v>
      </c>
      <c r="R367">
        <v>4</v>
      </c>
      <c r="S367" t="str">
        <f t="shared" si="29"/>
        <v>Good</v>
      </c>
    </row>
    <row r="368" spans="1:19" x14ac:dyDescent="0.25">
      <c r="A368" t="s">
        <v>675</v>
      </c>
      <c r="B368">
        <v>37</v>
      </c>
      <c r="C368" t="s">
        <v>16</v>
      </c>
      <c r="D368" t="s">
        <v>2493</v>
      </c>
      <c r="E368" t="s">
        <v>55</v>
      </c>
      <c r="F368" t="s">
        <v>64</v>
      </c>
      <c r="G368" t="s">
        <v>306</v>
      </c>
      <c r="H368" t="str">
        <f>TEXT(walmart[[#This Row],[Purchase_Date]],"DDD")</f>
        <v>Sat</v>
      </c>
      <c r="I368" t="str">
        <f>TEXT(walmart[[#This Row],[Purchase_Date]],"MMM")</f>
        <v>Dec</v>
      </c>
      <c r="J368" t="str">
        <f>TEXT(walmart[[#This Row],[Purchase_Date]],"YYY")</f>
        <v>2024</v>
      </c>
      <c r="K368" s="3">
        <v>374.92</v>
      </c>
      <c r="L368" t="str">
        <f t="shared" si="25"/>
        <v>5% off</v>
      </c>
      <c r="M368" s="3">
        <f t="shared" si="26"/>
        <v>18.746000000000002</v>
      </c>
      <c r="N368" t="str">
        <f t="shared" si="27"/>
        <v>Yes</v>
      </c>
      <c r="O368" t="s">
        <v>21</v>
      </c>
      <c r="P368" s="3">
        <f t="shared" si="28"/>
        <v>356.17400000000004</v>
      </c>
      <c r="Q368" t="s">
        <v>47</v>
      </c>
      <c r="R368">
        <v>1</v>
      </c>
      <c r="S368" t="str">
        <f t="shared" si="29"/>
        <v>Very Poor</v>
      </c>
    </row>
    <row r="369" spans="1:19" x14ac:dyDescent="0.25">
      <c r="A369" t="s">
        <v>676</v>
      </c>
      <c r="B369">
        <v>21</v>
      </c>
      <c r="C369" t="s">
        <v>29</v>
      </c>
      <c r="D369" t="s">
        <v>2494</v>
      </c>
      <c r="E369" t="s">
        <v>24</v>
      </c>
      <c r="F369" t="s">
        <v>186</v>
      </c>
      <c r="G369" t="s">
        <v>385</v>
      </c>
      <c r="H369" t="str">
        <f>TEXT(walmart[[#This Row],[Purchase_Date]],"DDD")</f>
        <v>Wed</v>
      </c>
      <c r="I369" t="str">
        <f>TEXT(walmart[[#This Row],[Purchase_Date]],"MMM")</f>
        <v>Apr</v>
      </c>
      <c r="J369" t="str">
        <f>TEXT(walmart[[#This Row],[Purchase_Date]],"YYY")</f>
        <v>2024</v>
      </c>
      <c r="K369" s="3">
        <v>527.16999999999996</v>
      </c>
      <c r="L369" t="str">
        <f t="shared" si="25"/>
        <v>10% off</v>
      </c>
      <c r="M369" s="3">
        <f t="shared" si="26"/>
        <v>52.716999999999999</v>
      </c>
      <c r="N369" t="str">
        <f t="shared" si="27"/>
        <v>Yes</v>
      </c>
      <c r="O369" t="s">
        <v>21</v>
      </c>
      <c r="P369" s="3">
        <f t="shared" si="28"/>
        <v>474.45299999999997</v>
      </c>
      <c r="Q369" t="s">
        <v>47</v>
      </c>
      <c r="R369">
        <v>1</v>
      </c>
      <c r="S369" t="str">
        <f t="shared" si="29"/>
        <v>Very Poor</v>
      </c>
    </row>
    <row r="370" spans="1:19" x14ac:dyDescent="0.25">
      <c r="A370" t="s">
        <v>677</v>
      </c>
      <c r="B370">
        <v>27</v>
      </c>
      <c r="C370" t="s">
        <v>16</v>
      </c>
      <c r="D370" t="s">
        <v>2495</v>
      </c>
      <c r="E370" t="s">
        <v>18</v>
      </c>
      <c r="F370" t="s">
        <v>77</v>
      </c>
      <c r="G370" t="s">
        <v>594</v>
      </c>
      <c r="H370" t="str">
        <f>TEXT(walmart[[#This Row],[Purchase_Date]],"DDD")</f>
        <v>Thu</v>
      </c>
      <c r="I370" t="str">
        <f>TEXT(walmart[[#This Row],[Purchase_Date]],"MMM")</f>
        <v>Nov</v>
      </c>
      <c r="J370" t="str">
        <f>TEXT(walmart[[#This Row],[Purchase_Date]],"YYY")</f>
        <v>2024</v>
      </c>
      <c r="K370" s="3">
        <v>116.78</v>
      </c>
      <c r="L370" t="str">
        <f t="shared" si="25"/>
        <v>0% off</v>
      </c>
      <c r="M370" s="3">
        <f t="shared" si="26"/>
        <v>0</v>
      </c>
      <c r="N370" t="str">
        <f t="shared" si="27"/>
        <v>No</v>
      </c>
      <c r="O370" t="s">
        <v>21</v>
      </c>
      <c r="P370" s="3">
        <f t="shared" si="28"/>
        <v>116.78</v>
      </c>
      <c r="Q370" t="s">
        <v>47</v>
      </c>
      <c r="R370">
        <v>2</v>
      </c>
      <c r="S370" t="str">
        <f t="shared" si="29"/>
        <v>Poor</v>
      </c>
    </row>
    <row r="371" spans="1:19" x14ac:dyDescent="0.25">
      <c r="A371" t="s">
        <v>678</v>
      </c>
      <c r="B371">
        <v>70</v>
      </c>
      <c r="C371" t="s">
        <v>29</v>
      </c>
      <c r="D371" t="s">
        <v>2496</v>
      </c>
      <c r="E371" t="s">
        <v>37</v>
      </c>
      <c r="F371" t="s">
        <v>38</v>
      </c>
      <c r="G371" t="s">
        <v>555</v>
      </c>
      <c r="H371" t="str">
        <f>TEXT(walmart[[#This Row],[Purchase_Date]],"DDD")</f>
        <v>Mon</v>
      </c>
      <c r="I371" t="str">
        <f>TEXT(walmart[[#This Row],[Purchase_Date]],"MMM")</f>
        <v>Sep</v>
      </c>
      <c r="J371" t="str">
        <f>TEXT(walmart[[#This Row],[Purchase_Date]],"YYY")</f>
        <v>2024</v>
      </c>
      <c r="K371" s="3">
        <v>211.46</v>
      </c>
      <c r="L371" t="str">
        <f t="shared" si="25"/>
        <v>5% off</v>
      </c>
      <c r="M371" s="3">
        <f t="shared" si="26"/>
        <v>10.573</v>
      </c>
      <c r="N371" t="str">
        <f t="shared" si="27"/>
        <v>Yes</v>
      </c>
      <c r="O371" t="s">
        <v>34</v>
      </c>
      <c r="P371" s="3">
        <f t="shared" si="28"/>
        <v>200.887</v>
      </c>
      <c r="Q371" t="s">
        <v>47</v>
      </c>
      <c r="R371">
        <v>1</v>
      </c>
      <c r="S371" t="str">
        <f t="shared" si="29"/>
        <v>Very Poor</v>
      </c>
    </row>
    <row r="372" spans="1:19" x14ac:dyDescent="0.25">
      <c r="A372" t="s">
        <v>679</v>
      </c>
      <c r="B372">
        <v>20</v>
      </c>
      <c r="C372" t="s">
        <v>29</v>
      </c>
      <c r="D372" t="s">
        <v>2497</v>
      </c>
      <c r="E372" t="s">
        <v>37</v>
      </c>
      <c r="F372" t="s">
        <v>117</v>
      </c>
      <c r="G372" t="s">
        <v>140</v>
      </c>
      <c r="H372" t="str">
        <f>TEXT(walmart[[#This Row],[Purchase_Date]],"DDD")</f>
        <v>Sun</v>
      </c>
      <c r="I372" t="str">
        <f>TEXT(walmart[[#This Row],[Purchase_Date]],"MMM")</f>
        <v>Mar</v>
      </c>
      <c r="J372" t="str">
        <f>TEXT(walmart[[#This Row],[Purchase_Date]],"YYY")</f>
        <v>2025</v>
      </c>
      <c r="K372" s="3">
        <v>165.68</v>
      </c>
      <c r="L372" t="str">
        <f t="shared" si="25"/>
        <v>5% off</v>
      </c>
      <c r="M372" s="3">
        <f t="shared" si="26"/>
        <v>8.2840000000000007</v>
      </c>
      <c r="N372" t="str">
        <f t="shared" si="27"/>
        <v>Yes</v>
      </c>
      <c r="O372" t="s">
        <v>34</v>
      </c>
      <c r="P372" s="3">
        <f t="shared" si="28"/>
        <v>157.39600000000002</v>
      </c>
      <c r="Q372" t="s">
        <v>27</v>
      </c>
      <c r="R372">
        <v>5</v>
      </c>
      <c r="S372" t="str">
        <f t="shared" si="29"/>
        <v>Excellent</v>
      </c>
    </row>
    <row r="373" spans="1:19" x14ac:dyDescent="0.25">
      <c r="A373" t="s">
        <v>680</v>
      </c>
      <c r="B373">
        <v>54</v>
      </c>
      <c r="C373" t="s">
        <v>16</v>
      </c>
      <c r="D373" t="s">
        <v>2498</v>
      </c>
      <c r="E373" t="s">
        <v>37</v>
      </c>
      <c r="F373" t="s">
        <v>97</v>
      </c>
      <c r="G373" t="s">
        <v>681</v>
      </c>
      <c r="H373" t="str">
        <f>TEXT(walmart[[#This Row],[Purchase_Date]],"DDD")</f>
        <v>Sun</v>
      </c>
      <c r="I373" t="str">
        <f>TEXT(walmart[[#This Row],[Purchase_Date]],"MMM")</f>
        <v>Jun</v>
      </c>
      <c r="J373" t="str">
        <f>TEXT(walmart[[#This Row],[Purchase_Date]],"YYY")</f>
        <v>2024</v>
      </c>
      <c r="K373" s="3">
        <v>855.21</v>
      </c>
      <c r="L373" t="str">
        <f t="shared" si="25"/>
        <v>15% off</v>
      </c>
      <c r="M373" s="3">
        <f t="shared" si="26"/>
        <v>128.28149999999999</v>
      </c>
      <c r="N373" t="str">
        <f t="shared" si="27"/>
        <v>Yes</v>
      </c>
      <c r="O373" t="s">
        <v>21</v>
      </c>
      <c r="P373" s="3">
        <f t="shared" si="28"/>
        <v>726.92849999999999</v>
      </c>
      <c r="Q373" t="s">
        <v>22</v>
      </c>
      <c r="R373">
        <v>2</v>
      </c>
      <c r="S373" t="str">
        <f t="shared" si="29"/>
        <v>Poor</v>
      </c>
    </row>
    <row r="374" spans="1:19" x14ac:dyDescent="0.25">
      <c r="A374" t="s">
        <v>682</v>
      </c>
      <c r="B374">
        <v>56</v>
      </c>
      <c r="C374" t="s">
        <v>16</v>
      </c>
      <c r="D374" t="s">
        <v>2499</v>
      </c>
      <c r="E374" t="s">
        <v>24</v>
      </c>
      <c r="F374" t="s">
        <v>162</v>
      </c>
      <c r="G374" t="s">
        <v>383</v>
      </c>
      <c r="H374" t="str">
        <f>TEXT(walmart[[#This Row],[Purchase_Date]],"DDD")</f>
        <v>Mon</v>
      </c>
      <c r="I374" t="str">
        <f>TEXT(walmart[[#This Row],[Purchase_Date]],"MMM")</f>
        <v>Jun</v>
      </c>
      <c r="J374" t="str">
        <f>TEXT(walmart[[#This Row],[Purchase_Date]],"YYY")</f>
        <v>2024</v>
      </c>
      <c r="K374" s="3">
        <v>362.55</v>
      </c>
      <c r="L374" t="str">
        <f t="shared" si="25"/>
        <v>5% off</v>
      </c>
      <c r="M374" s="3">
        <f t="shared" si="26"/>
        <v>18.127500000000001</v>
      </c>
      <c r="N374" t="str">
        <f t="shared" si="27"/>
        <v>Yes</v>
      </c>
      <c r="O374" t="s">
        <v>34</v>
      </c>
      <c r="P374" s="3">
        <f t="shared" si="28"/>
        <v>344.42250000000001</v>
      </c>
      <c r="Q374" t="s">
        <v>27</v>
      </c>
      <c r="R374">
        <v>3</v>
      </c>
      <c r="S374" t="str">
        <f t="shared" si="29"/>
        <v>Average</v>
      </c>
    </row>
    <row r="375" spans="1:19" x14ac:dyDescent="0.25">
      <c r="A375" t="s">
        <v>683</v>
      </c>
      <c r="B375">
        <v>60</v>
      </c>
      <c r="C375" t="s">
        <v>29</v>
      </c>
      <c r="D375" t="s">
        <v>2500</v>
      </c>
      <c r="E375" t="s">
        <v>24</v>
      </c>
      <c r="F375" t="s">
        <v>209</v>
      </c>
      <c r="G375" t="s">
        <v>550</v>
      </c>
      <c r="H375" t="str">
        <f>TEXT(walmart[[#This Row],[Purchase_Date]],"DDD")</f>
        <v>Sun</v>
      </c>
      <c r="I375" t="str">
        <f>TEXT(walmart[[#This Row],[Purchase_Date]],"MMM")</f>
        <v>May</v>
      </c>
      <c r="J375" t="str">
        <f>TEXT(walmart[[#This Row],[Purchase_Date]],"YYY")</f>
        <v>2024</v>
      </c>
      <c r="K375" s="3">
        <v>775.75</v>
      </c>
      <c r="L375" t="str">
        <f t="shared" si="25"/>
        <v>15% off</v>
      </c>
      <c r="M375" s="3">
        <f t="shared" si="26"/>
        <v>116.3625</v>
      </c>
      <c r="N375" t="str">
        <f t="shared" si="27"/>
        <v>Yes</v>
      </c>
      <c r="O375" t="s">
        <v>34</v>
      </c>
      <c r="P375" s="3">
        <f t="shared" si="28"/>
        <v>659.38750000000005</v>
      </c>
      <c r="Q375" t="s">
        <v>47</v>
      </c>
      <c r="R375">
        <v>5</v>
      </c>
      <c r="S375" t="str">
        <f t="shared" si="29"/>
        <v>Excellent</v>
      </c>
    </row>
    <row r="376" spans="1:19" x14ac:dyDescent="0.25">
      <c r="A376" t="s">
        <v>684</v>
      </c>
      <c r="B376">
        <v>67</v>
      </c>
      <c r="C376" t="s">
        <v>29</v>
      </c>
      <c r="D376" t="s">
        <v>2501</v>
      </c>
      <c r="E376" t="s">
        <v>55</v>
      </c>
      <c r="F376" t="s">
        <v>67</v>
      </c>
      <c r="G376" t="s">
        <v>685</v>
      </c>
      <c r="H376" t="str">
        <f>TEXT(walmart[[#This Row],[Purchase_Date]],"DDD")</f>
        <v>Fri</v>
      </c>
      <c r="I376" t="str">
        <f>TEXT(walmart[[#This Row],[Purchase_Date]],"MMM")</f>
        <v>May</v>
      </c>
      <c r="J376" t="str">
        <f>TEXT(walmart[[#This Row],[Purchase_Date]],"YYY")</f>
        <v>2024</v>
      </c>
      <c r="K376" s="3">
        <v>452.97</v>
      </c>
      <c r="L376" t="str">
        <f t="shared" si="25"/>
        <v>5% off</v>
      </c>
      <c r="M376" s="3">
        <f t="shared" si="26"/>
        <v>22.648500000000002</v>
      </c>
      <c r="N376" t="str">
        <f t="shared" si="27"/>
        <v>Yes</v>
      </c>
      <c r="O376" t="s">
        <v>34</v>
      </c>
      <c r="P376" s="3">
        <f t="shared" si="28"/>
        <v>430.32150000000001</v>
      </c>
      <c r="Q376" t="s">
        <v>22</v>
      </c>
      <c r="R376">
        <v>1</v>
      </c>
      <c r="S376" t="str">
        <f t="shared" si="29"/>
        <v>Very Poor</v>
      </c>
    </row>
    <row r="377" spans="1:19" x14ac:dyDescent="0.25">
      <c r="A377" t="s">
        <v>686</v>
      </c>
      <c r="B377">
        <v>52</v>
      </c>
      <c r="C377" t="s">
        <v>16</v>
      </c>
      <c r="D377" t="s">
        <v>2502</v>
      </c>
      <c r="E377" t="s">
        <v>31</v>
      </c>
      <c r="F377" t="s">
        <v>32</v>
      </c>
      <c r="G377" t="s">
        <v>628</v>
      </c>
      <c r="H377" t="str">
        <f>TEXT(walmart[[#This Row],[Purchase_Date]],"DDD")</f>
        <v>Wed</v>
      </c>
      <c r="I377" t="str">
        <f>TEXT(walmart[[#This Row],[Purchase_Date]],"MMM")</f>
        <v>Nov</v>
      </c>
      <c r="J377" t="str">
        <f>TEXT(walmart[[#This Row],[Purchase_Date]],"YYY")</f>
        <v>2024</v>
      </c>
      <c r="K377" s="3">
        <v>493.96</v>
      </c>
      <c r="L377" t="str">
        <f t="shared" si="25"/>
        <v>5% off</v>
      </c>
      <c r="M377" s="3">
        <f t="shared" si="26"/>
        <v>24.698</v>
      </c>
      <c r="N377" t="str">
        <f t="shared" si="27"/>
        <v>Yes</v>
      </c>
      <c r="O377" t="s">
        <v>21</v>
      </c>
      <c r="P377" s="3">
        <f t="shared" si="28"/>
        <v>469.262</v>
      </c>
      <c r="Q377" t="s">
        <v>47</v>
      </c>
      <c r="R377">
        <v>1</v>
      </c>
      <c r="S377" t="str">
        <f t="shared" si="29"/>
        <v>Very Poor</v>
      </c>
    </row>
    <row r="378" spans="1:19" x14ac:dyDescent="0.25">
      <c r="A378" t="s">
        <v>687</v>
      </c>
      <c r="B378">
        <v>28</v>
      </c>
      <c r="C378" t="s">
        <v>16</v>
      </c>
      <c r="D378" t="s">
        <v>2503</v>
      </c>
      <c r="E378" t="s">
        <v>37</v>
      </c>
      <c r="F378" t="s">
        <v>38</v>
      </c>
      <c r="G378" t="s">
        <v>234</v>
      </c>
      <c r="H378" t="str">
        <f>TEXT(walmart[[#This Row],[Purchase_Date]],"DDD")</f>
        <v>Fri</v>
      </c>
      <c r="I378" t="str">
        <f>TEXT(walmart[[#This Row],[Purchase_Date]],"MMM")</f>
        <v>Jul</v>
      </c>
      <c r="J378" t="str">
        <f>TEXT(walmart[[#This Row],[Purchase_Date]],"YYY")</f>
        <v>2024</v>
      </c>
      <c r="K378" s="3">
        <v>211.46</v>
      </c>
      <c r="L378" t="str">
        <f t="shared" si="25"/>
        <v>5% off</v>
      </c>
      <c r="M378" s="3">
        <f t="shared" si="26"/>
        <v>10.573</v>
      </c>
      <c r="N378" t="str">
        <f t="shared" si="27"/>
        <v>Yes</v>
      </c>
      <c r="O378" t="s">
        <v>21</v>
      </c>
      <c r="P378" s="3">
        <f t="shared" si="28"/>
        <v>200.887</v>
      </c>
      <c r="Q378" t="s">
        <v>22</v>
      </c>
      <c r="R378">
        <v>3</v>
      </c>
      <c r="S378" t="str">
        <f t="shared" si="29"/>
        <v>Average</v>
      </c>
    </row>
    <row r="379" spans="1:19" x14ac:dyDescent="0.25">
      <c r="A379" t="s">
        <v>688</v>
      </c>
      <c r="B379">
        <v>52</v>
      </c>
      <c r="C379" t="s">
        <v>29</v>
      </c>
      <c r="D379" t="s">
        <v>2504</v>
      </c>
      <c r="E379" t="s">
        <v>31</v>
      </c>
      <c r="F379" t="s">
        <v>300</v>
      </c>
      <c r="G379" t="s">
        <v>555</v>
      </c>
      <c r="H379" t="str">
        <f>TEXT(walmart[[#This Row],[Purchase_Date]],"DDD")</f>
        <v>Mon</v>
      </c>
      <c r="I379" t="str">
        <f>TEXT(walmart[[#This Row],[Purchase_Date]],"MMM")</f>
        <v>Sep</v>
      </c>
      <c r="J379" t="str">
        <f>TEXT(walmart[[#This Row],[Purchase_Date]],"YYY")</f>
        <v>2024</v>
      </c>
      <c r="K379" s="3">
        <v>340.04</v>
      </c>
      <c r="L379" t="str">
        <f t="shared" si="25"/>
        <v>5% off</v>
      </c>
      <c r="M379" s="3">
        <f t="shared" si="26"/>
        <v>17.002000000000002</v>
      </c>
      <c r="N379" t="str">
        <f t="shared" si="27"/>
        <v>Yes</v>
      </c>
      <c r="O379" t="s">
        <v>34</v>
      </c>
      <c r="P379" s="3">
        <f t="shared" si="28"/>
        <v>323.03800000000001</v>
      </c>
      <c r="Q379" t="s">
        <v>47</v>
      </c>
      <c r="R379">
        <v>1</v>
      </c>
      <c r="S379" t="str">
        <f t="shared" si="29"/>
        <v>Very Poor</v>
      </c>
    </row>
    <row r="380" spans="1:19" x14ac:dyDescent="0.25">
      <c r="A380" t="s">
        <v>689</v>
      </c>
      <c r="B380">
        <v>44</v>
      </c>
      <c r="C380" t="s">
        <v>29</v>
      </c>
      <c r="D380" t="s">
        <v>2505</v>
      </c>
      <c r="E380" t="s">
        <v>73</v>
      </c>
      <c r="F380" t="s">
        <v>138</v>
      </c>
      <c r="G380" t="s">
        <v>647</v>
      </c>
      <c r="H380" t="str">
        <f>TEXT(walmart[[#This Row],[Purchase_Date]],"DDD")</f>
        <v>Wed</v>
      </c>
      <c r="I380" t="str">
        <f>TEXT(walmart[[#This Row],[Purchase_Date]],"MMM")</f>
        <v>Oct</v>
      </c>
      <c r="J380" t="str">
        <f>TEXT(walmart[[#This Row],[Purchase_Date]],"YYY")</f>
        <v>2024</v>
      </c>
      <c r="K380" s="3">
        <v>461.81</v>
      </c>
      <c r="L380" t="str">
        <f t="shared" si="25"/>
        <v>5% off</v>
      </c>
      <c r="M380" s="3">
        <f t="shared" si="26"/>
        <v>23.090500000000002</v>
      </c>
      <c r="N380" t="str">
        <f t="shared" si="27"/>
        <v>Yes</v>
      </c>
      <c r="O380" t="s">
        <v>34</v>
      </c>
      <c r="P380" s="3">
        <f t="shared" si="28"/>
        <v>438.71949999999998</v>
      </c>
      <c r="Q380" t="s">
        <v>22</v>
      </c>
      <c r="R380">
        <v>2</v>
      </c>
      <c r="S380" t="str">
        <f t="shared" si="29"/>
        <v>Poor</v>
      </c>
    </row>
    <row r="381" spans="1:19" x14ac:dyDescent="0.25">
      <c r="A381" t="s">
        <v>690</v>
      </c>
      <c r="B381">
        <v>47</v>
      </c>
      <c r="C381" t="s">
        <v>29</v>
      </c>
      <c r="D381" t="s">
        <v>2506</v>
      </c>
      <c r="E381" t="s">
        <v>37</v>
      </c>
      <c r="F381" t="s">
        <v>117</v>
      </c>
      <c r="G381" t="s">
        <v>467</v>
      </c>
      <c r="H381" t="str">
        <f>TEXT(walmart[[#This Row],[Purchase_Date]],"DDD")</f>
        <v>Fri</v>
      </c>
      <c r="I381" t="str">
        <f>TEXT(walmart[[#This Row],[Purchase_Date]],"MMM")</f>
        <v>Apr</v>
      </c>
      <c r="J381" t="str">
        <f>TEXT(walmart[[#This Row],[Purchase_Date]],"YYY")</f>
        <v>2024</v>
      </c>
      <c r="K381" s="3">
        <v>165.68</v>
      </c>
      <c r="L381" t="str">
        <f t="shared" si="25"/>
        <v>5% off</v>
      </c>
      <c r="M381" s="3">
        <f t="shared" si="26"/>
        <v>8.2840000000000007</v>
      </c>
      <c r="N381" t="str">
        <f t="shared" si="27"/>
        <v>Yes</v>
      </c>
      <c r="O381" t="s">
        <v>34</v>
      </c>
      <c r="P381" s="3">
        <f t="shared" si="28"/>
        <v>157.39600000000002</v>
      </c>
      <c r="Q381" t="s">
        <v>27</v>
      </c>
      <c r="R381">
        <v>3</v>
      </c>
      <c r="S381" t="str">
        <f t="shared" si="29"/>
        <v>Average</v>
      </c>
    </row>
    <row r="382" spans="1:19" x14ac:dyDescent="0.25">
      <c r="A382" t="s">
        <v>691</v>
      </c>
      <c r="B382">
        <v>66</v>
      </c>
      <c r="C382" t="s">
        <v>29</v>
      </c>
      <c r="D382" t="s">
        <v>2507</v>
      </c>
      <c r="E382" t="s">
        <v>18</v>
      </c>
      <c r="F382" t="s">
        <v>77</v>
      </c>
      <c r="G382" t="s">
        <v>692</v>
      </c>
      <c r="H382" t="str">
        <f>TEXT(walmart[[#This Row],[Purchase_Date]],"DDD")</f>
        <v>Sun</v>
      </c>
      <c r="I382" t="str">
        <f>TEXT(walmart[[#This Row],[Purchase_Date]],"MMM")</f>
        <v>Mar</v>
      </c>
      <c r="J382" t="str">
        <f>TEXT(walmart[[#This Row],[Purchase_Date]],"YYY")</f>
        <v>2024</v>
      </c>
      <c r="K382" s="3">
        <v>116.78</v>
      </c>
      <c r="L382" t="str">
        <f t="shared" si="25"/>
        <v>0% off</v>
      </c>
      <c r="M382" s="3">
        <f t="shared" si="26"/>
        <v>0</v>
      </c>
      <c r="N382" t="str">
        <f t="shared" si="27"/>
        <v>No</v>
      </c>
      <c r="O382" t="s">
        <v>34</v>
      </c>
      <c r="P382" s="3">
        <f t="shared" si="28"/>
        <v>116.78</v>
      </c>
      <c r="Q382" t="s">
        <v>47</v>
      </c>
      <c r="R382">
        <v>1</v>
      </c>
      <c r="S382" t="str">
        <f t="shared" si="29"/>
        <v>Very Poor</v>
      </c>
    </row>
    <row r="383" spans="1:19" x14ac:dyDescent="0.25">
      <c r="A383" t="s">
        <v>693</v>
      </c>
      <c r="B383">
        <v>36</v>
      </c>
      <c r="C383" t="s">
        <v>29</v>
      </c>
      <c r="D383" t="s">
        <v>2508</v>
      </c>
      <c r="E383" t="s">
        <v>31</v>
      </c>
      <c r="F383" t="s">
        <v>169</v>
      </c>
      <c r="G383" t="s">
        <v>694</v>
      </c>
      <c r="H383" t="str">
        <f>TEXT(walmart[[#This Row],[Purchase_Date]],"DDD")</f>
        <v>Thu</v>
      </c>
      <c r="I383" t="str">
        <f>TEXT(walmart[[#This Row],[Purchase_Date]],"MMM")</f>
        <v>Dec</v>
      </c>
      <c r="J383" t="str">
        <f>TEXT(walmart[[#This Row],[Purchase_Date]],"YYY")</f>
        <v>2024</v>
      </c>
      <c r="K383" s="3">
        <v>52.44</v>
      </c>
      <c r="L383" t="str">
        <f t="shared" si="25"/>
        <v>0% off</v>
      </c>
      <c r="M383" s="3">
        <f t="shared" si="26"/>
        <v>0</v>
      </c>
      <c r="N383" t="str">
        <f t="shared" si="27"/>
        <v>No</v>
      </c>
      <c r="O383" t="s">
        <v>21</v>
      </c>
      <c r="P383" s="3">
        <f t="shared" si="28"/>
        <v>52.44</v>
      </c>
      <c r="Q383" t="s">
        <v>47</v>
      </c>
      <c r="R383">
        <v>5</v>
      </c>
      <c r="S383" t="str">
        <f t="shared" si="29"/>
        <v>Excellent</v>
      </c>
    </row>
    <row r="384" spans="1:19" x14ac:dyDescent="0.25">
      <c r="A384" t="s">
        <v>695</v>
      </c>
      <c r="B384">
        <v>34</v>
      </c>
      <c r="C384" t="s">
        <v>16</v>
      </c>
      <c r="D384" t="s">
        <v>2509</v>
      </c>
      <c r="E384" t="s">
        <v>24</v>
      </c>
      <c r="F384" t="s">
        <v>162</v>
      </c>
      <c r="G384" t="s">
        <v>696</v>
      </c>
      <c r="H384" t="str">
        <f>TEXT(walmart[[#This Row],[Purchase_Date]],"DDD")</f>
        <v>Thu</v>
      </c>
      <c r="I384" t="str">
        <f>TEXT(walmart[[#This Row],[Purchase_Date]],"MMM")</f>
        <v>Nov</v>
      </c>
      <c r="J384" t="str">
        <f>TEXT(walmart[[#This Row],[Purchase_Date]],"YYY")</f>
        <v>2024</v>
      </c>
      <c r="K384" s="3">
        <v>362.55</v>
      </c>
      <c r="L384" t="str">
        <f t="shared" si="25"/>
        <v>5% off</v>
      </c>
      <c r="M384" s="3">
        <f t="shared" si="26"/>
        <v>18.127500000000001</v>
      </c>
      <c r="N384" t="str">
        <f t="shared" si="27"/>
        <v>Yes</v>
      </c>
      <c r="O384" t="s">
        <v>21</v>
      </c>
      <c r="P384" s="3">
        <f t="shared" si="28"/>
        <v>344.42250000000001</v>
      </c>
      <c r="Q384" t="s">
        <v>35</v>
      </c>
      <c r="R384">
        <v>5</v>
      </c>
      <c r="S384" t="str">
        <f t="shared" si="29"/>
        <v>Excellent</v>
      </c>
    </row>
    <row r="385" spans="1:19" x14ac:dyDescent="0.25">
      <c r="A385" t="s">
        <v>697</v>
      </c>
      <c r="B385">
        <v>37</v>
      </c>
      <c r="C385" t="s">
        <v>29</v>
      </c>
      <c r="D385" t="s">
        <v>2510</v>
      </c>
      <c r="E385" t="s">
        <v>55</v>
      </c>
      <c r="F385" t="s">
        <v>56</v>
      </c>
      <c r="G385" t="s">
        <v>272</v>
      </c>
      <c r="H385" t="str">
        <f>TEXT(walmart[[#This Row],[Purchase_Date]],"DDD")</f>
        <v>Mon</v>
      </c>
      <c r="I385" t="str">
        <f>TEXT(walmart[[#This Row],[Purchase_Date]],"MMM")</f>
        <v>Jan</v>
      </c>
      <c r="J385" t="str">
        <f>TEXT(walmart[[#This Row],[Purchase_Date]],"YYY")</f>
        <v>2025</v>
      </c>
      <c r="K385" s="3">
        <v>76.81</v>
      </c>
      <c r="L385" t="str">
        <f t="shared" si="25"/>
        <v>0% off</v>
      </c>
      <c r="M385" s="3">
        <f t="shared" si="26"/>
        <v>0</v>
      </c>
      <c r="N385" t="str">
        <f t="shared" si="27"/>
        <v>No</v>
      </c>
      <c r="O385" t="s">
        <v>34</v>
      </c>
      <c r="P385" s="3">
        <f t="shared" si="28"/>
        <v>76.81</v>
      </c>
      <c r="Q385" t="s">
        <v>35</v>
      </c>
      <c r="R385">
        <v>1</v>
      </c>
      <c r="S385" t="str">
        <f t="shared" si="29"/>
        <v>Very Poor</v>
      </c>
    </row>
    <row r="386" spans="1:19" x14ac:dyDescent="0.25">
      <c r="A386" t="s">
        <v>698</v>
      </c>
      <c r="B386">
        <v>48</v>
      </c>
      <c r="C386" t="s">
        <v>16</v>
      </c>
      <c r="D386" t="s">
        <v>2511</v>
      </c>
      <c r="E386" t="s">
        <v>42</v>
      </c>
      <c r="F386" t="s">
        <v>120</v>
      </c>
      <c r="G386" t="s">
        <v>124</v>
      </c>
      <c r="H386" t="str">
        <f>TEXT(walmart[[#This Row],[Purchase_Date]],"DDD")</f>
        <v>Sun</v>
      </c>
      <c r="I386" t="str">
        <f>TEXT(walmart[[#This Row],[Purchase_Date]],"MMM")</f>
        <v>Feb</v>
      </c>
      <c r="J386" t="str">
        <f>TEXT(walmart[[#This Row],[Purchase_Date]],"YYY")</f>
        <v>2025</v>
      </c>
      <c r="K386" s="3">
        <v>260.77999999999997</v>
      </c>
      <c r="L386" t="str">
        <f t="shared" si="25"/>
        <v>5% off</v>
      </c>
      <c r="M386" s="3">
        <f t="shared" si="26"/>
        <v>13.039</v>
      </c>
      <c r="N386" t="str">
        <f t="shared" si="27"/>
        <v>Yes</v>
      </c>
      <c r="O386" t="s">
        <v>34</v>
      </c>
      <c r="P386" s="3">
        <f t="shared" si="28"/>
        <v>247.74099999999999</v>
      </c>
      <c r="Q386" t="s">
        <v>35</v>
      </c>
      <c r="R386">
        <v>1</v>
      </c>
      <c r="S386" t="str">
        <f t="shared" si="29"/>
        <v>Very Poor</v>
      </c>
    </row>
    <row r="387" spans="1:19" x14ac:dyDescent="0.25">
      <c r="A387" t="s">
        <v>699</v>
      </c>
      <c r="B387">
        <v>21</v>
      </c>
      <c r="C387" t="s">
        <v>16</v>
      </c>
      <c r="D387" t="s">
        <v>2512</v>
      </c>
      <c r="E387" t="s">
        <v>42</v>
      </c>
      <c r="F387" t="s">
        <v>52</v>
      </c>
      <c r="G387" t="s">
        <v>80</v>
      </c>
      <c r="H387" t="str">
        <f>TEXT(walmart[[#This Row],[Purchase_Date]],"DDD")</f>
        <v>Thu</v>
      </c>
      <c r="I387" t="str">
        <f>TEXT(walmart[[#This Row],[Purchase_Date]],"MMM")</f>
        <v>Feb</v>
      </c>
      <c r="J387" t="str">
        <f>TEXT(walmart[[#This Row],[Purchase_Date]],"YYY")</f>
        <v>2025</v>
      </c>
      <c r="K387" s="3">
        <v>988.77</v>
      </c>
      <c r="L387" t="str">
        <f t="shared" ref="L387:L450" si="30">IF(K387&lt;150,"0% off",IF(K387&lt;500,"5% off",IF(K387&lt;700,"10% off",IF(K387&lt;900,"15% off","20% off"))))</f>
        <v>20% off</v>
      </c>
      <c r="M387" s="3">
        <f t="shared" ref="M387:M450" si="31">K387 * (LEFT(L387, LEN(L387)-5) / 100)</f>
        <v>197.75400000000002</v>
      </c>
      <c r="N387" t="str">
        <f t="shared" ref="N387:N450" si="32">IF(L387="0% off", "No", "Yes")</f>
        <v>Yes</v>
      </c>
      <c r="O387" t="s">
        <v>21</v>
      </c>
      <c r="P387" s="3">
        <f t="shared" ref="P387:P450" si="33">K387-M387</f>
        <v>791.01599999999996</v>
      </c>
      <c r="Q387" t="s">
        <v>35</v>
      </c>
      <c r="R387">
        <v>4</v>
      </c>
      <c r="S387" t="str">
        <f t="shared" ref="S387:S450" si="34">IF(R387=5, "Excellent", IF(R387=4, "Good", IF(R387=3, "Average", IF(R387=2, "Poor", IF(R387=1, "Very Poor", "Invalid Rating")))))</f>
        <v>Good</v>
      </c>
    </row>
    <row r="388" spans="1:19" x14ac:dyDescent="0.25">
      <c r="A388" t="s">
        <v>700</v>
      </c>
      <c r="B388">
        <v>50</v>
      </c>
      <c r="C388" t="s">
        <v>16</v>
      </c>
      <c r="D388" t="s">
        <v>2513</v>
      </c>
      <c r="E388" t="s">
        <v>55</v>
      </c>
      <c r="F388" t="s">
        <v>56</v>
      </c>
      <c r="G388" t="s">
        <v>167</v>
      </c>
      <c r="H388" t="str">
        <f>TEXT(walmart[[#This Row],[Purchase_Date]],"DDD")</f>
        <v>Mon</v>
      </c>
      <c r="I388" t="str">
        <f>TEXT(walmart[[#This Row],[Purchase_Date]],"MMM")</f>
        <v>Jan</v>
      </c>
      <c r="J388" t="str">
        <f>TEXT(walmart[[#This Row],[Purchase_Date]],"YYY")</f>
        <v>2025</v>
      </c>
      <c r="K388" s="3">
        <v>76.81</v>
      </c>
      <c r="L388" t="str">
        <f t="shared" si="30"/>
        <v>0% off</v>
      </c>
      <c r="M388" s="3">
        <f t="shared" si="31"/>
        <v>0</v>
      </c>
      <c r="N388" t="str">
        <f t="shared" si="32"/>
        <v>No</v>
      </c>
      <c r="O388" t="s">
        <v>21</v>
      </c>
      <c r="P388" s="3">
        <f t="shared" si="33"/>
        <v>76.81</v>
      </c>
      <c r="Q388" t="s">
        <v>47</v>
      </c>
      <c r="R388">
        <v>4</v>
      </c>
      <c r="S388" t="str">
        <f t="shared" si="34"/>
        <v>Good</v>
      </c>
    </row>
    <row r="389" spans="1:19" x14ac:dyDescent="0.25">
      <c r="A389" t="s">
        <v>701</v>
      </c>
      <c r="B389">
        <v>28</v>
      </c>
      <c r="C389" t="s">
        <v>29</v>
      </c>
      <c r="D389" t="s">
        <v>2514</v>
      </c>
      <c r="E389" t="s">
        <v>18</v>
      </c>
      <c r="F389" t="s">
        <v>19</v>
      </c>
      <c r="G389" t="s">
        <v>234</v>
      </c>
      <c r="H389" t="str">
        <f>TEXT(walmart[[#This Row],[Purchase_Date]],"DDD")</f>
        <v>Fri</v>
      </c>
      <c r="I389" t="str">
        <f>TEXT(walmart[[#This Row],[Purchase_Date]],"MMM")</f>
        <v>Jul</v>
      </c>
      <c r="J389" t="str">
        <f>TEXT(walmart[[#This Row],[Purchase_Date]],"YYY")</f>
        <v>2024</v>
      </c>
      <c r="K389" s="3">
        <v>697.86</v>
      </c>
      <c r="L389" t="str">
        <f t="shared" si="30"/>
        <v>10% off</v>
      </c>
      <c r="M389" s="3">
        <f t="shared" si="31"/>
        <v>69.786000000000001</v>
      </c>
      <c r="N389" t="str">
        <f t="shared" si="32"/>
        <v>Yes</v>
      </c>
      <c r="O389" t="s">
        <v>34</v>
      </c>
      <c r="P389" s="3">
        <f t="shared" si="33"/>
        <v>628.07400000000007</v>
      </c>
      <c r="Q389" t="s">
        <v>47</v>
      </c>
      <c r="R389">
        <v>4</v>
      </c>
      <c r="S389" t="str">
        <f t="shared" si="34"/>
        <v>Good</v>
      </c>
    </row>
    <row r="390" spans="1:19" x14ac:dyDescent="0.25">
      <c r="A390" t="s">
        <v>702</v>
      </c>
      <c r="B390">
        <v>60</v>
      </c>
      <c r="C390" t="s">
        <v>29</v>
      </c>
      <c r="D390" t="s">
        <v>2515</v>
      </c>
      <c r="E390" t="s">
        <v>37</v>
      </c>
      <c r="F390" t="s">
        <v>82</v>
      </c>
      <c r="G390" t="s">
        <v>315</v>
      </c>
      <c r="H390" t="str">
        <f>TEXT(walmart[[#This Row],[Purchase_Date]],"DDD")</f>
        <v>Mon</v>
      </c>
      <c r="I390" t="str">
        <f>TEXT(walmart[[#This Row],[Purchase_Date]],"MMM")</f>
        <v>Apr</v>
      </c>
      <c r="J390" t="str">
        <f>TEXT(walmart[[#This Row],[Purchase_Date]],"YYY")</f>
        <v>2024</v>
      </c>
      <c r="K390" s="3">
        <v>270.41000000000003</v>
      </c>
      <c r="L390" t="str">
        <f t="shared" si="30"/>
        <v>5% off</v>
      </c>
      <c r="M390" s="3">
        <f t="shared" si="31"/>
        <v>13.520500000000002</v>
      </c>
      <c r="N390" t="str">
        <f t="shared" si="32"/>
        <v>Yes</v>
      </c>
      <c r="O390" t="s">
        <v>34</v>
      </c>
      <c r="P390" s="3">
        <f t="shared" si="33"/>
        <v>256.8895</v>
      </c>
      <c r="Q390" t="s">
        <v>35</v>
      </c>
      <c r="R390">
        <v>1</v>
      </c>
      <c r="S390" t="str">
        <f t="shared" si="34"/>
        <v>Very Poor</v>
      </c>
    </row>
    <row r="391" spans="1:19" x14ac:dyDescent="0.25">
      <c r="A391" t="s">
        <v>703</v>
      </c>
      <c r="B391">
        <v>60</v>
      </c>
      <c r="C391" t="s">
        <v>16</v>
      </c>
      <c r="D391" t="s">
        <v>2516</v>
      </c>
      <c r="E391" t="s">
        <v>24</v>
      </c>
      <c r="F391" t="s">
        <v>162</v>
      </c>
      <c r="G391" t="s">
        <v>704</v>
      </c>
      <c r="H391" t="str">
        <f>TEXT(walmart[[#This Row],[Purchase_Date]],"DDD")</f>
        <v>Wed</v>
      </c>
      <c r="I391" t="str">
        <f>TEXT(walmart[[#This Row],[Purchase_Date]],"MMM")</f>
        <v>Jul</v>
      </c>
      <c r="J391" t="str">
        <f>TEXT(walmart[[#This Row],[Purchase_Date]],"YYY")</f>
        <v>2024</v>
      </c>
      <c r="K391" s="3">
        <v>362.55</v>
      </c>
      <c r="L391" t="str">
        <f t="shared" si="30"/>
        <v>5% off</v>
      </c>
      <c r="M391" s="3">
        <f t="shared" si="31"/>
        <v>18.127500000000001</v>
      </c>
      <c r="N391" t="str">
        <f t="shared" si="32"/>
        <v>Yes</v>
      </c>
      <c r="O391" t="s">
        <v>21</v>
      </c>
      <c r="P391" s="3">
        <f t="shared" si="33"/>
        <v>344.42250000000001</v>
      </c>
      <c r="Q391" t="s">
        <v>47</v>
      </c>
      <c r="R391">
        <v>1</v>
      </c>
      <c r="S391" t="str">
        <f t="shared" si="34"/>
        <v>Very Poor</v>
      </c>
    </row>
    <row r="392" spans="1:19" x14ac:dyDescent="0.25">
      <c r="A392" t="s">
        <v>705</v>
      </c>
      <c r="B392">
        <v>45</v>
      </c>
      <c r="C392" t="s">
        <v>16</v>
      </c>
      <c r="D392" t="s">
        <v>2517</v>
      </c>
      <c r="E392" t="s">
        <v>37</v>
      </c>
      <c r="F392" t="s">
        <v>97</v>
      </c>
      <c r="G392" t="s">
        <v>199</v>
      </c>
      <c r="H392" t="str">
        <f>TEXT(walmart[[#This Row],[Purchase_Date]],"DDD")</f>
        <v>Sun</v>
      </c>
      <c r="I392" t="str">
        <f>TEXT(walmart[[#This Row],[Purchase_Date]],"MMM")</f>
        <v>May</v>
      </c>
      <c r="J392" t="str">
        <f>TEXT(walmart[[#This Row],[Purchase_Date]],"YYY")</f>
        <v>2024</v>
      </c>
      <c r="K392" s="3">
        <v>855.21</v>
      </c>
      <c r="L392" t="str">
        <f t="shared" si="30"/>
        <v>15% off</v>
      </c>
      <c r="M392" s="3">
        <f t="shared" si="31"/>
        <v>128.28149999999999</v>
      </c>
      <c r="N392" t="str">
        <f t="shared" si="32"/>
        <v>Yes</v>
      </c>
      <c r="O392" t="s">
        <v>21</v>
      </c>
      <c r="P392" s="3">
        <f t="shared" si="33"/>
        <v>726.92849999999999</v>
      </c>
      <c r="Q392" t="s">
        <v>47</v>
      </c>
      <c r="R392">
        <v>4</v>
      </c>
      <c r="S392" t="str">
        <f t="shared" si="34"/>
        <v>Good</v>
      </c>
    </row>
    <row r="393" spans="1:19" x14ac:dyDescent="0.25">
      <c r="A393" t="s">
        <v>706</v>
      </c>
      <c r="B393">
        <v>21</v>
      </c>
      <c r="C393" t="s">
        <v>29</v>
      </c>
      <c r="D393" t="s">
        <v>2518</v>
      </c>
      <c r="E393" t="s">
        <v>42</v>
      </c>
      <c r="F393" t="s">
        <v>52</v>
      </c>
      <c r="G393" t="s">
        <v>418</v>
      </c>
      <c r="H393" t="str">
        <f>TEXT(walmart[[#This Row],[Purchase_Date]],"DDD")</f>
        <v>Sat</v>
      </c>
      <c r="I393" t="str">
        <f>TEXT(walmart[[#This Row],[Purchase_Date]],"MMM")</f>
        <v>Jan</v>
      </c>
      <c r="J393" t="str">
        <f>TEXT(walmart[[#This Row],[Purchase_Date]],"YYY")</f>
        <v>2025</v>
      </c>
      <c r="K393" s="3">
        <v>988.77</v>
      </c>
      <c r="L393" t="str">
        <f t="shared" si="30"/>
        <v>20% off</v>
      </c>
      <c r="M393" s="3">
        <f t="shared" si="31"/>
        <v>197.75400000000002</v>
      </c>
      <c r="N393" t="str">
        <f t="shared" si="32"/>
        <v>Yes</v>
      </c>
      <c r="O393" t="s">
        <v>34</v>
      </c>
      <c r="P393" s="3">
        <f t="shared" si="33"/>
        <v>791.01599999999996</v>
      </c>
      <c r="Q393" t="s">
        <v>35</v>
      </c>
      <c r="R393">
        <v>1</v>
      </c>
      <c r="S393" t="str">
        <f t="shared" si="34"/>
        <v>Very Poor</v>
      </c>
    </row>
    <row r="394" spans="1:19" x14ac:dyDescent="0.25">
      <c r="A394" t="s">
        <v>707</v>
      </c>
      <c r="B394">
        <v>53</v>
      </c>
      <c r="C394" t="s">
        <v>29</v>
      </c>
      <c r="D394" t="s">
        <v>2519</v>
      </c>
      <c r="E394" t="s">
        <v>18</v>
      </c>
      <c r="F394" t="s">
        <v>77</v>
      </c>
      <c r="G394" t="s">
        <v>708</v>
      </c>
      <c r="H394" t="str">
        <f>TEXT(walmart[[#This Row],[Purchase_Date]],"DDD")</f>
        <v>Mon</v>
      </c>
      <c r="I394" t="str">
        <f>TEXT(walmart[[#This Row],[Purchase_Date]],"MMM")</f>
        <v>Feb</v>
      </c>
      <c r="J394" t="str">
        <f>TEXT(walmart[[#This Row],[Purchase_Date]],"YYY")</f>
        <v>2025</v>
      </c>
      <c r="K394" s="3">
        <v>116.78</v>
      </c>
      <c r="L394" t="str">
        <f t="shared" si="30"/>
        <v>0% off</v>
      </c>
      <c r="M394" s="3">
        <f t="shared" si="31"/>
        <v>0</v>
      </c>
      <c r="N394" t="str">
        <f t="shared" si="32"/>
        <v>No</v>
      </c>
      <c r="O394" t="s">
        <v>34</v>
      </c>
      <c r="P394" s="3">
        <f t="shared" si="33"/>
        <v>116.78</v>
      </c>
      <c r="Q394" t="s">
        <v>27</v>
      </c>
      <c r="R394">
        <v>1</v>
      </c>
      <c r="S394" t="str">
        <f t="shared" si="34"/>
        <v>Very Poor</v>
      </c>
    </row>
    <row r="395" spans="1:19" x14ac:dyDescent="0.25">
      <c r="A395" t="s">
        <v>709</v>
      </c>
      <c r="B395">
        <v>28</v>
      </c>
      <c r="C395" t="s">
        <v>16</v>
      </c>
      <c r="D395" t="s">
        <v>2520</v>
      </c>
      <c r="E395" t="s">
        <v>18</v>
      </c>
      <c r="F395" t="s">
        <v>77</v>
      </c>
      <c r="G395" t="s">
        <v>710</v>
      </c>
      <c r="H395" t="str">
        <f>TEXT(walmart[[#This Row],[Purchase_Date]],"DDD")</f>
        <v>Sun</v>
      </c>
      <c r="I395" t="str">
        <f>TEXT(walmart[[#This Row],[Purchase_Date]],"MMM")</f>
        <v>Aug</v>
      </c>
      <c r="J395" t="str">
        <f>TEXT(walmart[[#This Row],[Purchase_Date]],"YYY")</f>
        <v>2024</v>
      </c>
      <c r="K395" s="3">
        <v>116.78</v>
      </c>
      <c r="L395" t="str">
        <f t="shared" si="30"/>
        <v>0% off</v>
      </c>
      <c r="M395" s="3">
        <f t="shared" si="31"/>
        <v>0</v>
      </c>
      <c r="N395" t="str">
        <f t="shared" si="32"/>
        <v>No</v>
      </c>
      <c r="O395" t="s">
        <v>34</v>
      </c>
      <c r="P395" s="3">
        <f t="shared" si="33"/>
        <v>116.78</v>
      </c>
      <c r="Q395" t="s">
        <v>27</v>
      </c>
      <c r="R395">
        <v>4</v>
      </c>
      <c r="S395" t="str">
        <f t="shared" si="34"/>
        <v>Good</v>
      </c>
    </row>
    <row r="396" spans="1:19" x14ac:dyDescent="0.25">
      <c r="A396" t="s">
        <v>711</v>
      </c>
      <c r="B396">
        <v>70</v>
      </c>
      <c r="C396" t="s">
        <v>16</v>
      </c>
      <c r="D396" t="s">
        <v>2521</v>
      </c>
      <c r="E396" t="s">
        <v>18</v>
      </c>
      <c r="F396" t="s">
        <v>19</v>
      </c>
      <c r="G396" t="s">
        <v>712</v>
      </c>
      <c r="H396" t="str">
        <f>TEXT(walmart[[#This Row],[Purchase_Date]],"DDD")</f>
        <v>Thu</v>
      </c>
      <c r="I396" t="str">
        <f>TEXT(walmart[[#This Row],[Purchase_Date]],"MMM")</f>
        <v>May</v>
      </c>
      <c r="J396" t="str">
        <f>TEXT(walmart[[#This Row],[Purchase_Date]],"YYY")</f>
        <v>2024</v>
      </c>
      <c r="K396" s="3">
        <v>697.86</v>
      </c>
      <c r="L396" t="str">
        <f t="shared" si="30"/>
        <v>10% off</v>
      </c>
      <c r="M396" s="3">
        <f t="shared" si="31"/>
        <v>69.786000000000001</v>
      </c>
      <c r="N396" t="str">
        <f t="shared" si="32"/>
        <v>Yes</v>
      </c>
      <c r="O396" t="s">
        <v>21</v>
      </c>
      <c r="P396" s="3">
        <f t="shared" si="33"/>
        <v>628.07400000000007</v>
      </c>
      <c r="Q396" t="s">
        <v>27</v>
      </c>
      <c r="R396">
        <v>4</v>
      </c>
      <c r="S396" t="str">
        <f t="shared" si="34"/>
        <v>Good</v>
      </c>
    </row>
    <row r="397" spans="1:19" x14ac:dyDescent="0.25">
      <c r="A397" t="s">
        <v>713</v>
      </c>
      <c r="B397">
        <v>70</v>
      </c>
      <c r="C397" t="s">
        <v>29</v>
      </c>
      <c r="D397" t="s">
        <v>2522</v>
      </c>
      <c r="E397" t="s">
        <v>18</v>
      </c>
      <c r="F397" t="s">
        <v>77</v>
      </c>
      <c r="G397" t="s">
        <v>714</v>
      </c>
      <c r="H397" t="str">
        <f>TEXT(walmart[[#This Row],[Purchase_Date]],"DDD")</f>
        <v>Sun</v>
      </c>
      <c r="I397" t="str">
        <f>TEXT(walmart[[#This Row],[Purchase_Date]],"MMM")</f>
        <v>Jan</v>
      </c>
      <c r="J397" t="str">
        <f>TEXT(walmart[[#This Row],[Purchase_Date]],"YYY")</f>
        <v>2025</v>
      </c>
      <c r="K397" s="3">
        <v>116.78</v>
      </c>
      <c r="L397" t="str">
        <f t="shared" si="30"/>
        <v>0% off</v>
      </c>
      <c r="M397" s="3">
        <f t="shared" si="31"/>
        <v>0</v>
      </c>
      <c r="N397" t="str">
        <f t="shared" si="32"/>
        <v>No</v>
      </c>
      <c r="O397" t="s">
        <v>21</v>
      </c>
      <c r="P397" s="3">
        <f t="shared" si="33"/>
        <v>116.78</v>
      </c>
      <c r="Q397" t="s">
        <v>22</v>
      </c>
      <c r="R397">
        <v>3</v>
      </c>
      <c r="S397" t="str">
        <f t="shared" si="34"/>
        <v>Average</v>
      </c>
    </row>
    <row r="398" spans="1:19" x14ac:dyDescent="0.25">
      <c r="A398" t="s">
        <v>715</v>
      </c>
      <c r="B398">
        <v>38</v>
      </c>
      <c r="C398" t="s">
        <v>29</v>
      </c>
      <c r="D398" t="s">
        <v>2485</v>
      </c>
      <c r="E398" t="s">
        <v>31</v>
      </c>
      <c r="F398" t="s">
        <v>112</v>
      </c>
      <c r="G398" t="s">
        <v>710</v>
      </c>
      <c r="H398" t="str">
        <f>TEXT(walmart[[#This Row],[Purchase_Date]],"DDD")</f>
        <v>Sun</v>
      </c>
      <c r="I398" t="str">
        <f>TEXT(walmart[[#This Row],[Purchase_Date]],"MMM")</f>
        <v>Aug</v>
      </c>
      <c r="J398" t="str">
        <f>TEXT(walmart[[#This Row],[Purchase_Date]],"YYY")</f>
        <v>2024</v>
      </c>
      <c r="K398" s="3">
        <v>492.1</v>
      </c>
      <c r="L398" t="str">
        <f t="shared" si="30"/>
        <v>5% off</v>
      </c>
      <c r="M398" s="3">
        <f t="shared" si="31"/>
        <v>24.605000000000004</v>
      </c>
      <c r="N398" t="str">
        <f t="shared" si="32"/>
        <v>Yes</v>
      </c>
      <c r="O398" t="s">
        <v>21</v>
      </c>
      <c r="P398" s="3">
        <f t="shared" si="33"/>
        <v>467.495</v>
      </c>
      <c r="Q398" t="s">
        <v>22</v>
      </c>
      <c r="R398">
        <v>4</v>
      </c>
      <c r="S398" t="str">
        <f t="shared" si="34"/>
        <v>Good</v>
      </c>
    </row>
    <row r="399" spans="1:19" x14ac:dyDescent="0.25">
      <c r="A399" t="s">
        <v>716</v>
      </c>
      <c r="B399">
        <v>55</v>
      </c>
      <c r="C399" t="s">
        <v>16</v>
      </c>
      <c r="D399" t="s">
        <v>2523</v>
      </c>
      <c r="E399" t="s">
        <v>37</v>
      </c>
      <c r="F399" t="s">
        <v>97</v>
      </c>
      <c r="G399" t="s">
        <v>534</v>
      </c>
      <c r="H399" t="str">
        <f>TEXT(walmart[[#This Row],[Purchase_Date]],"DDD")</f>
        <v>Tue</v>
      </c>
      <c r="I399" t="str">
        <f>TEXT(walmart[[#This Row],[Purchase_Date]],"MMM")</f>
        <v>Feb</v>
      </c>
      <c r="J399" t="str">
        <f>TEXT(walmart[[#This Row],[Purchase_Date]],"YYY")</f>
        <v>2025</v>
      </c>
      <c r="K399" s="3">
        <v>855.21</v>
      </c>
      <c r="L399" t="str">
        <f t="shared" si="30"/>
        <v>15% off</v>
      </c>
      <c r="M399" s="3">
        <f t="shared" si="31"/>
        <v>128.28149999999999</v>
      </c>
      <c r="N399" t="str">
        <f t="shared" si="32"/>
        <v>Yes</v>
      </c>
      <c r="O399" t="s">
        <v>21</v>
      </c>
      <c r="P399" s="3">
        <f t="shared" si="33"/>
        <v>726.92849999999999</v>
      </c>
      <c r="Q399" t="s">
        <v>27</v>
      </c>
      <c r="R399">
        <v>1</v>
      </c>
      <c r="S399" t="str">
        <f t="shared" si="34"/>
        <v>Very Poor</v>
      </c>
    </row>
    <row r="400" spans="1:19" x14ac:dyDescent="0.25">
      <c r="A400" t="s">
        <v>717</v>
      </c>
      <c r="B400">
        <v>49</v>
      </c>
      <c r="C400" t="s">
        <v>29</v>
      </c>
      <c r="D400" t="s">
        <v>2518</v>
      </c>
      <c r="E400" t="s">
        <v>37</v>
      </c>
      <c r="F400" t="s">
        <v>117</v>
      </c>
      <c r="G400" t="s">
        <v>718</v>
      </c>
      <c r="H400" t="str">
        <f>TEXT(walmart[[#This Row],[Purchase_Date]],"DDD")</f>
        <v>Thu</v>
      </c>
      <c r="I400" t="str">
        <f>TEXT(walmart[[#This Row],[Purchase_Date]],"MMM")</f>
        <v>Jan</v>
      </c>
      <c r="J400" t="str">
        <f>TEXT(walmart[[#This Row],[Purchase_Date]],"YYY")</f>
        <v>2025</v>
      </c>
      <c r="K400" s="3">
        <v>165.68</v>
      </c>
      <c r="L400" t="str">
        <f t="shared" si="30"/>
        <v>5% off</v>
      </c>
      <c r="M400" s="3">
        <f t="shared" si="31"/>
        <v>8.2840000000000007</v>
      </c>
      <c r="N400" t="str">
        <f t="shared" si="32"/>
        <v>Yes</v>
      </c>
      <c r="O400" t="s">
        <v>21</v>
      </c>
      <c r="P400" s="3">
        <f t="shared" si="33"/>
        <v>157.39600000000002</v>
      </c>
      <c r="Q400" t="s">
        <v>27</v>
      </c>
      <c r="R400">
        <v>3</v>
      </c>
      <c r="S400" t="str">
        <f t="shared" si="34"/>
        <v>Average</v>
      </c>
    </row>
    <row r="401" spans="1:19" x14ac:dyDescent="0.25">
      <c r="A401" t="s">
        <v>719</v>
      </c>
      <c r="B401">
        <v>55</v>
      </c>
      <c r="C401" t="s">
        <v>16</v>
      </c>
      <c r="D401" t="s">
        <v>2524</v>
      </c>
      <c r="E401" t="s">
        <v>42</v>
      </c>
      <c r="F401" t="s">
        <v>120</v>
      </c>
      <c r="G401" t="s">
        <v>246</v>
      </c>
      <c r="H401" t="str">
        <f>TEXT(walmart[[#This Row],[Purchase_Date]],"DDD")</f>
        <v>Tue</v>
      </c>
      <c r="I401" t="str">
        <f>TEXT(walmart[[#This Row],[Purchase_Date]],"MMM")</f>
        <v>Apr</v>
      </c>
      <c r="J401" t="str">
        <f>TEXT(walmart[[#This Row],[Purchase_Date]],"YYY")</f>
        <v>2024</v>
      </c>
      <c r="K401" s="3">
        <v>260.77999999999997</v>
      </c>
      <c r="L401" t="str">
        <f t="shared" si="30"/>
        <v>5% off</v>
      </c>
      <c r="M401" s="3">
        <f t="shared" si="31"/>
        <v>13.039</v>
      </c>
      <c r="N401" t="str">
        <f t="shared" si="32"/>
        <v>Yes</v>
      </c>
      <c r="O401" t="s">
        <v>21</v>
      </c>
      <c r="P401" s="3">
        <f t="shared" si="33"/>
        <v>247.74099999999999</v>
      </c>
      <c r="Q401" t="s">
        <v>47</v>
      </c>
      <c r="R401">
        <v>2</v>
      </c>
      <c r="S401" t="str">
        <f t="shared" si="34"/>
        <v>Poor</v>
      </c>
    </row>
    <row r="402" spans="1:19" x14ac:dyDescent="0.25">
      <c r="A402" t="s">
        <v>720</v>
      </c>
      <c r="B402">
        <v>68</v>
      </c>
      <c r="C402" t="s">
        <v>16</v>
      </c>
      <c r="D402" t="s">
        <v>2525</v>
      </c>
      <c r="E402" t="s">
        <v>37</v>
      </c>
      <c r="F402" t="s">
        <v>117</v>
      </c>
      <c r="G402" t="s">
        <v>437</v>
      </c>
      <c r="H402" t="str">
        <f>TEXT(walmart[[#This Row],[Purchase_Date]],"DDD")</f>
        <v>Sat</v>
      </c>
      <c r="I402" t="str">
        <f>TEXT(walmart[[#This Row],[Purchase_Date]],"MMM")</f>
        <v>Jul</v>
      </c>
      <c r="J402" t="str">
        <f>TEXT(walmart[[#This Row],[Purchase_Date]],"YYY")</f>
        <v>2024</v>
      </c>
      <c r="K402" s="3">
        <v>165.68</v>
      </c>
      <c r="L402" t="str">
        <f t="shared" si="30"/>
        <v>5% off</v>
      </c>
      <c r="M402" s="3">
        <f t="shared" si="31"/>
        <v>8.2840000000000007</v>
      </c>
      <c r="N402" t="str">
        <f t="shared" si="32"/>
        <v>Yes</v>
      </c>
      <c r="O402" t="s">
        <v>21</v>
      </c>
      <c r="P402" s="3">
        <f t="shared" si="33"/>
        <v>157.39600000000002</v>
      </c>
      <c r="Q402" t="s">
        <v>35</v>
      </c>
      <c r="R402">
        <v>1</v>
      </c>
      <c r="S402" t="str">
        <f t="shared" si="34"/>
        <v>Very Poor</v>
      </c>
    </row>
    <row r="403" spans="1:19" x14ac:dyDescent="0.25">
      <c r="A403" t="s">
        <v>721</v>
      </c>
      <c r="B403">
        <v>48</v>
      </c>
      <c r="C403" t="s">
        <v>29</v>
      </c>
      <c r="D403" t="s">
        <v>2487</v>
      </c>
      <c r="E403" t="s">
        <v>55</v>
      </c>
      <c r="F403" t="s">
        <v>67</v>
      </c>
      <c r="G403" t="s">
        <v>722</v>
      </c>
      <c r="H403" t="str">
        <f>TEXT(walmart[[#This Row],[Purchase_Date]],"DDD")</f>
        <v>Mon</v>
      </c>
      <c r="I403" t="str">
        <f>TEXT(walmart[[#This Row],[Purchase_Date]],"MMM")</f>
        <v>Sep</v>
      </c>
      <c r="J403" t="str">
        <f>TEXT(walmart[[#This Row],[Purchase_Date]],"YYY")</f>
        <v>2024</v>
      </c>
      <c r="K403" s="3">
        <v>452.97</v>
      </c>
      <c r="L403" t="str">
        <f t="shared" si="30"/>
        <v>5% off</v>
      </c>
      <c r="M403" s="3">
        <f t="shared" si="31"/>
        <v>22.648500000000002</v>
      </c>
      <c r="N403" t="str">
        <f t="shared" si="32"/>
        <v>Yes</v>
      </c>
      <c r="O403" t="s">
        <v>34</v>
      </c>
      <c r="P403" s="3">
        <f t="shared" si="33"/>
        <v>430.32150000000001</v>
      </c>
      <c r="Q403" t="s">
        <v>47</v>
      </c>
      <c r="R403">
        <v>5</v>
      </c>
      <c r="S403" t="str">
        <f t="shared" si="34"/>
        <v>Excellent</v>
      </c>
    </row>
    <row r="404" spans="1:19" x14ac:dyDescent="0.25">
      <c r="A404" t="s">
        <v>723</v>
      </c>
      <c r="B404">
        <v>26</v>
      </c>
      <c r="C404" t="s">
        <v>29</v>
      </c>
      <c r="D404" t="s">
        <v>2519</v>
      </c>
      <c r="E404" t="s">
        <v>42</v>
      </c>
      <c r="F404" t="s">
        <v>52</v>
      </c>
      <c r="G404" t="s">
        <v>315</v>
      </c>
      <c r="H404" t="str">
        <f>TEXT(walmart[[#This Row],[Purchase_Date]],"DDD")</f>
        <v>Mon</v>
      </c>
      <c r="I404" t="str">
        <f>TEXT(walmart[[#This Row],[Purchase_Date]],"MMM")</f>
        <v>Apr</v>
      </c>
      <c r="J404" t="str">
        <f>TEXT(walmart[[#This Row],[Purchase_Date]],"YYY")</f>
        <v>2024</v>
      </c>
      <c r="K404" s="3">
        <v>988.77</v>
      </c>
      <c r="L404" t="str">
        <f t="shared" si="30"/>
        <v>20% off</v>
      </c>
      <c r="M404" s="3">
        <f t="shared" si="31"/>
        <v>197.75400000000002</v>
      </c>
      <c r="N404" t="str">
        <f t="shared" si="32"/>
        <v>Yes</v>
      </c>
      <c r="O404" t="s">
        <v>21</v>
      </c>
      <c r="P404" s="3">
        <f t="shared" si="33"/>
        <v>791.01599999999996</v>
      </c>
      <c r="Q404" t="s">
        <v>35</v>
      </c>
      <c r="R404">
        <v>2</v>
      </c>
      <c r="S404" t="str">
        <f t="shared" si="34"/>
        <v>Poor</v>
      </c>
    </row>
    <row r="405" spans="1:19" x14ac:dyDescent="0.25">
      <c r="A405" t="s">
        <v>724</v>
      </c>
      <c r="B405">
        <v>48</v>
      </c>
      <c r="C405" t="s">
        <v>16</v>
      </c>
      <c r="D405" t="s">
        <v>2520</v>
      </c>
      <c r="E405" t="s">
        <v>55</v>
      </c>
      <c r="F405" t="s">
        <v>67</v>
      </c>
      <c r="G405" t="s">
        <v>570</v>
      </c>
      <c r="H405" t="str">
        <f>TEXT(walmart[[#This Row],[Purchase_Date]],"DDD")</f>
        <v>Tue</v>
      </c>
      <c r="I405" t="str">
        <f>TEXT(walmart[[#This Row],[Purchase_Date]],"MMM")</f>
        <v>Jun</v>
      </c>
      <c r="J405" t="str">
        <f>TEXT(walmart[[#This Row],[Purchase_Date]],"YYY")</f>
        <v>2024</v>
      </c>
      <c r="K405" s="3">
        <v>452.97</v>
      </c>
      <c r="L405" t="str">
        <f t="shared" si="30"/>
        <v>5% off</v>
      </c>
      <c r="M405" s="3">
        <f t="shared" si="31"/>
        <v>22.648500000000002</v>
      </c>
      <c r="N405" t="str">
        <f t="shared" si="32"/>
        <v>Yes</v>
      </c>
      <c r="O405" t="s">
        <v>34</v>
      </c>
      <c r="P405" s="3">
        <f t="shared" si="33"/>
        <v>430.32150000000001</v>
      </c>
      <c r="Q405" t="s">
        <v>35</v>
      </c>
      <c r="R405">
        <v>2</v>
      </c>
      <c r="S405" t="str">
        <f t="shared" si="34"/>
        <v>Poor</v>
      </c>
    </row>
    <row r="406" spans="1:19" x14ac:dyDescent="0.25">
      <c r="A406" t="s">
        <v>725</v>
      </c>
      <c r="B406">
        <v>34</v>
      </c>
      <c r="C406" t="s">
        <v>16</v>
      </c>
      <c r="D406" t="s">
        <v>2526</v>
      </c>
      <c r="E406" t="s">
        <v>73</v>
      </c>
      <c r="F406" t="s">
        <v>91</v>
      </c>
      <c r="G406" t="s">
        <v>65</v>
      </c>
      <c r="H406" t="str">
        <f>TEXT(walmart[[#This Row],[Purchase_Date]],"DDD")</f>
        <v>Wed</v>
      </c>
      <c r="I406" t="str">
        <f>TEXT(walmart[[#This Row],[Purchase_Date]],"MMM")</f>
        <v>Mar</v>
      </c>
      <c r="J406" t="str">
        <f>TEXT(walmart[[#This Row],[Purchase_Date]],"YYY")</f>
        <v>2025</v>
      </c>
      <c r="K406" s="3">
        <v>418.55</v>
      </c>
      <c r="L406" t="str">
        <f t="shared" si="30"/>
        <v>5% off</v>
      </c>
      <c r="M406" s="3">
        <f t="shared" si="31"/>
        <v>20.927500000000002</v>
      </c>
      <c r="N406" t="str">
        <f t="shared" si="32"/>
        <v>Yes</v>
      </c>
      <c r="O406" t="s">
        <v>21</v>
      </c>
      <c r="P406" s="3">
        <f t="shared" si="33"/>
        <v>397.6225</v>
      </c>
      <c r="Q406" t="s">
        <v>47</v>
      </c>
      <c r="R406">
        <v>3</v>
      </c>
      <c r="S406" t="str">
        <f t="shared" si="34"/>
        <v>Average</v>
      </c>
    </row>
    <row r="407" spans="1:19" x14ac:dyDescent="0.25">
      <c r="A407" t="s">
        <v>726</v>
      </c>
      <c r="B407">
        <v>60</v>
      </c>
      <c r="C407" t="s">
        <v>16</v>
      </c>
      <c r="D407" t="s">
        <v>2527</v>
      </c>
      <c r="E407" t="s">
        <v>31</v>
      </c>
      <c r="F407" t="s">
        <v>300</v>
      </c>
      <c r="G407" t="s">
        <v>393</v>
      </c>
      <c r="H407" t="str">
        <f>TEXT(walmart[[#This Row],[Purchase_Date]],"DDD")</f>
        <v>Mon</v>
      </c>
      <c r="I407" t="str">
        <f>TEXT(walmart[[#This Row],[Purchase_Date]],"MMM")</f>
        <v>Oct</v>
      </c>
      <c r="J407" t="str">
        <f>TEXT(walmart[[#This Row],[Purchase_Date]],"YYY")</f>
        <v>2024</v>
      </c>
      <c r="K407" s="3">
        <v>340.04</v>
      </c>
      <c r="L407" t="str">
        <f t="shared" si="30"/>
        <v>5% off</v>
      </c>
      <c r="M407" s="3">
        <f t="shared" si="31"/>
        <v>17.002000000000002</v>
      </c>
      <c r="N407" t="str">
        <f t="shared" si="32"/>
        <v>Yes</v>
      </c>
      <c r="O407" t="s">
        <v>21</v>
      </c>
      <c r="P407" s="3">
        <f t="shared" si="33"/>
        <v>323.03800000000001</v>
      </c>
      <c r="Q407" t="s">
        <v>47</v>
      </c>
      <c r="R407">
        <v>1</v>
      </c>
      <c r="S407" t="str">
        <f t="shared" si="34"/>
        <v>Very Poor</v>
      </c>
    </row>
    <row r="408" spans="1:19" x14ac:dyDescent="0.25">
      <c r="A408" t="s">
        <v>727</v>
      </c>
      <c r="B408">
        <v>69</v>
      </c>
      <c r="C408" t="s">
        <v>16</v>
      </c>
      <c r="D408" t="s">
        <v>2528</v>
      </c>
      <c r="E408" t="s">
        <v>37</v>
      </c>
      <c r="F408" t="s">
        <v>38</v>
      </c>
      <c r="G408" t="s">
        <v>246</v>
      </c>
      <c r="H408" t="str">
        <f>TEXT(walmart[[#This Row],[Purchase_Date]],"DDD")</f>
        <v>Tue</v>
      </c>
      <c r="I408" t="str">
        <f>TEXT(walmart[[#This Row],[Purchase_Date]],"MMM")</f>
        <v>Apr</v>
      </c>
      <c r="J408" t="str">
        <f>TEXT(walmart[[#This Row],[Purchase_Date]],"YYY")</f>
        <v>2024</v>
      </c>
      <c r="K408" s="3">
        <v>211.46</v>
      </c>
      <c r="L408" t="str">
        <f t="shared" si="30"/>
        <v>5% off</v>
      </c>
      <c r="M408" s="3">
        <f t="shared" si="31"/>
        <v>10.573</v>
      </c>
      <c r="N408" t="str">
        <f t="shared" si="32"/>
        <v>Yes</v>
      </c>
      <c r="O408" t="s">
        <v>34</v>
      </c>
      <c r="P408" s="3">
        <f t="shared" si="33"/>
        <v>200.887</v>
      </c>
      <c r="Q408" t="s">
        <v>27</v>
      </c>
      <c r="R408">
        <v>1</v>
      </c>
      <c r="S408" t="str">
        <f t="shared" si="34"/>
        <v>Very Poor</v>
      </c>
    </row>
    <row r="409" spans="1:19" x14ac:dyDescent="0.25">
      <c r="A409" t="s">
        <v>728</v>
      </c>
      <c r="B409">
        <v>19</v>
      </c>
      <c r="C409" t="s">
        <v>29</v>
      </c>
      <c r="D409" t="s">
        <v>2529</v>
      </c>
      <c r="E409" t="s">
        <v>18</v>
      </c>
      <c r="F409" t="s">
        <v>142</v>
      </c>
      <c r="G409" t="s">
        <v>369</v>
      </c>
      <c r="H409" t="str">
        <f>TEXT(walmart[[#This Row],[Purchase_Date]],"DDD")</f>
        <v>Fri</v>
      </c>
      <c r="I409" t="str">
        <f>TEXT(walmart[[#This Row],[Purchase_Date]],"MMM")</f>
        <v>Aug</v>
      </c>
      <c r="J409" t="str">
        <f>TEXT(walmart[[#This Row],[Purchase_Date]],"YYY")</f>
        <v>2024</v>
      </c>
      <c r="K409" s="3">
        <v>485.26</v>
      </c>
      <c r="L409" t="str">
        <f t="shared" si="30"/>
        <v>5% off</v>
      </c>
      <c r="M409" s="3">
        <f t="shared" si="31"/>
        <v>24.263000000000002</v>
      </c>
      <c r="N409" t="str">
        <f t="shared" si="32"/>
        <v>Yes</v>
      </c>
      <c r="O409" t="s">
        <v>34</v>
      </c>
      <c r="P409" s="3">
        <f t="shared" si="33"/>
        <v>460.99700000000001</v>
      </c>
      <c r="Q409" t="s">
        <v>35</v>
      </c>
      <c r="R409">
        <v>5</v>
      </c>
      <c r="S409" t="str">
        <f t="shared" si="34"/>
        <v>Excellent</v>
      </c>
    </row>
    <row r="410" spans="1:19" x14ac:dyDescent="0.25">
      <c r="A410" t="s">
        <v>729</v>
      </c>
      <c r="B410">
        <v>60</v>
      </c>
      <c r="C410" t="s">
        <v>16</v>
      </c>
      <c r="D410" t="s">
        <v>2530</v>
      </c>
      <c r="E410" t="s">
        <v>31</v>
      </c>
      <c r="F410" t="s">
        <v>169</v>
      </c>
      <c r="G410" t="s">
        <v>730</v>
      </c>
      <c r="H410" t="str">
        <f>TEXT(walmart[[#This Row],[Purchase_Date]],"DDD")</f>
        <v>Tue</v>
      </c>
      <c r="I410" t="str">
        <f>TEXT(walmart[[#This Row],[Purchase_Date]],"MMM")</f>
        <v>Jan</v>
      </c>
      <c r="J410" t="str">
        <f>TEXT(walmart[[#This Row],[Purchase_Date]],"YYY")</f>
        <v>2025</v>
      </c>
      <c r="K410" s="3">
        <v>52.44</v>
      </c>
      <c r="L410" t="str">
        <f t="shared" si="30"/>
        <v>0% off</v>
      </c>
      <c r="M410" s="3">
        <f t="shared" si="31"/>
        <v>0</v>
      </c>
      <c r="N410" t="str">
        <f t="shared" si="32"/>
        <v>No</v>
      </c>
      <c r="O410" t="s">
        <v>34</v>
      </c>
      <c r="P410" s="3">
        <f t="shared" si="33"/>
        <v>52.44</v>
      </c>
      <c r="Q410" t="s">
        <v>47</v>
      </c>
      <c r="R410">
        <v>1</v>
      </c>
      <c r="S410" t="str">
        <f t="shared" si="34"/>
        <v>Very Poor</v>
      </c>
    </row>
    <row r="411" spans="1:19" x14ac:dyDescent="0.25">
      <c r="A411" t="s">
        <v>731</v>
      </c>
      <c r="B411">
        <v>44</v>
      </c>
      <c r="C411" t="s">
        <v>16</v>
      </c>
      <c r="D411" t="s">
        <v>2531</v>
      </c>
      <c r="E411" t="s">
        <v>73</v>
      </c>
      <c r="F411" t="s">
        <v>91</v>
      </c>
      <c r="G411" t="s">
        <v>236</v>
      </c>
      <c r="H411" t="str">
        <f>TEXT(walmart[[#This Row],[Purchase_Date]],"DDD")</f>
        <v>Wed</v>
      </c>
      <c r="I411" t="str">
        <f>TEXT(walmart[[#This Row],[Purchase_Date]],"MMM")</f>
        <v>Dec</v>
      </c>
      <c r="J411" t="str">
        <f>TEXT(walmart[[#This Row],[Purchase_Date]],"YYY")</f>
        <v>2024</v>
      </c>
      <c r="K411" s="3">
        <v>418.55</v>
      </c>
      <c r="L411" t="str">
        <f t="shared" si="30"/>
        <v>5% off</v>
      </c>
      <c r="M411" s="3">
        <f t="shared" si="31"/>
        <v>20.927500000000002</v>
      </c>
      <c r="N411" t="str">
        <f t="shared" si="32"/>
        <v>Yes</v>
      </c>
      <c r="O411" t="s">
        <v>34</v>
      </c>
      <c r="P411" s="3">
        <f t="shared" si="33"/>
        <v>397.6225</v>
      </c>
      <c r="Q411" t="s">
        <v>22</v>
      </c>
      <c r="R411">
        <v>2</v>
      </c>
      <c r="S411" t="str">
        <f t="shared" si="34"/>
        <v>Poor</v>
      </c>
    </row>
    <row r="412" spans="1:19" x14ac:dyDescent="0.25">
      <c r="A412" t="s">
        <v>732</v>
      </c>
      <c r="B412">
        <v>36</v>
      </c>
      <c r="C412" t="s">
        <v>16</v>
      </c>
      <c r="D412" t="s">
        <v>2532</v>
      </c>
      <c r="E412" t="s">
        <v>73</v>
      </c>
      <c r="F412" t="s">
        <v>91</v>
      </c>
      <c r="G412" t="s">
        <v>733</v>
      </c>
      <c r="H412" t="str">
        <f>TEXT(walmart[[#This Row],[Purchase_Date]],"DDD")</f>
        <v>Fri</v>
      </c>
      <c r="I412" t="str">
        <f>TEXT(walmart[[#This Row],[Purchase_Date]],"MMM")</f>
        <v>Dec</v>
      </c>
      <c r="J412" t="str">
        <f>TEXT(walmart[[#This Row],[Purchase_Date]],"YYY")</f>
        <v>2024</v>
      </c>
      <c r="K412" s="3">
        <v>418.55</v>
      </c>
      <c r="L412" t="str">
        <f t="shared" si="30"/>
        <v>5% off</v>
      </c>
      <c r="M412" s="3">
        <f t="shared" si="31"/>
        <v>20.927500000000002</v>
      </c>
      <c r="N412" t="str">
        <f t="shared" si="32"/>
        <v>Yes</v>
      </c>
      <c r="O412" t="s">
        <v>21</v>
      </c>
      <c r="P412" s="3">
        <f t="shared" si="33"/>
        <v>397.6225</v>
      </c>
      <c r="Q412" t="s">
        <v>35</v>
      </c>
      <c r="R412">
        <v>3</v>
      </c>
      <c r="S412" t="str">
        <f t="shared" si="34"/>
        <v>Average</v>
      </c>
    </row>
    <row r="413" spans="1:19" x14ac:dyDescent="0.25">
      <c r="A413" t="s">
        <v>734</v>
      </c>
      <c r="B413">
        <v>56</v>
      </c>
      <c r="C413" t="s">
        <v>29</v>
      </c>
      <c r="D413" t="s">
        <v>2533</v>
      </c>
      <c r="E413" t="s">
        <v>42</v>
      </c>
      <c r="F413" t="s">
        <v>43</v>
      </c>
      <c r="G413" t="s">
        <v>357</v>
      </c>
      <c r="H413" t="str">
        <f>TEXT(walmart[[#This Row],[Purchase_Date]],"DDD")</f>
        <v>Fri</v>
      </c>
      <c r="I413" t="str">
        <f>TEXT(walmart[[#This Row],[Purchase_Date]],"MMM")</f>
        <v>Nov</v>
      </c>
      <c r="J413" t="str">
        <f>TEXT(walmart[[#This Row],[Purchase_Date]],"YYY")</f>
        <v>2024</v>
      </c>
      <c r="K413" s="3">
        <v>512.94000000000005</v>
      </c>
      <c r="L413" t="str">
        <f t="shared" si="30"/>
        <v>10% off</v>
      </c>
      <c r="M413" s="3">
        <f t="shared" si="31"/>
        <v>51.294000000000011</v>
      </c>
      <c r="N413" t="str">
        <f t="shared" si="32"/>
        <v>Yes</v>
      </c>
      <c r="O413" t="s">
        <v>34</v>
      </c>
      <c r="P413" s="3">
        <f t="shared" si="33"/>
        <v>461.64600000000007</v>
      </c>
      <c r="Q413" t="s">
        <v>22</v>
      </c>
      <c r="R413">
        <v>5</v>
      </c>
      <c r="S413" t="str">
        <f t="shared" si="34"/>
        <v>Excellent</v>
      </c>
    </row>
    <row r="414" spans="1:19" x14ac:dyDescent="0.25">
      <c r="A414" t="s">
        <v>735</v>
      </c>
      <c r="B414">
        <v>24</v>
      </c>
      <c r="C414" t="s">
        <v>16</v>
      </c>
      <c r="D414" t="s">
        <v>2534</v>
      </c>
      <c r="E414" t="s">
        <v>37</v>
      </c>
      <c r="F414" t="s">
        <v>117</v>
      </c>
      <c r="G414" t="s">
        <v>333</v>
      </c>
      <c r="H414" t="str">
        <f>TEXT(walmart[[#This Row],[Purchase_Date]],"DDD")</f>
        <v>Sat</v>
      </c>
      <c r="I414" t="str">
        <f>TEXT(walmart[[#This Row],[Purchase_Date]],"MMM")</f>
        <v>Jul</v>
      </c>
      <c r="J414" t="str">
        <f>TEXT(walmart[[#This Row],[Purchase_Date]],"YYY")</f>
        <v>2024</v>
      </c>
      <c r="K414" s="3">
        <v>165.68</v>
      </c>
      <c r="L414" t="str">
        <f t="shared" si="30"/>
        <v>5% off</v>
      </c>
      <c r="M414" s="3">
        <f t="shared" si="31"/>
        <v>8.2840000000000007</v>
      </c>
      <c r="N414" t="str">
        <f t="shared" si="32"/>
        <v>Yes</v>
      </c>
      <c r="O414" t="s">
        <v>34</v>
      </c>
      <c r="P414" s="3">
        <f t="shared" si="33"/>
        <v>157.39600000000002</v>
      </c>
      <c r="Q414" t="s">
        <v>35</v>
      </c>
      <c r="R414">
        <v>3</v>
      </c>
      <c r="S414" t="str">
        <f t="shared" si="34"/>
        <v>Average</v>
      </c>
    </row>
    <row r="415" spans="1:19" x14ac:dyDescent="0.25">
      <c r="A415" t="s">
        <v>736</v>
      </c>
      <c r="B415">
        <v>20</v>
      </c>
      <c r="C415" t="s">
        <v>16</v>
      </c>
      <c r="D415" t="s">
        <v>2535</v>
      </c>
      <c r="E415" t="s">
        <v>24</v>
      </c>
      <c r="F415" t="s">
        <v>162</v>
      </c>
      <c r="G415" t="s">
        <v>378</v>
      </c>
      <c r="H415" t="str">
        <f>TEXT(walmart[[#This Row],[Purchase_Date]],"DDD")</f>
        <v>Sat</v>
      </c>
      <c r="I415" t="str">
        <f>TEXT(walmart[[#This Row],[Purchase_Date]],"MMM")</f>
        <v>Jun</v>
      </c>
      <c r="J415" t="str">
        <f>TEXT(walmart[[#This Row],[Purchase_Date]],"YYY")</f>
        <v>2024</v>
      </c>
      <c r="K415" s="3">
        <v>362.55</v>
      </c>
      <c r="L415" t="str">
        <f t="shared" si="30"/>
        <v>5% off</v>
      </c>
      <c r="M415" s="3">
        <f t="shared" si="31"/>
        <v>18.127500000000001</v>
      </c>
      <c r="N415" t="str">
        <f t="shared" si="32"/>
        <v>Yes</v>
      </c>
      <c r="O415" t="s">
        <v>21</v>
      </c>
      <c r="P415" s="3">
        <f t="shared" si="33"/>
        <v>344.42250000000001</v>
      </c>
      <c r="Q415" t="s">
        <v>27</v>
      </c>
      <c r="R415">
        <v>4</v>
      </c>
      <c r="S415" t="str">
        <f t="shared" si="34"/>
        <v>Good</v>
      </c>
    </row>
    <row r="416" spans="1:19" x14ac:dyDescent="0.25">
      <c r="A416" t="s">
        <v>737</v>
      </c>
      <c r="B416">
        <v>51</v>
      </c>
      <c r="C416" t="s">
        <v>29</v>
      </c>
      <c r="D416" t="s">
        <v>2518</v>
      </c>
      <c r="E416" t="s">
        <v>37</v>
      </c>
      <c r="F416" t="s">
        <v>117</v>
      </c>
      <c r="G416" t="s">
        <v>602</v>
      </c>
      <c r="H416" t="str">
        <f>TEXT(walmart[[#This Row],[Purchase_Date]],"DDD")</f>
        <v>Fri</v>
      </c>
      <c r="I416" t="str">
        <f>TEXT(walmart[[#This Row],[Purchase_Date]],"MMM")</f>
        <v>Jun</v>
      </c>
      <c r="J416" t="str">
        <f>TEXT(walmart[[#This Row],[Purchase_Date]],"YYY")</f>
        <v>2024</v>
      </c>
      <c r="K416" s="3">
        <v>165.68</v>
      </c>
      <c r="L416" t="str">
        <f t="shared" si="30"/>
        <v>5% off</v>
      </c>
      <c r="M416" s="3">
        <f t="shared" si="31"/>
        <v>8.2840000000000007</v>
      </c>
      <c r="N416" t="str">
        <f t="shared" si="32"/>
        <v>Yes</v>
      </c>
      <c r="O416" t="s">
        <v>34</v>
      </c>
      <c r="P416" s="3">
        <f t="shared" si="33"/>
        <v>157.39600000000002</v>
      </c>
      <c r="Q416" t="s">
        <v>35</v>
      </c>
      <c r="R416">
        <v>3</v>
      </c>
      <c r="S416" t="str">
        <f t="shared" si="34"/>
        <v>Average</v>
      </c>
    </row>
    <row r="417" spans="1:19" x14ac:dyDescent="0.25">
      <c r="A417" t="s">
        <v>738</v>
      </c>
      <c r="B417">
        <v>56</v>
      </c>
      <c r="C417" t="s">
        <v>29</v>
      </c>
      <c r="D417" t="s">
        <v>2536</v>
      </c>
      <c r="E417" t="s">
        <v>73</v>
      </c>
      <c r="F417" t="s">
        <v>94</v>
      </c>
      <c r="G417" t="s">
        <v>570</v>
      </c>
      <c r="H417" t="str">
        <f>TEXT(walmart[[#This Row],[Purchase_Date]],"DDD")</f>
        <v>Tue</v>
      </c>
      <c r="I417" t="str">
        <f>TEXT(walmart[[#This Row],[Purchase_Date]],"MMM")</f>
        <v>Jun</v>
      </c>
      <c r="J417" t="str">
        <f>TEXT(walmart[[#This Row],[Purchase_Date]],"YYY")</f>
        <v>2024</v>
      </c>
      <c r="K417" s="3">
        <v>965.09</v>
      </c>
      <c r="L417" t="str">
        <f t="shared" si="30"/>
        <v>20% off</v>
      </c>
      <c r="M417" s="3">
        <f t="shared" si="31"/>
        <v>193.01800000000003</v>
      </c>
      <c r="N417" t="str">
        <f t="shared" si="32"/>
        <v>Yes</v>
      </c>
      <c r="O417" t="s">
        <v>21</v>
      </c>
      <c r="P417" s="3">
        <f t="shared" si="33"/>
        <v>772.072</v>
      </c>
      <c r="Q417" t="s">
        <v>47</v>
      </c>
      <c r="R417">
        <v>1</v>
      </c>
      <c r="S417" t="str">
        <f t="shared" si="34"/>
        <v>Very Poor</v>
      </c>
    </row>
    <row r="418" spans="1:19" x14ac:dyDescent="0.25">
      <c r="A418" t="s">
        <v>739</v>
      </c>
      <c r="B418">
        <v>37</v>
      </c>
      <c r="C418" t="s">
        <v>29</v>
      </c>
      <c r="D418" t="s">
        <v>2537</v>
      </c>
      <c r="E418" t="s">
        <v>37</v>
      </c>
      <c r="F418" t="s">
        <v>82</v>
      </c>
      <c r="G418" t="s">
        <v>279</v>
      </c>
      <c r="H418" t="str">
        <f>TEXT(walmart[[#This Row],[Purchase_Date]],"DDD")</f>
        <v>Thu</v>
      </c>
      <c r="I418" t="str">
        <f>TEXT(walmart[[#This Row],[Purchase_Date]],"MMM")</f>
        <v>Jul</v>
      </c>
      <c r="J418" t="str">
        <f>TEXT(walmart[[#This Row],[Purchase_Date]],"YYY")</f>
        <v>2024</v>
      </c>
      <c r="K418" s="3">
        <v>270.41000000000003</v>
      </c>
      <c r="L418" t="str">
        <f t="shared" si="30"/>
        <v>5% off</v>
      </c>
      <c r="M418" s="3">
        <f t="shared" si="31"/>
        <v>13.520500000000002</v>
      </c>
      <c r="N418" t="str">
        <f t="shared" si="32"/>
        <v>Yes</v>
      </c>
      <c r="O418" t="s">
        <v>34</v>
      </c>
      <c r="P418" s="3">
        <f t="shared" si="33"/>
        <v>256.8895</v>
      </c>
      <c r="Q418" t="s">
        <v>35</v>
      </c>
      <c r="R418">
        <v>3</v>
      </c>
      <c r="S418" t="str">
        <f t="shared" si="34"/>
        <v>Average</v>
      </c>
    </row>
    <row r="419" spans="1:19" x14ac:dyDescent="0.25">
      <c r="A419" t="s">
        <v>740</v>
      </c>
      <c r="B419">
        <v>27</v>
      </c>
      <c r="C419" t="s">
        <v>29</v>
      </c>
      <c r="D419" t="s">
        <v>2538</v>
      </c>
      <c r="E419" t="s">
        <v>18</v>
      </c>
      <c r="F419" t="s">
        <v>77</v>
      </c>
      <c r="G419" t="s">
        <v>741</v>
      </c>
      <c r="H419" t="str">
        <f>TEXT(walmart[[#This Row],[Purchase_Date]],"DDD")</f>
        <v>Mon</v>
      </c>
      <c r="I419" t="str">
        <f>TEXT(walmart[[#This Row],[Purchase_Date]],"MMM")</f>
        <v>Sep</v>
      </c>
      <c r="J419" t="str">
        <f>TEXT(walmart[[#This Row],[Purchase_Date]],"YYY")</f>
        <v>2024</v>
      </c>
      <c r="K419" s="3">
        <v>116.78</v>
      </c>
      <c r="L419" t="str">
        <f t="shared" si="30"/>
        <v>0% off</v>
      </c>
      <c r="M419" s="3">
        <f t="shared" si="31"/>
        <v>0</v>
      </c>
      <c r="N419" t="str">
        <f t="shared" si="32"/>
        <v>No</v>
      </c>
      <c r="O419" t="s">
        <v>21</v>
      </c>
      <c r="P419" s="3">
        <f t="shared" si="33"/>
        <v>116.78</v>
      </c>
      <c r="Q419" t="s">
        <v>47</v>
      </c>
      <c r="R419">
        <v>2</v>
      </c>
      <c r="S419" t="str">
        <f t="shared" si="34"/>
        <v>Poor</v>
      </c>
    </row>
    <row r="420" spans="1:19" x14ac:dyDescent="0.25">
      <c r="A420" t="s">
        <v>742</v>
      </c>
      <c r="B420">
        <v>70</v>
      </c>
      <c r="C420" t="s">
        <v>16</v>
      </c>
      <c r="D420" t="s">
        <v>2539</v>
      </c>
      <c r="E420" t="s">
        <v>55</v>
      </c>
      <c r="F420" t="s">
        <v>100</v>
      </c>
      <c r="G420" t="s">
        <v>401</v>
      </c>
      <c r="H420" t="str">
        <f>TEXT(walmart[[#This Row],[Purchase_Date]],"DDD")</f>
        <v>Wed</v>
      </c>
      <c r="I420" t="str">
        <f>TEXT(walmart[[#This Row],[Purchase_Date]],"MMM")</f>
        <v>Mar</v>
      </c>
      <c r="J420" t="str">
        <f>TEXT(walmart[[#This Row],[Purchase_Date]],"YYY")</f>
        <v>2024</v>
      </c>
      <c r="K420" s="3">
        <v>592.26</v>
      </c>
      <c r="L420" t="str">
        <f t="shared" si="30"/>
        <v>10% off</v>
      </c>
      <c r="M420" s="3">
        <f t="shared" si="31"/>
        <v>59.225999999999999</v>
      </c>
      <c r="N420" t="str">
        <f t="shared" si="32"/>
        <v>Yes</v>
      </c>
      <c r="O420" t="s">
        <v>21</v>
      </c>
      <c r="P420" s="3">
        <f t="shared" si="33"/>
        <v>533.03399999999999</v>
      </c>
      <c r="Q420" t="s">
        <v>27</v>
      </c>
      <c r="R420">
        <v>3</v>
      </c>
      <c r="S420" t="str">
        <f t="shared" si="34"/>
        <v>Average</v>
      </c>
    </row>
    <row r="421" spans="1:19" x14ac:dyDescent="0.25">
      <c r="A421" t="s">
        <v>743</v>
      </c>
      <c r="B421">
        <v>33</v>
      </c>
      <c r="C421" t="s">
        <v>16</v>
      </c>
      <c r="D421" t="s">
        <v>2540</v>
      </c>
      <c r="E421" t="s">
        <v>42</v>
      </c>
      <c r="F421" t="s">
        <v>43</v>
      </c>
      <c r="G421" t="s">
        <v>423</v>
      </c>
      <c r="H421" t="str">
        <f>TEXT(walmart[[#This Row],[Purchase_Date]],"DDD")</f>
        <v>Sun</v>
      </c>
      <c r="I421" t="str">
        <f>TEXT(walmart[[#This Row],[Purchase_Date]],"MMM")</f>
        <v>Jun</v>
      </c>
      <c r="J421" t="str">
        <f>TEXT(walmart[[#This Row],[Purchase_Date]],"YYY")</f>
        <v>2024</v>
      </c>
      <c r="K421" s="3">
        <v>512.94000000000005</v>
      </c>
      <c r="L421" t="str">
        <f t="shared" si="30"/>
        <v>10% off</v>
      </c>
      <c r="M421" s="3">
        <f t="shared" si="31"/>
        <v>51.294000000000011</v>
      </c>
      <c r="N421" t="str">
        <f t="shared" si="32"/>
        <v>Yes</v>
      </c>
      <c r="O421" t="s">
        <v>34</v>
      </c>
      <c r="P421" s="3">
        <f t="shared" si="33"/>
        <v>461.64600000000007</v>
      </c>
      <c r="Q421" t="s">
        <v>47</v>
      </c>
      <c r="R421">
        <v>4</v>
      </c>
      <c r="S421" t="str">
        <f t="shared" si="34"/>
        <v>Good</v>
      </c>
    </row>
    <row r="422" spans="1:19" x14ac:dyDescent="0.25">
      <c r="A422" t="s">
        <v>744</v>
      </c>
      <c r="B422">
        <v>18</v>
      </c>
      <c r="C422" t="s">
        <v>29</v>
      </c>
      <c r="D422" t="s">
        <v>2488</v>
      </c>
      <c r="E422" t="s">
        <v>18</v>
      </c>
      <c r="F422" t="s">
        <v>19</v>
      </c>
      <c r="G422" t="s">
        <v>124</v>
      </c>
      <c r="H422" t="str">
        <f>TEXT(walmart[[#This Row],[Purchase_Date]],"DDD")</f>
        <v>Sun</v>
      </c>
      <c r="I422" t="str">
        <f>TEXT(walmart[[#This Row],[Purchase_Date]],"MMM")</f>
        <v>Feb</v>
      </c>
      <c r="J422" t="str">
        <f>TEXT(walmart[[#This Row],[Purchase_Date]],"YYY")</f>
        <v>2025</v>
      </c>
      <c r="K422" s="3">
        <v>697.86</v>
      </c>
      <c r="L422" t="str">
        <f t="shared" si="30"/>
        <v>10% off</v>
      </c>
      <c r="M422" s="3">
        <f t="shared" si="31"/>
        <v>69.786000000000001</v>
      </c>
      <c r="N422" t="str">
        <f t="shared" si="32"/>
        <v>Yes</v>
      </c>
      <c r="O422" t="s">
        <v>34</v>
      </c>
      <c r="P422" s="3">
        <f t="shared" si="33"/>
        <v>628.07400000000007</v>
      </c>
      <c r="Q422" t="s">
        <v>27</v>
      </c>
      <c r="R422">
        <v>1</v>
      </c>
      <c r="S422" t="str">
        <f t="shared" si="34"/>
        <v>Very Poor</v>
      </c>
    </row>
    <row r="423" spans="1:19" x14ac:dyDescent="0.25">
      <c r="A423" t="s">
        <v>745</v>
      </c>
      <c r="B423">
        <v>68</v>
      </c>
      <c r="C423" t="s">
        <v>29</v>
      </c>
      <c r="D423" t="s">
        <v>2541</v>
      </c>
      <c r="E423" t="s">
        <v>42</v>
      </c>
      <c r="F423" t="s">
        <v>120</v>
      </c>
      <c r="G423" t="s">
        <v>746</v>
      </c>
      <c r="H423" t="str">
        <f>TEXT(walmart[[#This Row],[Purchase_Date]],"DDD")</f>
        <v>Tue</v>
      </c>
      <c r="I423" t="str">
        <f>TEXT(walmart[[#This Row],[Purchase_Date]],"MMM")</f>
        <v>Dec</v>
      </c>
      <c r="J423" t="str">
        <f>TEXT(walmart[[#This Row],[Purchase_Date]],"YYY")</f>
        <v>2024</v>
      </c>
      <c r="K423" s="3">
        <v>260.77999999999997</v>
      </c>
      <c r="L423" t="str">
        <f t="shared" si="30"/>
        <v>5% off</v>
      </c>
      <c r="M423" s="3">
        <f t="shared" si="31"/>
        <v>13.039</v>
      </c>
      <c r="N423" t="str">
        <f t="shared" si="32"/>
        <v>Yes</v>
      </c>
      <c r="O423" t="s">
        <v>34</v>
      </c>
      <c r="P423" s="3">
        <f t="shared" si="33"/>
        <v>247.74099999999999</v>
      </c>
      <c r="Q423" t="s">
        <v>35</v>
      </c>
      <c r="R423">
        <v>1</v>
      </c>
      <c r="S423" t="str">
        <f t="shared" si="34"/>
        <v>Very Poor</v>
      </c>
    </row>
    <row r="424" spans="1:19" x14ac:dyDescent="0.25">
      <c r="A424" t="s">
        <v>747</v>
      </c>
      <c r="B424">
        <v>24</v>
      </c>
      <c r="C424" t="s">
        <v>16</v>
      </c>
      <c r="D424" t="s">
        <v>2542</v>
      </c>
      <c r="E424" t="s">
        <v>55</v>
      </c>
      <c r="F424" t="s">
        <v>64</v>
      </c>
      <c r="G424" t="s">
        <v>670</v>
      </c>
      <c r="H424" t="str">
        <f>TEXT(walmart[[#This Row],[Purchase_Date]],"DDD")</f>
        <v>Wed</v>
      </c>
      <c r="I424" t="str">
        <f>TEXT(walmart[[#This Row],[Purchase_Date]],"MMM")</f>
        <v>Sep</v>
      </c>
      <c r="J424" t="str">
        <f>TEXT(walmart[[#This Row],[Purchase_Date]],"YYY")</f>
        <v>2024</v>
      </c>
      <c r="K424" s="3">
        <v>374.92</v>
      </c>
      <c r="L424" t="str">
        <f t="shared" si="30"/>
        <v>5% off</v>
      </c>
      <c r="M424" s="3">
        <f t="shared" si="31"/>
        <v>18.746000000000002</v>
      </c>
      <c r="N424" t="str">
        <f t="shared" si="32"/>
        <v>Yes</v>
      </c>
      <c r="O424" t="s">
        <v>34</v>
      </c>
      <c r="P424" s="3">
        <f t="shared" si="33"/>
        <v>356.17400000000004</v>
      </c>
      <c r="Q424" t="s">
        <v>27</v>
      </c>
      <c r="R424">
        <v>1</v>
      </c>
      <c r="S424" t="str">
        <f t="shared" si="34"/>
        <v>Very Poor</v>
      </c>
    </row>
    <row r="425" spans="1:19" x14ac:dyDescent="0.25">
      <c r="A425" t="s">
        <v>748</v>
      </c>
      <c r="B425">
        <v>47</v>
      </c>
      <c r="C425" t="s">
        <v>16</v>
      </c>
      <c r="D425" t="s">
        <v>2543</v>
      </c>
      <c r="E425" t="s">
        <v>31</v>
      </c>
      <c r="F425" t="s">
        <v>112</v>
      </c>
      <c r="G425" t="s">
        <v>749</v>
      </c>
      <c r="H425" t="str">
        <f>TEXT(walmart[[#This Row],[Purchase_Date]],"DDD")</f>
        <v>Fri</v>
      </c>
      <c r="I425" t="str">
        <f>TEXT(walmart[[#This Row],[Purchase_Date]],"MMM")</f>
        <v>Sep</v>
      </c>
      <c r="J425" t="str">
        <f>TEXT(walmart[[#This Row],[Purchase_Date]],"YYY")</f>
        <v>2024</v>
      </c>
      <c r="K425" s="3">
        <v>492.1</v>
      </c>
      <c r="L425" t="str">
        <f t="shared" si="30"/>
        <v>5% off</v>
      </c>
      <c r="M425" s="3">
        <f t="shared" si="31"/>
        <v>24.605000000000004</v>
      </c>
      <c r="N425" t="str">
        <f t="shared" si="32"/>
        <v>Yes</v>
      </c>
      <c r="O425" t="s">
        <v>21</v>
      </c>
      <c r="P425" s="3">
        <f t="shared" si="33"/>
        <v>467.495</v>
      </c>
      <c r="Q425" t="s">
        <v>22</v>
      </c>
      <c r="R425">
        <v>5</v>
      </c>
      <c r="S425" t="str">
        <f t="shared" si="34"/>
        <v>Excellent</v>
      </c>
    </row>
    <row r="426" spans="1:19" x14ac:dyDescent="0.25">
      <c r="A426" t="s">
        <v>750</v>
      </c>
      <c r="B426">
        <v>28</v>
      </c>
      <c r="C426" t="s">
        <v>29</v>
      </c>
      <c r="D426" t="s">
        <v>2544</v>
      </c>
      <c r="E426" t="s">
        <v>18</v>
      </c>
      <c r="F426" t="s">
        <v>77</v>
      </c>
      <c r="G426" t="s">
        <v>130</v>
      </c>
      <c r="H426" t="str">
        <f>TEXT(walmart[[#This Row],[Purchase_Date]],"DDD")</f>
        <v>Mon</v>
      </c>
      <c r="I426" t="str">
        <f>TEXT(walmart[[#This Row],[Purchase_Date]],"MMM")</f>
        <v>Nov</v>
      </c>
      <c r="J426" t="str">
        <f>TEXT(walmart[[#This Row],[Purchase_Date]],"YYY")</f>
        <v>2024</v>
      </c>
      <c r="K426" s="3">
        <v>116.78</v>
      </c>
      <c r="L426" t="str">
        <f t="shared" si="30"/>
        <v>0% off</v>
      </c>
      <c r="M426" s="3">
        <f t="shared" si="31"/>
        <v>0</v>
      </c>
      <c r="N426" t="str">
        <f t="shared" si="32"/>
        <v>No</v>
      </c>
      <c r="O426" t="s">
        <v>34</v>
      </c>
      <c r="P426" s="3">
        <f t="shared" si="33"/>
        <v>116.78</v>
      </c>
      <c r="Q426" t="s">
        <v>35</v>
      </c>
      <c r="R426">
        <v>2</v>
      </c>
      <c r="S426" t="str">
        <f t="shared" si="34"/>
        <v>Poor</v>
      </c>
    </row>
    <row r="427" spans="1:19" x14ac:dyDescent="0.25">
      <c r="A427" t="s">
        <v>751</v>
      </c>
      <c r="B427">
        <v>69</v>
      </c>
      <c r="C427" t="s">
        <v>29</v>
      </c>
      <c r="D427" t="s">
        <v>2545</v>
      </c>
      <c r="E427" t="s">
        <v>18</v>
      </c>
      <c r="F427" t="s">
        <v>59</v>
      </c>
      <c r="G427" t="s">
        <v>311</v>
      </c>
      <c r="H427" t="str">
        <f>TEXT(walmart[[#This Row],[Purchase_Date]],"DDD")</f>
        <v>Mon</v>
      </c>
      <c r="I427" t="str">
        <f>TEXT(walmart[[#This Row],[Purchase_Date]],"MMM")</f>
        <v>Mar</v>
      </c>
      <c r="J427" t="str">
        <f>TEXT(walmart[[#This Row],[Purchase_Date]],"YYY")</f>
        <v>2025</v>
      </c>
      <c r="K427" s="3">
        <v>78.349999999999994</v>
      </c>
      <c r="L427" t="str">
        <f t="shared" si="30"/>
        <v>0% off</v>
      </c>
      <c r="M427" s="3">
        <f t="shared" si="31"/>
        <v>0</v>
      </c>
      <c r="N427" t="str">
        <f t="shared" si="32"/>
        <v>No</v>
      </c>
      <c r="O427" t="s">
        <v>34</v>
      </c>
      <c r="P427" s="3">
        <f t="shared" si="33"/>
        <v>78.349999999999994</v>
      </c>
      <c r="Q427" t="s">
        <v>47</v>
      </c>
      <c r="R427">
        <v>1</v>
      </c>
      <c r="S427" t="str">
        <f t="shared" si="34"/>
        <v>Very Poor</v>
      </c>
    </row>
    <row r="428" spans="1:19" x14ac:dyDescent="0.25">
      <c r="A428" t="s">
        <v>752</v>
      </c>
      <c r="B428">
        <v>67</v>
      </c>
      <c r="C428" t="s">
        <v>16</v>
      </c>
      <c r="D428" t="s">
        <v>2546</v>
      </c>
      <c r="E428" t="s">
        <v>24</v>
      </c>
      <c r="F428" t="s">
        <v>162</v>
      </c>
      <c r="G428" t="s">
        <v>388</v>
      </c>
      <c r="H428" t="str">
        <f>TEXT(walmart[[#This Row],[Purchase_Date]],"DDD")</f>
        <v>Sun</v>
      </c>
      <c r="I428" t="str">
        <f>TEXT(walmart[[#This Row],[Purchase_Date]],"MMM")</f>
        <v>Nov</v>
      </c>
      <c r="J428" t="str">
        <f>TEXT(walmart[[#This Row],[Purchase_Date]],"YYY")</f>
        <v>2024</v>
      </c>
      <c r="K428" s="3">
        <v>362.55</v>
      </c>
      <c r="L428" t="str">
        <f t="shared" si="30"/>
        <v>5% off</v>
      </c>
      <c r="M428" s="3">
        <f t="shared" si="31"/>
        <v>18.127500000000001</v>
      </c>
      <c r="N428" t="str">
        <f t="shared" si="32"/>
        <v>Yes</v>
      </c>
      <c r="O428" t="s">
        <v>21</v>
      </c>
      <c r="P428" s="3">
        <f t="shared" si="33"/>
        <v>344.42250000000001</v>
      </c>
      <c r="Q428" t="s">
        <v>22</v>
      </c>
      <c r="R428">
        <v>5</v>
      </c>
      <c r="S428" t="str">
        <f t="shared" si="34"/>
        <v>Excellent</v>
      </c>
    </row>
    <row r="429" spans="1:19" x14ac:dyDescent="0.25">
      <c r="A429" t="s">
        <v>753</v>
      </c>
      <c r="B429">
        <v>27</v>
      </c>
      <c r="C429" t="s">
        <v>29</v>
      </c>
      <c r="D429" t="s">
        <v>2547</v>
      </c>
      <c r="E429" t="s">
        <v>42</v>
      </c>
      <c r="F429" t="s">
        <v>103</v>
      </c>
      <c r="G429" t="s">
        <v>550</v>
      </c>
      <c r="H429" t="str">
        <f>TEXT(walmart[[#This Row],[Purchase_Date]],"DDD")</f>
        <v>Sun</v>
      </c>
      <c r="I429" t="str">
        <f>TEXT(walmart[[#This Row],[Purchase_Date]],"MMM")</f>
        <v>May</v>
      </c>
      <c r="J429" t="str">
        <f>TEXT(walmart[[#This Row],[Purchase_Date]],"YYY")</f>
        <v>2024</v>
      </c>
      <c r="K429" s="3">
        <v>315.56</v>
      </c>
      <c r="L429" t="str">
        <f t="shared" si="30"/>
        <v>5% off</v>
      </c>
      <c r="M429" s="3">
        <f t="shared" si="31"/>
        <v>15.778</v>
      </c>
      <c r="N429" t="str">
        <f t="shared" si="32"/>
        <v>Yes</v>
      </c>
      <c r="O429" t="s">
        <v>21</v>
      </c>
      <c r="P429" s="3">
        <f t="shared" si="33"/>
        <v>299.78199999999998</v>
      </c>
      <c r="Q429" t="s">
        <v>47</v>
      </c>
      <c r="R429">
        <v>3</v>
      </c>
      <c r="S429" t="str">
        <f t="shared" si="34"/>
        <v>Average</v>
      </c>
    </row>
    <row r="430" spans="1:19" x14ac:dyDescent="0.25">
      <c r="A430" t="s">
        <v>754</v>
      </c>
      <c r="B430">
        <v>53</v>
      </c>
      <c r="C430" t="s">
        <v>16</v>
      </c>
      <c r="D430" t="s">
        <v>2548</v>
      </c>
      <c r="E430" t="s">
        <v>24</v>
      </c>
      <c r="F430" t="s">
        <v>162</v>
      </c>
      <c r="G430" t="s">
        <v>496</v>
      </c>
      <c r="H430" t="str">
        <f>TEXT(walmart[[#This Row],[Purchase_Date]],"DDD")</f>
        <v>Wed</v>
      </c>
      <c r="I430" t="str">
        <f>TEXT(walmart[[#This Row],[Purchase_Date]],"MMM")</f>
        <v>Jul</v>
      </c>
      <c r="J430" t="str">
        <f>TEXT(walmart[[#This Row],[Purchase_Date]],"YYY")</f>
        <v>2024</v>
      </c>
      <c r="K430" s="3">
        <v>362.55</v>
      </c>
      <c r="L430" t="str">
        <f t="shared" si="30"/>
        <v>5% off</v>
      </c>
      <c r="M430" s="3">
        <f t="shared" si="31"/>
        <v>18.127500000000001</v>
      </c>
      <c r="N430" t="str">
        <f t="shared" si="32"/>
        <v>Yes</v>
      </c>
      <c r="O430" t="s">
        <v>34</v>
      </c>
      <c r="P430" s="3">
        <f t="shared" si="33"/>
        <v>344.42250000000001</v>
      </c>
      <c r="Q430" t="s">
        <v>27</v>
      </c>
      <c r="R430">
        <v>5</v>
      </c>
      <c r="S430" t="str">
        <f t="shared" si="34"/>
        <v>Excellent</v>
      </c>
    </row>
    <row r="431" spans="1:19" x14ac:dyDescent="0.25">
      <c r="A431" t="s">
        <v>755</v>
      </c>
      <c r="B431">
        <v>39</v>
      </c>
      <c r="C431" t="s">
        <v>29</v>
      </c>
      <c r="D431" t="s">
        <v>2549</v>
      </c>
      <c r="E431" t="s">
        <v>31</v>
      </c>
      <c r="F431" t="s">
        <v>300</v>
      </c>
      <c r="G431" t="s">
        <v>167</v>
      </c>
      <c r="H431" t="str">
        <f>TEXT(walmart[[#This Row],[Purchase_Date]],"DDD")</f>
        <v>Mon</v>
      </c>
      <c r="I431" t="str">
        <f>TEXT(walmart[[#This Row],[Purchase_Date]],"MMM")</f>
        <v>Jan</v>
      </c>
      <c r="J431" t="str">
        <f>TEXT(walmart[[#This Row],[Purchase_Date]],"YYY")</f>
        <v>2025</v>
      </c>
      <c r="K431" s="3">
        <v>340.04</v>
      </c>
      <c r="L431" t="str">
        <f t="shared" si="30"/>
        <v>5% off</v>
      </c>
      <c r="M431" s="3">
        <f t="shared" si="31"/>
        <v>17.002000000000002</v>
      </c>
      <c r="N431" t="str">
        <f t="shared" si="32"/>
        <v>Yes</v>
      </c>
      <c r="O431" t="s">
        <v>21</v>
      </c>
      <c r="P431" s="3">
        <f t="shared" si="33"/>
        <v>323.03800000000001</v>
      </c>
      <c r="Q431" t="s">
        <v>22</v>
      </c>
      <c r="R431">
        <v>2</v>
      </c>
      <c r="S431" t="str">
        <f t="shared" si="34"/>
        <v>Poor</v>
      </c>
    </row>
    <row r="432" spans="1:19" x14ac:dyDescent="0.25">
      <c r="A432" t="s">
        <v>756</v>
      </c>
      <c r="B432">
        <v>67</v>
      </c>
      <c r="C432" t="s">
        <v>16</v>
      </c>
      <c r="D432" t="s">
        <v>2550</v>
      </c>
      <c r="E432" t="s">
        <v>55</v>
      </c>
      <c r="F432" t="s">
        <v>56</v>
      </c>
      <c r="G432" t="s">
        <v>383</v>
      </c>
      <c r="H432" t="str">
        <f>TEXT(walmart[[#This Row],[Purchase_Date]],"DDD")</f>
        <v>Mon</v>
      </c>
      <c r="I432" t="str">
        <f>TEXT(walmart[[#This Row],[Purchase_Date]],"MMM")</f>
        <v>Jun</v>
      </c>
      <c r="J432" t="str">
        <f>TEXT(walmart[[#This Row],[Purchase_Date]],"YYY")</f>
        <v>2024</v>
      </c>
      <c r="K432" s="3">
        <v>76.81</v>
      </c>
      <c r="L432" t="str">
        <f t="shared" si="30"/>
        <v>0% off</v>
      </c>
      <c r="M432" s="3">
        <f t="shared" si="31"/>
        <v>0</v>
      </c>
      <c r="N432" t="str">
        <f t="shared" si="32"/>
        <v>No</v>
      </c>
      <c r="O432" t="s">
        <v>34</v>
      </c>
      <c r="P432" s="3">
        <f t="shared" si="33"/>
        <v>76.81</v>
      </c>
      <c r="Q432" t="s">
        <v>35</v>
      </c>
      <c r="R432">
        <v>1</v>
      </c>
      <c r="S432" t="str">
        <f t="shared" si="34"/>
        <v>Very Poor</v>
      </c>
    </row>
    <row r="433" spans="1:19" x14ac:dyDescent="0.25">
      <c r="A433" t="s">
        <v>757</v>
      </c>
      <c r="B433">
        <v>51</v>
      </c>
      <c r="C433" t="s">
        <v>29</v>
      </c>
      <c r="D433" t="s">
        <v>2551</v>
      </c>
      <c r="E433" t="s">
        <v>42</v>
      </c>
      <c r="F433" t="s">
        <v>43</v>
      </c>
      <c r="G433" t="s">
        <v>625</v>
      </c>
      <c r="H433" t="str">
        <f>TEXT(walmart[[#This Row],[Purchase_Date]],"DDD")</f>
        <v>Wed</v>
      </c>
      <c r="I433" t="str">
        <f>TEXT(walmart[[#This Row],[Purchase_Date]],"MMM")</f>
        <v>Sep</v>
      </c>
      <c r="J433" t="str">
        <f>TEXT(walmart[[#This Row],[Purchase_Date]],"YYY")</f>
        <v>2024</v>
      </c>
      <c r="K433" s="3">
        <v>512.94000000000005</v>
      </c>
      <c r="L433" t="str">
        <f t="shared" si="30"/>
        <v>10% off</v>
      </c>
      <c r="M433" s="3">
        <f t="shared" si="31"/>
        <v>51.294000000000011</v>
      </c>
      <c r="N433" t="str">
        <f t="shared" si="32"/>
        <v>Yes</v>
      </c>
      <c r="O433" t="s">
        <v>21</v>
      </c>
      <c r="P433" s="3">
        <f t="shared" si="33"/>
        <v>461.64600000000007</v>
      </c>
      <c r="Q433" t="s">
        <v>47</v>
      </c>
      <c r="R433">
        <v>2</v>
      </c>
      <c r="S433" t="str">
        <f t="shared" si="34"/>
        <v>Poor</v>
      </c>
    </row>
    <row r="434" spans="1:19" x14ac:dyDescent="0.25">
      <c r="A434" t="s">
        <v>758</v>
      </c>
      <c r="B434">
        <v>43</v>
      </c>
      <c r="C434" t="s">
        <v>16</v>
      </c>
      <c r="D434" t="s">
        <v>2552</v>
      </c>
      <c r="E434" t="s">
        <v>18</v>
      </c>
      <c r="F434" t="s">
        <v>19</v>
      </c>
      <c r="G434" t="s">
        <v>759</v>
      </c>
      <c r="H434" t="str">
        <f>TEXT(walmart[[#This Row],[Purchase_Date]],"DDD")</f>
        <v>Sun</v>
      </c>
      <c r="I434" t="str">
        <f>TEXT(walmart[[#This Row],[Purchase_Date]],"MMM")</f>
        <v>Dec</v>
      </c>
      <c r="J434" t="str">
        <f>TEXT(walmart[[#This Row],[Purchase_Date]],"YYY")</f>
        <v>2024</v>
      </c>
      <c r="K434" s="3">
        <v>697.86</v>
      </c>
      <c r="L434" t="str">
        <f t="shared" si="30"/>
        <v>10% off</v>
      </c>
      <c r="M434" s="3">
        <f t="shared" si="31"/>
        <v>69.786000000000001</v>
      </c>
      <c r="N434" t="str">
        <f t="shared" si="32"/>
        <v>Yes</v>
      </c>
      <c r="O434" t="s">
        <v>34</v>
      </c>
      <c r="P434" s="3">
        <f t="shared" si="33"/>
        <v>628.07400000000007</v>
      </c>
      <c r="Q434" t="s">
        <v>27</v>
      </c>
      <c r="R434">
        <v>3</v>
      </c>
      <c r="S434" t="str">
        <f t="shared" si="34"/>
        <v>Average</v>
      </c>
    </row>
    <row r="435" spans="1:19" x14ac:dyDescent="0.25">
      <c r="A435" t="s">
        <v>760</v>
      </c>
      <c r="B435">
        <v>61</v>
      </c>
      <c r="C435" t="s">
        <v>16</v>
      </c>
      <c r="D435" t="s">
        <v>2553</v>
      </c>
      <c r="E435" t="s">
        <v>31</v>
      </c>
      <c r="F435" t="s">
        <v>169</v>
      </c>
      <c r="G435" t="s">
        <v>647</v>
      </c>
      <c r="H435" t="str">
        <f>TEXT(walmart[[#This Row],[Purchase_Date]],"DDD")</f>
        <v>Wed</v>
      </c>
      <c r="I435" t="str">
        <f>TEXT(walmart[[#This Row],[Purchase_Date]],"MMM")</f>
        <v>Oct</v>
      </c>
      <c r="J435" t="str">
        <f>TEXT(walmart[[#This Row],[Purchase_Date]],"YYY")</f>
        <v>2024</v>
      </c>
      <c r="K435" s="3">
        <v>52.44</v>
      </c>
      <c r="L435" t="str">
        <f t="shared" si="30"/>
        <v>0% off</v>
      </c>
      <c r="M435" s="3">
        <f t="shared" si="31"/>
        <v>0</v>
      </c>
      <c r="N435" t="str">
        <f t="shared" si="32"/>
        <v>No</v>
      </c>
      <c r="O435" t="s">
        <v>21</v>
      </c>
      <c r="P435" s="3">
        <f t="shared" si="33"/>
        <v>52.44</v>
      </c>
      <c r="Q435" t="s">
        <v>22</v>
      </c>
      <c r="R435">
        <v>2</v>
      </c>
      <c r="S435" t="str">
        <f t="shared" si="34"/>
        <v>Poor</v>
      </c>
    </row>
    <row r="436" spans="1:19" x14ac:dyDescent="0.25">
      <c r="A436" t="s">
        <v>761</v>
      </c>
      <c r="B436">
        <v>60</v>
      </c>
      <c r="C436" t="s">
        <v>29</v>
      </c>
      <c r="D436" t="s">
        <v>2554</v>
      </c>
      <c r="E436" t="s">
        <v>73</v>
      </c>
      <c r="F436" t="s">
        <v>138</v>
      </c>
      <c r="G436" t="s">
        <v>762</v>
      </c>
      <c r="H436" t="str">
        <f>TEXT(walmart[[#This Row],[Purchase_Date]],"DDD")</f>
        <v>Fri</v>
      </c>
      <c r="I436" t="str">
        <f>TEXT(walmart[[#This Row],[Purchase_Date]],"MMM")</f>
        <v>Jun</v>
      </c>
      <c r="J436" t="str">
        <f>TEXT(walmart[[#This Row],[Purchase_Date]],"YYY")</f>
        <v>2024</v>
      </c>
      <c r="K436" s="3">
        <v>461.81</v>
      </c>
      <c r="L436" t="str">
        <f t="shared" si="30"/>
        <v>5% off</v>
      </c>
      <c r="M436" s="3">
        <f t="shared" si="31"/>
        <v>23.090500000000002</v>
      </c>
      <c r="N436" t="str">
        <f t="shared" si="32"/>
        <v>Yes</v>
      </c>
      <c r="O436" t="s">
        <v>21</v>
      </c>
      <c r="P436" s="3">
        <f t="shared" si="33"/>
        <v>438.71949999999998</v>
      </c>
      <c r="Q436" t="s">
        <v>22</v>
      </c>
      <c r="R436">
        <v>2</v>
      </c>
      <c r="S436" t="str">
        <f t="shared" si="34"/>
        <v>Poor</v>
      </c>
    </row>
    <row r="437" spans="1:19" x14ac:dyDescent="0.25">
      <c r="A437" t="s">
        <v>763</v>
      </c>
      <c r="B437">
        <v>50</v>
      </c>
      <c r="C437" t="s">
        <v>16</v>
      </c>
      <c r="D437" t="s">
        <v>2555</v>
      </c>
      <c r="E437" t="s">
        <v>37</v>
      </c>
      <c r="F437" t="s">
        <v>38</v>
      </c>
      <c r="G437" t="s">
        <v>764</v>
      </c>
      <c r="H437" t="str">
        <f>TEXT(walmart[[#This Row],[Purchase_Date]],"DDD")</f>
        <v>Sun</v>
      </c>
      <c r="I437" t="str">
        <f>TEXT(walmart[[#This Row],[Purchase_Date]],"MMM")</f>
        <v>Apr</v>
      </c>
      <c r="J437" t="str">
        <f>TEXT(walmart[[#This Row],[Purchase_Date]],"YYY")</f>
        <v>2024</v>
      </c>
      <c r="K437" s="3">
        <v>211.46</v>
      </c>
      <c r="L437" t="str">
        <f t="shared" si="30"/>
        <v>5% off</v>
      </c>
      <c r="M437" s="3">
        <f t="shared" si="31"/>
        <v>10.573</v>
      </c>
      <c r="N437" t="str">
        <f t="shared" si="32"/>
        <v>Yes</v>
      </c>
      <c r="O437" t="s">
        <v>34</v>
      </c>
      <c r="P437" s="3">
        <f t="shared" si="33"/>
        <v>200.887</v>
      </c>
      <c r="Q437" t="s">
        <v>22</v>
      </c>
      <c r="R437">
        <v>1</v>
      </c>
      <c r="S437" t="str">
        <f t="shared" si="34"/>
        <v>Very Poor</v>
      </c>
    </row>
    <row r="438" spans="1:19" x14ac:dyDescent="0.25">
      <c r="A438" t="s">
        <v>765</v>
      </c>
      <c r="B438">
        <v>32</v>
      </c>
      <c r="C438" t="s">
        <v>16</v>
      </c>
      <c r="D438" t="s">
        <v>2556</v>
      </c>
      <c r="E438" t="s">
        <v>18</v>
      </c>
      <c r="F438" t="s">
        <v>19</v>
      </c>
      <c r="G438" t="s">
        <v>766</v>
      </c>
      <c r="H438" t="str">
        <f>TEXT(walmart[[#This Row],[Purchase_Date]],"DDD")</f>
        <v>Fri</v>
      </c>
      <c r="I438" t="str">
        <f>TEXT(walmart[[#This Row],[Purchase_Date]],"MMM")</f>
        <v>Sep</v>
      </c>
      <c r="J438" t="str">
        <f>TEXT(walmart[[#This Row],[Purchase_Date]],"YYY")</f>
        <v>2024</v>
      </c>
      <c r="K438" s="3">
        <v>697.86</v>
      </c>
      <c r="L438" t="str">
        <f t="shared" si="30"/>
        <v>10% off</v>
      </c>
      <c r="M438" s="3">
        <f t="shared" si="31"/>
        <v>69.786000000000001</v>
      </c>
      <c r="N438" t="str">
        <f t="shared" si="32"/>
        <v>Yes</v>
      </c>
      <c r="O438" t="s">
        <v>34</v>
      </c>
      <c r="P438" s="3">
        <f t="shared" si="33"/>
        <v>628.07400000000007</v>
      </c>
      <c r="Q438" t="s">
        <v>27</v>
      </c>
      <c r="R438">
        <v>1</v>
      </c>
      <c r="S438" t="str">
        <f t="shared" si="34"/>
        <v>Very Poor</v>
      </c>
    </row>
    <row r="439" spans="1:19" x14ac:dyDescent="0.25">
      <c r="A439" t="s">
        <v>767</v>
      </c>
      <c r="B439">
        <v>59</v>
      </c>
      <c r="C439" t="s">
        <v>29</v>
      </c>
      <c r="D439" t="s">
        <v>2557</v>
      </c>
      <c r="E439" t="s">
        <v>42</v>
      </c>
      <c r="F439" t="s">
        <v>43</v>
      </c>
      <c r="G439" t="s">
        <v>520</v>
      </c>
      <c r="H439" t="str">
        <f>TEXT(walmart[[#This Row],[Purchase_Date]],"DDD")</f>
        <v>Fri</v>
      </c>
      <c r="I439" t="str">
        <f>TEXT(walmart[[#This Row],[Purchase_Date]],"MMM")</f>
        <v>Mar</v>
      </c>
      <c r="J439" t="str">
        <f>TEXT(walmart[[#This Row],[Purchase_Date]],"YYY")</f>
        <v>2025</v>
      </c>
      <c r="K439" s="3">
        <v>512.94000000000005</v>
      </c>
      <c r="L439" t="str">
        <f t="shared" si="30"/>
        <v>10% off</v>
      </c>
      <c r="M439" s="3">
        <f t="shared" si="31"/>
        <v>51.294000000000011</v>
      </c>
      <c r="N439" t="str">
        <f t="shared" si="32"/>
        <v>Yes</v>
      </c>
      <c r="O439" t="s">
        <v>34</v>
      </c>
      <c r="P439" s="3">
        <f t="shared" si="33"/>
        <v>461.64600000000007</v>
      </c>
      <c r="Q439" t="s">
        <v>47</v>
      </c>
      <c r="R439">
        <v>4</v>
      </c>
      <c r="S439" t="str">
        <f t="shared" si="34"/>
        <v>Good</v>
      </c>
    </row>
    <row r="440" spans="1:19" x14ac:dyDescent="0.25">
      <c r="A440" t="s">
        <v>768</v>
      </c>
      <c r="B440">
        <v>18</v>
      </c>
      <c r="C440" t="s">
        <v>29</v>
      </c>
      <c r="D440" t="s">
        <v>2558</v>
      </c>
      <c r="E440" t="s">
        <v>37</v>
      </c>
      <c r="F440" t="s">
        <v>82</v>
      </c>
      <c r="G440" t="s">
        <v>685</v>
      </c>
      <c r="H440" t="str">
        <f>TEXT(walmart[[#This Row],[Purchase_Date]],"DDD")</f>
        <v>Fri</v>
      </c>
      <c r="I440" t="str">
        <f>TEXT(walmart[[#This Row],[Purchase_Date]],"MMM")</f>
        <v>May</v>
      </c>
      <c r="J440" t="str">
        <f>TEXT(walmart[[#This Row],[Purchase_Date]],"YYY")</f>
        <v>2024</v>
      </c>
      <c r="K440" s="3">
        <v>270.41000000000003</v>
      </c>
      <c r="L440" t="str">
        <f t="shared" si="30"/>
        <v>5% off</v>
      </c>
      <c r="M440" s="3">
        <f t="shared" si="31"/>
        <v>13.520500000000002</v>
      </c>
      <c r="N440" t="str">
        <f t="shared" si="32"/>
        <v>Yes</v>
      </c>
      <c r="O440" t="s">
        <v>21</v>
      </c>
      <c r="P440" s="3">
        <f t="shared" si="33"/>
        <v>256.8895</v>
      </c>
      <c r="Q440" t="s">
        <v>35</v>
      </c>
      <c r="R440">
        <v>3</v>
      </c>
      <c r="S440" t="str">
        <f t="shared" si="34"/>
        <v>Average</v>
      </c>
    </row>
    <row r="441" spans="1:19" x14ac:dyDescent="0.25">
      <c r="A441" t="s">
        <v>769</v>
      </c>
      <c r="B441">
        <v>68</v>
      </c>
      <c r="C441" t="s">
        <v>29</v>
      </c>
      <c r="D441" t="s">
        <v>2559</v>
      </c>
      <c r="E441" t="s">
        <v>18</v>
      </c>
      <c r="F441" t="s">
        <v>142</v>
      </c>
      <c r="G441" t="s">
        <v>409</v>
      </c>
      <c r="H441" t="str">
        <f>TEXT(walmart[[#This Row],[Purchase_Date]],"DDD")</f>
        <v>Wed</v>
      </c>
      <c r="I441" t="str">
        <f>TEXT(walmart[[#This Row],[Purchase_Date]],"MMM")</f>
        <v>Jul</v>
      </c>
      <c r="J441" t="str">
        <f>TEXT(walmart[[#This Row],[Purchase_Date]],"YYY")</f>
        <v>2024</v>
      </c>
      <c r="K441" s="3">
        <v>485.26</v>
      </c>
      <c r="L441" t="str">
        <f t="shared" si="30"/>
        <v>5% off</v>
      </c>
      <c r="M441" s="3">
        <f t="shared" si="31"/>
        <v>24.263000000000002</v>
      </c>
      <c r="N441" t="str">
        <f t="shared" si="32"/>
        <v>Yes</v>
      </c>
      <c r="O441" t="s">
        <v>21</v>
      </c>
      <c r="P441" s="3">
        <f t="shared" si="33"/>
        <v>460.99700000000001</v>
      </c>
      <c r="Q441" t="s">
        <v>27</v>
      </c>
      <c r="R441">
        <v>5</v>
      </c>
      <c r="S441" t="str">
        <f t="shared" si="34"/>
        <v>Excellent</v>
      </c>
    </row>
    <row r="442" spans="1:19" x14ac:dyDescent="0.25">
      <c r="A442" t="s">
        <v>770</v>
      </c>
      <c r="B442">
        <v>68</v>
      </c>
      <c r="C442" t="s">
        <v>29</v>
      </c>
      <c r="D442" t="s">
        <v>2560</v>
      </c>
      <c r="E442" t="s">
        <v>31</v>
      </c>
      <c r="F442" t="s">
        <v>32</v>
      </c>
      <c r="G442" t="s">
        <v>355</v>
      </c>
      <c r="H442" t="str">
        <f>TEXT(walmart[[#This Row],[Purchase_Date]],"DDD")</f>
        <v>Fri</v>
      </c>
      <c r="I442" t="str">
        <f>TEXT(walmart[[#This Row],[Purchase_Date]],"MMM")</f>
        <v>Nov</v>
      </c>
      <c r="J442" t="str">
        <f>TEXT(walmart[[#This Row],[Purchase_Date]],"YYY")</f>
        <v>2024</v>
      </c>
      <c r="K442" s="3">
        <v>493.96</v>
      </c>
      <c r="L442" t="str">
        <f t="shared" si="30"/>
        <v>5% off</v>
      </c>
      <c r="M442" s="3">
        <f t="shared" si="31"/>
        <v>24.698</v>
      </c>
      <c r="N442" t="str">
        <f t="shared" si="32"/>
        <v>Yes</v>
      </c>
      <c r="O442" t="s">
        <v>21</v>
      </c>
      <c r="P442" s="3">
        <f t="shared" si="33"/>
        <v>469.262</v>
      </c>
      <c r="Q442" t="s">
        <v>27</v>
      </c>
      <c r="R442">
        <v>3</v>
      </c>
      <c r="S442" t="str">
        <f t="shared" si="34"/>
        <v>Average</v>
      </c>
    </row>
    <row r="443" spans="1:19" x14ac:dyDescent="0.25">
      <c r="A443" t="s">
        <v>771</v>
      </c>
      <c r="B443">
        <v>59</v>
      </c>
      <c r="C443" t="s">
        <v>29</v>
      </c>
      <c r="D443" t="s">
        <v>2561</v>
      </c>
      <c r="E443" t="s">
        <v>37</v>
      </c>
      <c r="F443" t="s">
        <v>117</v>
      </c>
      <c r="G443" t="s">
        <v>772</v>
      </c>
      <c r="H443" t="str">
        <f>TEXT(walmart[[#This Row],[Purchase_Date]],"DDD")</f>
        <v>Sat</v>
      </c>
      <c r="I443" t="str">
        <f>TEXT(walmart[[#This Row],[Purchase_Date]],"MMM")</f>
        <v>Mar</v>
      </c>
      <c r="J443" t="str">
        <f>TEXT(walmart[[#This Row],[Purchase_Date]],"YYY")</f>
        <v>2024</v>
      </c>
      <c r="K443" s="3">
        <v>165.68</v>
      </c>
      <c r="L443" t="str">
        <f t="shared" si="30"/>
        <v>5% off</v>
      </c>
      <c r="M443" s="3">
        <f t="shared" si="31"/>
        <v>8.2840000000000007</v>
      </c>
      <c r="N443" t="str">
        <f t="shared" si="32"/>
        <v>Yes</v>
      </c>
      <c r="O443" t="s">
        <v>34</v>
      </c>
      <c r="P443" s="3">
        <f t="shared" si="33"/>
        <v>157.39600000000002</v>
      </c>
      <c r="Q443" t="s">
        <v>27</v>
      </c>
      <c r="R443">
        <v>1</v>
      </c>
      <c r="S443" t="str">
        <f t="shared" si="34"/>
        <v>Very Poor</v>
      </c>
    </row>
    <row r="444" spans="1:19" x14ac:dyDescent="0.25">
      <c r="A444" t="s">
        <v>773</v>
      </c>
      <c r="B444">
        <v>50</v>
      </c>
      <c r="C444" t="s">
        <v>16</v>
      </c>
      <c r="D444" t="s">
        <v>2501</v>
      </c>
      <c r="E444" t="s">
        <v>24</v>
      </c>
      <c r="F444" t="s">
        <v>186</v>
      </c>
      <c r="G444" t="s">
        <v>607</v>
      </c>
      <c r="H444" t="str">
        <f>TEXT(walmart[[#This Row],[Purchase_Date]],"DDD")</f>
        <v>Wed</v>
      </c>
      <c r="I444" t="str">
        <f>TEXT(walmart[[#This Row],[Purchase_Date]],"MMM")</f>
        <v>Oct</v>
      </c>
      <c r="J444" t="str">
        <f>TEXT(walmart[[#This Row],[Purchase_Date]],"YYY")</f>
        <v>2024</v>
      </c>
      <c r="K444" s="3">
        <v>527.16999999999996</v>
      </c>
      <c r="L444" t="str">
        <f t="shared" si="30"/>
        <v>10% off</v>
      </c>
      <c r="M444" s="3">
        <f t="shared" si="31"/>
        <v>52.716999999999999</v>
      </c>
      <c r="N444" t="str">
        <f t="shared" si="32"/>
        <v>Yes</v>
      </c>
      <c r="O444" t="s">
        <v>34</v>
      </c>
      <c r="P444" s="3">
        <f t="shared" si="33"/>
        <v>474.45299999999997</v>
      </c>
      <c r="Q444" t="s">
        <v>27</v>
      </c>
      <c r="R444">
        <v>5</v>
      </c>
      <c r="S444" t="str">
        <f t="shared" si="34"/>
        <v>Excellent</v>
      </c>
    </row>
    <row r="445" spans="1:19" x14ac:dyDescent="0.25">
      <c r="A445" t="s">
        <v>774</v>
      </c>
      <c r="B445">
        <v>36</v>
      </c>
      <c r="C445" t="s">
        <v>16</v>
      </c>
      <c r="D445" t="s">
        <v>2504</v>
      </c>
      <c r="E445" t="s">
        <v>42</v>
      </c>
      <c r="F445" t="s">
        <v>52</v>
      </c>
      <c r="G445" t="s">
        <v>355</v>
      </c>
      <c r="H445" t="str">
        <f>TEXT(walmart[[#This Row],[Purchase_Date]],"DDD")</f>
        <v>Fri</v>
      </c>
      <c r="I445" t="str">
        <f>TEXT(walmart[[#This Row],[Purchase_Date]],"MMM")</f>
        <v>Nov</v>
      </c>
      <c r="J445" t="str">
        <f>TEXT(walmart[[#This Row],[Purchase_Date]],"YYY")</f>
        <v>2024</v>
      </c>
      <c r="K445" s="3">
        <v>988.77</v>
      </c>
      <c r="L445" t="str">
        <f t="shared" si="30"/>
        <v>20% off</v>
      </c>
      <c r="M445" s="3">
        <f t="shared" si="31"/>
        <v>197.75400000000002</v>
      </c>
      <c r="N445" t="str">
        <f t="shared" si="32"/>
        <v>Yes</v>
      </c>
      <c r="O445" t="s">
        <v>34</v>
      </c>
      <c r="P445" s="3">
        <f t="shared" si="33"/>
        <v>791.01599999999996</v>
      </c>
      <c r="Q445" t="s">
        <v>22</v>
      </c>
      <c r="R445">
        <v>4</v>
      </c>
      <c r="S445" t="str">
        <f t="shared" si="34"/>
        <v>Good</v>
      </c>
    </row>
    <row r="446" spans="1:19" x14ac:dyDescent="0.25">
      <c r="A446" t="s">
        <v>775</v>
      </c>
      <c r="B446">
        <v>61</v>
      </c>
      <c r="C446" t="s">
        <v>16</v>
      </c>
      <c r="D446" t="s">
        <v>2505</v>
      </c>
      <c r="E446" t="s">
        <v>24</v>
      </c>
      <c r="F446" t="s">
        <v>162</v>
      </c>
      <c r="G446" t="s">
        <v>594</v>
      </c>
      <c r="H446" t="str">
        <f>TEXT(walmart[[#This Row],[Purchase_Date]],"DDD")</f>
        <v>Thu</v>
      </c>
      <c r="I446" t="str">
        <f>TEXT(walmart[[#This Row],[Purchase_Date]],"MMM")</f>
        <v>Nov</v>
      </c>
      <c r="J446" t="str">
        <f>TEXT(walmart[[#This Row],[Purchase_Date]],"YYY")</f>
        <v>2024</v>
      </c>
      <c r="K446" s="3">
        <v>362.55</v>
      </c>
      <c r="L446" t="str">
        <f t="shared" si="30"/>
        <v>5% off</v>
      </c>
      <c r="M446" s="3">
        <f t="shared" si="31"/>
        <v>18.127500000000001</v>
      </c>
      <c r="N446" t="str">
        <f t="shared" si="32"/>
        <v>Yes</v>
      </c>
      <c r="O446" t="s">
        <v>34</v>
      </c>
      <c r="P446" s="3">
        <f t="shared" si="33"/>
        <v>344.42250000000001</v>
      </c>
      <c r="Q446" t="s">
        <v>27</v>
      </c>
      <c r="R446">
        <v>2</v>
      </c>
      <c r="S446" t="str">
        <f t="shared" si="34"/>
        <v>Poor</v>
      </c>
    </row>
    <row r="447" spans="1:19" x14ac:dyDescent="0.25">
      <c r="A447" t="s">
        <v>776</v>
      </c>
      <c r="B447">
        <v>60</v>
      </c>
      <c r="C447" t="s">
        <v>16</v>
      </c>
      <c r="D447" t="s">
        <v>2562</v>
      </c>
      <c r="E447" t="s">
        <v>31</v>
      </c>
      <c r="F447" t="s">
        <v>300</v>
      </c>
      <c r="G447" t="s">
        <v>252</v>
      </c>
      <c r="H447" t="str">
        <f>TEXT(walmart[[#This Row],[Purchase_Date]],"DDD")</f>
        <v>Tue</v>
      </c>
      <c r="I447" t="str">
        <f>TEXT(walmart[[#This Row],[Purchase_Date]],"MMM")</f>
        <v>Jun</v>
      </c>
      <c r="J447" t="str">
        <f>TEXT(walmart[[#This Row],[Purchase_Date]],"YYY")</f>
        <v>2024</v>
      </c>
      <c r="K447" s="3">
        <v>340.04</v>
      </c>
      <c r="L447" t="str">
        <f t="shared" si="30"/>
        <v>5% off</v>
      </c>
      <c r="M447" s="3">
        <f t="shared" si="31"/>
        <v>17.002000000000002</v>
      </c>
      <c r="N447" t="str">
        <f t="shared" si="32"/>
        <v>Yes</v>
      </c>
      <c r="O447" t="s">
        <v>34</v>
      </c>
      <c r="P447" s="3">
        <f t="shared" si="33"/>
        <v>323.03800000000001</v>
      </c>
      <c r="Q447" t="s">
        <v>22</v>
      </c>
      <c r="R447">
        <v>3</v>
      </c>
      <c r="S447" t="str">
        <f t="shared" si="34"/>
        <v>Average</v>
      </c>
    </row>
    <row r="448" spans="1:19" x14ac:dyDescent="0.25">
      <c r="A448" t="s">
        <v>777</v>
      </c>
      <c r="B448">
        <v>28</v>
      </c>
      <c r="C448" t="s">
        <v>16</v>
      </c>
      <c r="D448" t="s">
        <v>2563</v>
      </c>
      <c r="E448" t="s">
        <v>73</v>
      </c>
      <c r="F448" t="s">
        <v>138</v>
      </c>
      <c r="G448" t="s">
        <v>189</v>
      </c>
      <c r="H448" t="str">
        <f>TEXT(walmart[[#This Row],[Purchase_Date]],"DDD")</f>
        <v>Sat</v>
      </c>
      <c r="I448" t="str">
        <f>TEXT(walmart[[#This Row],[Purchase_Date]],"MMM")</f>
        <v>Jun</v>
      </c>
      <c r="J448" t="str">
        <f>TEXT(walmart[[#This Row],[Purchase_Date]],"YYY")</f>
        <v>2024</v>
      </c>
      <c r="K448" s="3">
        <v>461.81</v>
      </c>
      <c r="L448" t="str">
        <f t="shared" si="30"/>
        <v>5% off</v>
      </c>
      <c r="M448" s="3">
        <f t="shared" si="31"/>
        <v>23.090500000000002</v>
      </c>
      <c r="N448" t="str">
        <f t="shared" si="32"/>
        <v>Yes</v>
      </c>
      <c r="O448" t="s">
        <v>34</v>
      </c>
      <c r="P448" s="3">
        <f t="shared" si="33"/>
        <v>438.71949999999998</v>
      </c>
      <c r="Q448" t="s">
        <v>47</v>
      </c>
      <c r="R448">
        <v>4</v>
      </c>
      <c r="S448" t="str">
        <f t="shared" si="34"/>
        <v>Good</v>
      </c>
    </row>
    <row r="449" spans="1:19" x14ac:dyDescent="0.25">
      <c r="A449" t="s">
        <v>778</v>
      </c>
      <c r="B449">
        <v>68</v>
      </c>
      <c r="C449" t="s">
        <v>16</v>
      </c>
      <c r="D449" t="s">
        <v>2564</v>
      </c>
      <c r="E449" t="s">
        <v>18</v>
      </c>
      <c r="F449" t="s">
        <v>19</v>
      </c>
      <c r="G449" t="s">
        <v>545</v>
      </c>
      <c r="H449" t="str">
        <f>TEXT(walmart[[#This Row],[Purchase_Date]],"DDD")</f>
        <v>Wed</v>
      </c>
      <c r="I449" t="str">
        <f>TEXT(walmart[[#This Row],[Purchase_Date]],"MMM")</f>
        <v>Feb</v>
      </c>
      <c r="J449" t="str">
        <f>TEXT(walmart[[#This Row],[Purchase_Date]],"YYY")</f>
        <v>2025</v>
      </c>
      <c r="K449" s="3">
        <v>697.86</v>
      </c>
      <c r="L449" t="str">
        <f t="shared" si="30"/>
        <v>10% off</v>
      </c>
      <c r="M449" s="3">
        <f t="shared" si="31"/>
        <v>69.786000000000001</v>
      </c>
      <c r="N449" t="str">
        <f t="shared" si="32"/>
        <v>Yes</v>
      </c>
      <c r="O449" t="s">
        <v>21</v>
      </c>
      <c r="P449" s="3">
        <f t="shared" si="33"/>
        <v>628.07400000000007</v>
      </c>
      <c r="Q449" t="s">
        <v>22</v>
      </c>
      <c r="R449">
        <v>2</v>
      </c>
      <c r="S449" t="str">
        <f t="shared" si="34"/>
        <v>Poor</v>
      </c>
    </row>
    <row r="450" spans="1:19" x14ac:dyDescent="0.25">
      <c r="A450" t="s">
        <v>779</v>
      </c>
      <c r="B450">
        <v>29</v>
      </c>
      <c r="C450" t="s">
        <v>29</v>
      </c>
      <c r="D450" t="s">
        <v>2565</v>
      </c>
      <c r="E450" t="s">
        <v>55</v>
      </c>
      <c r="F450" t="s">
        <v>56</v>
      </c>
      <c r="G450" t="s">
        <v>407</v>
      </c>
      <c r="H450" t="str">
        <f>TEXT(walmart[[#This Row],[Purchase_Date]],"DDD")</f>
        <v>Tue</v>
      </c>
      <c r="I450" t="str">
        <f>TEXT(walmart[[#This Row],[Purchase_Date]],"MMM")</f>
        <v>Jul</v>
      </c>
      <c r="J450" t="str">
        <f>TEXT(walmart[[#This Row],[Purchase_Date]],"YYY")</f>
        <v>2024</v>
      </c>
      <c r="K450" s="3">
        <v>76.81</v>
      </c>
      <c r="L450" t="str">
        <f t="shared" si="30"/>
        <v>0% off</v>
      </c>
      <c r="M450" s="3">
        <f t="shared" si="31"/>
        <v>0</v>
      </c>
      <c r="N450" t="str">
        <f t="shared" si="32"/>
        <v>No</v>
      </c>
      <c r="O450" t="s">
        <v>34</v>
      </c>
      <c r="P450" s="3">
        <f t="shared" si="33"/>
        <v>76.81</v>
      </c>
      <c r="Q450" t="s">
        <v>27</v>
      </c>
      <c r="R450">
        <v>5</v>
      </c>
      <c r="S450" t="str">
        <f t="shared" si="34"/>
        <v>Excellent</v>
      </c>
    </row>
    <row r="451" spans="1:19" x14ac:dyDescent="0.25">
      <c r="A451" t="s">
        <v>780</v>
      </c>
      <c r="B451">
        <v>40</v>
      </c>
      <c r="C451" t="s">
        <v>16</v>
      </c>
      <c r="D451" t="s">
        <v>2566</v>
      </c>
      <c r="E451" t="s">
        <v>73</v>
      </c>
      <c r="F451" t="s">
        <v>91</v>
      </c>
      <c r="G451" t="s">
        <v>118</v>
      </c>
      <c r="H451" t="str">
        <f>TEXT(walmart[[#This Row],[Purchase_Date]],"DDD")</f>
        <v>Tue</v>
      </c>
      <c r="I451" t="str">
        <f>TEXT(walmart[[#This Row],[Purchase_Date]],"MMM")</f>
        <v>Jun</v>
      </c>
      <c r="J451" t="str">
        <f>TEXT(walmart[[#This Row],[Purchase_Date]],"YYY")</f>
        <v>2024</v>
      </c>
      <c r="K451" s="3">
        <v>418.55</v>
      </c>
      <c r="L451" t="str">
        <f t="shared" ref="L451:L514" si="35">IF(K451&lt;150,"0% off",IF(K451&lt;500,"5% off",IF(K451&lt;700,"10% off",IF(K451&lt;900,"15% off","20% off"))))</f>
        <v>5% off</v>
      </c>
      <c r="M451" s="3">
        <f t="shared" ref="M451:M514" si="36">K451 * (LEFT(L451, LEN(L451)-5) / 100)</f>
        <v>20.927500000000002</v>
      </c>
      <c r="N451" t="str">
        <f t="shared" ref="N451:N514" si="37">IF(L451="0% off", "No", "Yes")</f>
        <v>Yes</v>
      </c>
      <c r="O451" t="s">
        <v>34</v>
      </c>
      <c r="P451" s="3">
        <f t="shared" ref="P451:P514" si="38">K451-M451</f>
        <v>397.6225</v>
      </c>
      <c r="Q451" t="s">
        <v>47</v>
      </c>
      <c r="R451">
        <v>1</v>
      </c>
      <c r="S451" t="str">
        <f t="shared" ref="S451:S514" si="39">IF(R451=5, "Excellent", IF(R451=4, "Good", IF(R451=3, "Average", IF(R451=2, "Poor", IF(R451=1, "Very Poor", "Invalid Rating")))))</f>
        <v>Very Poor</v>
      </c>
    </row>
    <row r="452" spans="1:19" x14ac:dyDescent="0.25">
      <c r="A452" t="s">
        <v>781</v>
      </c>
      <c r="B452">
        <v>41</v>
      </c>
      <c r="C452" t="s">
        <v>16</v>
      </c>
      <c r="D452" t="s">
        <v>2433</v>
      </c>
      <c r="E452" t="s">
        <v>55</v>
      </c>
      <c r="F452" t="s">
        <v>56</v>
      </c>
      <c r="G452" t="s">
        <v>782</v>
      </c>
      <c r="H452" t="str">
        <f>TEXT(walmart[[#This Row],[Purchase_Date]],"DDD")</f>
        <v>Thu</v>
      </c>
      <c r="I452" t="str">
        <f>TEXT(walmart[[#This Row],[Purchase_Date]],"MMM")</f>
        <v>Sep</v>
      </c>
      <c r="J452" t="str">
        <f>TEXT(walmart[[#This Row],[Purchase_Date]],"YYY")</f>
        <v>2024</v>
      </c>
      <c r="K452" s="3">
        <v>76.81</v>
      </c>
      <c r="L452" t="str">
        <f t="shared" si="35"/>
        <v>0% off</v>
      </c>
      <c r="M452" s="3">
        <f t="shared" si="36"/>
        <v>0</v>
      </c>
      <c r="N452" t="str">
        <f t="shared" si="37"/>
        <v>No</v>
      </c>
      <c r="O452" t="s">
        <v>21</v>
      </c>
      <c r="P452" s="3">
        <f t="shared" si="38"/>
        <v>76.81</v>
      </c>
      <c r="Q452" t="s">
        <v>47</v>
      </c>
      <c r="R452">
        <v>4</v>
      </c>
      <c r="S452" t="str">
        <f t="shared" si="39"/>
        <v>Good</v>
      </c>
    </row>
    <row r="453" spans="1:19" x14ac:dyDescent="0.25">
      <c r="A453" t="s">
        <v>783</v>
      </c>
      <c r="B453">
        <v>42</v>
      </c>
      <c r="C453" t="s">
        <v>16</v>
      </c>
      <c r="D453" t="s">
        <v>49</v>
      </c>
      <c r="E453" t="s">
        <v>37</v>
      </c>
      <c r="F453" t="s">
        <v>82</v>
      </c>
      <c r="G453" t="s">
        <v>622</v>
      </c>
      <c r="H453" t="str">
        <f>TEXT(walmart[[#This Row],[Purchase_Date]],"DDD")</f>
        <v>Mon</v>
      </c>
      <c r="I453" t="str">
        <f>TEXT(walmart[[#This Row],[Purchase_Date]],"MMM")</f>
        <v>Dec</v>
      </c>
      <c r="J453" t="str">
        <f>TEXT(walmart[[#This Row],[Purchase_Date]],"YYY")</f>
        <v>2024</v>
      </c>
      <c r="K453" s="3">
        <v>270.41000000000003</v>
      </c>
      <c r="L453" t="str">
        <f t="shared" si="35"/>
        <v>5% off</v>
      </c>
      <c r="M453" s="3">
        <f t="shared" si="36"/>
        <v>13.520500000000002</v>
      </c>
      <c r="N453" t="str">
        <f t="shared" si="37"/>
        <v>Yes</v>
      </c>
      <c r="O453" t="s">
        <v>21</v>
      </c>
      <c r="P453" s="3">
        <f t="shared" si="38"/>
        <v>256.8895</v>
      </c>
      <c r="Q453" t="s">
        <v>27</v>
      </c>
      <c r="R453">
        <v>2</v>
      </c>
      <c r="S453" t="str">
        <f t="shared" si="39"/>
        <v>Poor</v>
      </c>
    </row>
    <row r="454" spans="1:19" x14ac:dyDescent="0.25">
      <c r="A454" t="s">
        <v>784</v>
      </c>
      <c r="B454">
        <v>35</v>
      </c>
      <c r="C454" t="s">
        <v>29</v>
      </c>
      <c r="D454" t="s">
        <v>30</v>
      </c>
      <c r="E454" t="s">
        <v>55</v>
      </c>
      <c r="F454" t="s">
        <v>64</v>
      </c>
      <c r="G454" t="s">
        <v>785</v>
      </c>
      <c r="H454" t="str">
        <f>TEXT(walmart[[#This Row],[Purchase_Date]],"DDD")</f>
        <v>Sat</v>
      </c>
      <c r="I454" t="str">
        <f>TEXT(walmart[[#This Row],[Purchase_Date]],"MMM")</f>
        <v>Apr</v>
      </c>
      <c r="J454" t="str">
        <f>TEXT(walmart[[#This Row],[Purchase_Date]],"YYY")</f>
        <v>2024</v>
      </c>
      <c r="K454" s="3">
        <v>374.92</v>
      </c>
      <c r="L454" t="str">
        <f t="shared" si="35"/>
        <v>5% off</v>
      </c>
      <c r="M454" s="3">
        <f t="shared" si="36"/>
        <v>18.746000000000002</v>
      </c>
      <c r="N454" t="str">
        <f t="shared" si="37"/>
        <v>Yes</v>
      </c>
      <c r="O454" t="s">
        <v>34</v>
      </c>
      <c r="P454" s="3">
        <f t="shared" si="38"/>
        <v>356.17400000000004</v>
      </c>
      <c r="Q454" t="s">
        <v>47</v>
      </c>
      <c r="R454">
        <v>2</v>
      </c>
      <c r="S454" t="str">
        <f t="shared" si="39"/>
        <v>Poor</v>
      </c>
    </row>
    <row r="455" spans="1:19" x14ac:dyDescent="0.25">
      <c r="A455" t="s">
        <v>786</v>
      </c>
      <c r="B455">
        <v>41</v>
      </c>
      <c r="C455" t="s">
        <v>16</v>
      </c>
      <c r="D455" t="s">
        <v>41</v>
      </c>
      <c r="E455" t="s">
        <v>24</v>
      </c>
      <c r="F455" t="s">
        <v>25</v>
      </c>
      <c r="G455" t="s">
        <v>60</v>
      </c>
      <c r="H455" t="str">
        <f>TEXT(walmart[[#This Row],[Purchase_Date]],"DDD")</f>
        <v>Wed</v>
      </c>
      <c r="I455" t="str">
        <f>TEXT(walmart[[#This Row],[Purchase_Date]],"MMM")</f>
        <v>Oct</v>
      </c>
      <c r="J455" t="str">
        <f>TEXT(walmart[[#This Row],[Purchase_Date]],"YYY")</f>
        <v>2024</v>
      </c>
      <c r="K455" s="3">
        <v>67.040000000000006</v>
      </c>
      <c r="L455" t="str">
        <f t="shared" si="35"/>
        <v>0% off</v>
      </c>
      <c r="M455" s="3">
        <f t="shared" si="36"/>
        <v>0</v>
      </c>
      <c r="N455" t="str">
        <f t="shared" si="37"/>
        <v>No</v>
      </c>
      <c r="O455" t="s">
        <v>34</v>
      </c>
      <c r="P455" s="3">
        <f t="shared" si="38"/>
        <v>67.040000000000006</v>
      </c>
      <c r="Q455" t="s">
        <v>22</v>
      </c>
      <c r="R455">
        <v>4</v>
      </c>
      <c r="S455" t="str">
        <f t="shared" si="39"/>
        <v>Good</v>
      </c>
    </row>
    <row r="456" spans="1:19" x14ac:dyDescent="0.25">
      <c r="A456" t="s">
        <v>787</v>
      </c>
      <c r="B456">
        <v>56</v>
      </c>
      <c r="C456" t="s">
        <v>16</v>
      </c>
      <c r="D456" t="s">
        <v>2434</v>
      </c>
      <c r="E456" t="s">
        <v>55</v>
      </c>
      <c r="F456" t="s">
        <v>67</v>
      </c>
      <c r="G456" t="s">
        <v>342</v>
      </c>
      <c r="H456" t="str">
        <f>TEXT(walmart[[#This Row],[Purchase_Date]],"DDD")</f>
        <v>Mon</v>
      </c>
      <c r="I456" t="str">
        <f>TEXT(walmart[[#This Row],[Purchase_Date]],"MMM")</f>
        <v>Apr</v>
      </c>
      <c r="J456" t="str">
        <f>TEXT(walmart[[#This Row],[Purchase_Date]],"YYY")</f>
        <v>2024</v>
      </c>
      <c r="K456" s="3">
        <v>452.97</v>
      </c>
      <c r="L456" t="str">
        <f t="shared" si="35"/>
        <v>5% off</v>
      </c>
      <c r="M456" s="3">
        <f t="shared" si="36"/>
        <v>22.648500000000002</v>
      </c>
      <c r="N456" t="str">
        <f t="shared" si="37"/>
        <v>Yes</v>
      </c>
      <c r="O456" t="s">
        <v>34</v>
      </c>
      <c r="P456" s="3">
        <f t="shared" si="38"/>
        <v>430.32150000000001</v>
      </c>
      <c r="Q456" t="s">
        <v>47</v>
      </c>
      <c r="R456">
        <v>4</v>
      </c>
      <c r="S456" t="str">
        <f t="shared" si="39"/>
        <v>Good</v>
      </c>
    </row>
    <row r="457" spans="1:19" x14ac:dyDescent="0.25">
      <c r="A457" t="s">
        <v>788</v>
      </c>
      <c r="B457">
        <v>36</v>
      </c>
      <c r="C457" t="s">
        <v>29</v>
      </c>
      <c r="D457" t="s">
        <v>2435</v>
      </c>
      <c r="E457" t="s">
        <v>73</v>
      </c>
      <c r="F457" t="s">
        <v>91</v>
      </c>
      <c r="G457" t="s">
        <v>538</v>
      </c>
      <c r="H457" t="str">
        <f>TEXT(walmart[[#This Row],[Purchase_Date]],"DDD")</f>
        <v>Mon</v>
      </c>
      <c r="I457" t="str">
        <f>TEXT(walmart[[#This Row],[Purchase_Date]],"MMM")</f>
        <v>May</v>
      </c>
      <c r="J457" t="str">
        <f>TEXT(walmart[[#This Row],[Purchase_Date]],"YYY")</f>
        <v>2024</v>
      </c>
      <c r="K457" s="3">
        <v>418.55</v>
      </c>
      <c r="L457" t="str">
        <f t="shared" si="35"/>
        <v>5% off</v>
      </c>
      <c r="M457" s="3">
        <f t="shared" si="36"/>
        <v>20.927500000000002</v>
      </c>
      <c r="N457" t="str">
        <f t="shared" si="37"/>
        <v>Yes</v>
      </c>
      <c r="O457" t="s">
        <v>21</v>
      </c>
      <c r="P457" s="3">
        <f t="shared" si="38"/>
        <v>397.6225</v>
      </c>
      <c r="Q457" t="s">
        <v>27</v>
      </c>
      <c r="R457">
        <v>3</v>
      </c>
      <c r="S457" t="str">
        <f t="shared" si="39"/>
        <v>Average</v>
      </c>
    </row>
    <row r="458" spans="1:19" x14ac:dyDescent="0.25">
      <c r="A458" t="s">
        <v>789</v>
      </c>
      <c r="B458">
        <v>63</v>
      </c>
      <c r="C458" t="s">
        <v>29</v>
      </c>
      <c r="D458" t="s">
        <v>2436</v>
      </c>
      <c r="E458" t="s">
        <v>37</v>
      </c>
      <c r="F458" t="s">
        <v>82</v>
      </c>
      <c r="G458" t="s">
        <v>155</v>
      </c>
      <c r="H458" t="str">
        <f>TEXT(walmart[[#This Row],[Purchase_Date]],"DDD")</f>
        <v>Sat</v>
      </c>
      <c r="I458" t="str">
        <f>TEXT(walmart[[#This Row],[Purchase_Date]],"MMM")</f>
        <v>Sep</v>
      </c>
      <c r="J458" t="str">
        <f>TEXT(walmart[[#This Row],[Purchase_Date]],"YYY")</f>
        <v>2024</v>
      </c>
      <c r="K458" s="3">
        <v>270.41000000000003</v>
      </c>
      <c r="L458" t="str">
        <f t="shared" si="35"/>
        <v>5% off</v>
      </c>
      <c r="M458" s="3">
        <f t="shared" si="36"/>
        <v>13.520500000000002</v>
      </c>
      <c r="N458" t="str">
        <f t="shared" si="37"/>
        <v>Yes</v>
      </c>
      <c r="O458" t="s">
        <v>21</v>
      </c>
      <c r="P458" s="3">
        <f t="shared" si="38"/>
        <v>256.8895</v>
      </c>
      <c r="Q458" t="s">
        <v>35</v>
      </c>
      <c r="R458">
        <v>2</v>
      </c>
      <c r="S458" t="str">
        <f t="shared" si="39"/>
        <v>Poor</v>
      </c>
    </row>
    <row r="459" spans="1:19" x14ac:dyDescent="0.25">
      <c r="A459" t="s">
        <v>790</v>
      </c>
      <c r="B459">
        <v>70</v>
      </c>
      <c r="C459" t="s">
        <v>29</v>
      </c>
      <c r="D459" t="s">
        <v>2437</v>
      </c>
      <c r="E459" t="s">
        <v>42</v>
      </c>
      <c r="F459" t="s">
        <v>103</v>
      </c>
      <c r="G459" t="s">
        <v>791</v>
      </c>
      <c r="H459" t="str">
        <f>TEXT(walmart[[#This Row],[Purchase_Date]],"DDD")</f>
        <v>Thu</v>
      </c>
      <c r="I459" t="str">
        <f>TEXT(walmart[[#This Row],[Purchase_Date]],"MMM")</f>
        <v>Sep</v>
      </c>
      <c r="J459" t="str">
        <f>TEXT(walmart[[#This Row],[Purchase_Date]],"YYY")</f>
        <v>2024</v>
      </c>
      <c r="K459" s="3">
        <v>315.56</v>
      </c>
      <c r="L459" t="str">
        <f t="shared" si="35"/>
        <v>5% off</v>
      </c>
      <c r="M459" s="3">
        <f t="shared" si="36"/>
        <v>15.778</v>
      </c>
      <c r="N459" t="str">
        <f t="shared" si="37"/>
        <v>Yes</v>
      </c>
      <c r="O459" t="s">
        <v>34</v>
      </c>
      <c r="P459" s="3">
        <f t="shared" si="38"/>
        <v>299.78199999999998</v>
      </c>
      <c r="Q459" t="s">
        <v>47</v>
      </c>
      <c r="R459">
        <v>2</v>
      </c>
      <c r="S459" t="str">
        <f t="shared" si="39"/>
        <v>Poor</v>
      </c>
    </row>
    <row r="460" spans="1:19" x14ac:dyDescent="0.25">
      <c r="A460" t="s">
        <v>792</v>
      </c>
      <c r="B460">
        <v>41</v>
      </c>
      <c r="C460" t="s">
        <v>16</v>
      </c>
      <c r="D460" t="s">
        <v>2438</v>
      </c>
      <c r="E460" t="s">
        <v>37</v>
      </c>
      <c r="F460" t="s">
        <v>117</v>
      </c>
      <c r="G460" t="s">
        <v>95</v>
      </c>
      <c r="H460" t="str">
        <f>TEXT(walmart[[#This Row],[Purchase_Date]],"DDD")</f>
        <v>Wed</v>
      </c>
      <c r="I460" t="str">
        <f>TEXT(walmart[[#This Row],[Purchase_Date]],"MMM")</f>
        <v>Dec</v>
      </c>
      <c r="J460" t="str">
        <f>TEXT(walmart[[#This Row],[Purchase_Date]],"YYY")</f>
        <v>2024</v>
      </c>
      <c r="K460" s="3">
        <v>165.68</v>
      </c>
      <c r="L460" t="str">
        <f t="shared" si="35"/>
        <v>5% off</v>
      </c>
      <c r="M460" s="3">
        <f t="shared" si="36"/>
        <v>8.2840000000000007</v>
      </c>
      <c r="N460" t="str">
        <f t="shared" si="37"/>
        <v>Yes</v>
      </c>
      <c r="O460" t="s">
        <v>21</v>
      </c>
      <c r="P460" s="3">
        <f t="shared" si="38"/>
        <v>157.39600000000002</v>
      </c>
      <c r="Q460" t="s">
        <v>22</v>
      </c>
      <c r="R460">
        <v>3</v>
      </c>
      <c r="S460" t="str">
        <f t="shared" si="39"/>
        <v>Average</v>
      </c>
    </row>
    <row r="461" spans="1:19" x14ac:dyDescent="0.25">
      <c r="A461" t="s">
        <v>793</v>
      </c>
      <c r="B461">
        <v>58</v>
      </c>
      <c r="C461" t="s">
        <v>29</v>
      </c>
      <c r="D461" t="s">
        <v>2439</v>
      </c>
      <c r="E461" t="s">
        <v>55</v>
      </c>
      <c r="F461" t="s">
        <v>64</v>
      </c>
      <c r="G461" t="s">
        <v>794</v>
      </c>
      <c r="H461" t="str">
        <f>TEXT(walmart[[#This Row],[Purchase_Date]],"DDD")</f>
        <v>Wed</v>
      </c>
      <c r="I461" t="str">
        <f>TEXT(walmart[[#This Row],[Purchase_Date]],"MMM")</f>
        <v>Jan</v>
      </c>
      <c r="J461" t="str">
        <f>TEXT(walmart[[#This Row],[Purchase_Date]],"YYY")</f>
        <v>2025</v>
      </c>
      <c r="K461" s="3">
        <v>374.92</v>
      </c>
      <c r="L461" t="str">
        <f t="shared" si="35"/>
        <v>5% off</v>
      </c>
      <c r="M461" s="3">
        <f t="shared" si="36"/>
        <v>18.746000000000002</v>
      </c>
      <c r="N461" t="str">
        <f t="shared" si="37"/>
        <v>Yes</v>
      </c>
      <c r="O461" t="s">
        <v>21</v>
      </c>
      <c r="P461" s="3">
        <f t="shared" si="38"/>
        <v>356.17400000000004</v>
      </c>
      <c r="Q461" t="s">
        <v>27</v>
      </c>
      <c r="R461">
        <v>2</v>
      </c>
      <c r="S461" t="str">
        <f t="shared" si="39"/>
        <v>Poor</v>
      </c>
    </row>
    <row r="462" spans="1:19" x14ac:dyDescent="0.25">
      <c r="A462" t="s">
        <v>795</v>
      </c>
      <c r="B462">
        <v>53</v>
      </c>
      <c r="C462" t="s">
        <v>29</v>
      </c>
      <c r="D462" t="s">
        <v>2440</v>
      </c>
      <c r="E462" t="s">
        <v>55</v>
      </c>
      <c r="F462" t="s">
        <v>67</v>
      </c>
      <c r="G462" t="s">
        <v>772</v>
      </c>
      <c r="H462" t="str">
        <f>TEXT(walmart[[#This Row],[Purchase_Date]],"DDD")</f>
        <v>Sat</v>
      </c>
      <c r="I462" t="str">
        <f>TEXT(walmart[[#This Row],[Purchase_Date]],"MMM")</f>
        <v>Mar</v>
      </c>
      <c r="J462" t="str">
        <f>TEXT(walmart[[#This Row],[Purchase_Date]],"YYY")</f>
        <v>2024</v>
      </c>
      <c r="K462" s="3">
        <v>452.97</v>
      </c>
      <c r="L462" t="str">
        <f t="shared" si="35"/>
        <v>5% off</v>
      </c>
      <c r="M462" s="3">
        <f t="shared" si="36"/>
        <v>22.648500000000002</v>
      </c>
      <c r="N462" t="str">
        <f t="shared" si="37"/>
        <v>Yes</v>
      </c>
      <c r="O462" t="s">
        <v>34</v>
      </c>
      <c r="P462" s="3">
        <f t="shared" si="38"/>
        <v>430.32150000000001</v>
      </c>
      <c r="Q462" t="s">
        <v>35</v>
      </c>
      <c r="R462">
        <v>4</v>
      </c>
      <c r="S462" t="str">
        <f t="shared" si="39"/>
        <v>Good</v>
      </c>
    </row>
    <row r="463" spans="1:19" x14ac:dyDescent="0.25">
      <c r="A463" t="s">
        <v>796</v>
      </c>
      <c r="B463">
        <v>38</v>
      </c>
      <c r="C463" t="s">
        <v>16</v>
      </c>
      <c r="D463" t="s">
        <v>2441</v>
      </c>
      <c r="E463" t="s">
        <v>42</v>
      </c>
      <c r="F463" t="s">
        <v>120</v>
      </c>
      <c r="G463" t="s">
        <v>85</v>
      </c>
      <c r="H463" t="str">
        <f>TEXT(walmart[[#This Row],[Purchase_Date]],"DDD")</f>
        <v>Mon</v>
      </c>
      <c r="I463" t="str">
        <f>TEXT(walmart[[#This Row],[Purchase_Date]],"MMM")</f>
        <v>Jan</v>
      </c>
      <c r="J463" t="str">
        <f>TEXT(walmart[[#This Row],[Purchase_Date]],"YYY")</f>
        <v>2025</v>
      </c>
      <c r="K463" s="3">
        <v>260.77999999999997</v>
      </c>
      <c r="L463" t="str">
        <f t="shared" si="35"/>
        <v>5% off</v>
      </c>
      <c r="M463" s="3">
        <f t="shared" si="36"/>
        <v>13.039</v>
      </c>
      <c r="N463" t="str">
        <f t="shared" si="37"/>
        <v>Yes</v>
      </c>
      <c r="O463" t="s">
        <v>34</v>
      </c>
      <c r="P463" s="3">
        <f t="shared" si="38"/>
        <v>247.74099999999999</v>
      </c>
      <c r="Q463" t="s">
        <v>47</v>
      </c>
      <c r="R463">
        <v>3</v>
      </c>
      <c r="S463" t="str">
        <f t="shared" si="39"/>
        <v>Average</v>
      </c>
    </row>
    <row r="464" spans="1:19" x14ac:dyDescent="0.25">
      <c r="A464" t="s">
        <v>797</v>
      </c>
      <c r="B464">
        <v>21</v>
      </c>
      <c r="C464" t="s">
        <v>29</v>
      </c>
      <c r="D464" t="s">
        <v>17</v>
      </c>
      <c r="E464" t="s">
        <v>18</v>
      </c>
      <c r="F464" t="s">
        <v>77</v>
      </c>
      <c r="G464" t="s">
        <v>584</v>
      </c>
      <c r="H464" t="str">
        <f>TEXT(walmart[[#This Row],[Purchase_Date]],"DDD")</f>
        <v>Sat</v>
      </c>
      <c r="I464" t="str">
        <f>TEXT(walmart[[#This Row],[Purchase_Date]],"MMM")</f>
        <v>Mar</v>
      </c>
      <c r="J464" t="str">
        <f>TEXT(walmart[[#This Row],[Purchase_Date]],"YYY")</f>
        <v>2025</v>
      </c>
      <c r="K464" s="3">
        <v>116.78</v>
      </c>
      <c r="L464" t="str">
        <f t="shared" si="35"/>
        <v>0% off</v>
      </c>
      <c r="M464" s="3">
        <f t="shared" si="36"/>
        <v>0</v>
      </c>
      <c r="N464" t="str">
        <f t="shared" si="37"/>
        <v>No</v>
      </c>
      <c r="O464" t="s">
        <v>34</v>
      </c>
      <c r="P464" s="3">
        <f t="shared" si="38"/>
        <v>116.78</v>
      </c>
      <c r="Q464" t="s">
        <v>22</v>
      </c>
      <c r="R464">
        <v>3</v>
      </c>
      <c r="S464" t="str">
        <f t="shared" si="39"/>
        <v>Average</v>
      </c>
    </row>
    <row r="465" spans="1:19" x14ac:dyDescent="0.25">
      <c r="A465" t="s">
        <v>798</v>
      </c>
      <c r="B465">
        <v>57</v>
      </c>
      <c r="C465" t="s">
        <v>16</v>
      </c>
      <c r="D465" t="s">
        <v>2442</v>
      </c>
      <c r="E465" t="s">
        <v>31</v>
      </c>
      <c r="F465" t="s">
        <v>112</v>
      </c>
      <c r="G465" t="s">
        <v>311</v>
      </c>
      <c r="H465" t="str">
        <f>TEXT(walmart[[#This Row],[Purchase_Date]],"DDD")</f>
        <v>Mon</v>
      </c>
      <c r="I465" t="str">
        <f>TEXT(walmart[[#This Row],[Purchase_Date]],"MMM")</f>
        <v>Mar</v>
      </c>
      <c r="J465" t="str">
        <f>TEXT(walmart[[#This Row],[Purchase_Date]],"YYY")</f>
        <v>2025</v>
      </c>
      <c r="K465" s="3">
        <v>492.1</v>
      </c>
      <c r="L465" t="str">
        <f t="shared" si="35"/>
        <v>5% off</v>
      </c>
      <c r="M465" s="3">
        <f t="shared" si="36"/>
        <v>24.605000000000004</v>
      </c>
      <c r="N465" t="str">
        <f t="shared" si="37"/>
        <v>Yes</v>
      </c>
      <c r="O465" t="s">
        <v>34</v>
      </c>
      <c r="P465" s="3">
        <f t="shared" si="38"/>
        <v>467.495</v>
      </c>
      <c r="Q465" t="s">
        <v>35</v>
      </c>
      <c r="R465">
        <v>3</v>
      </c>
      <c r="S465" t="str">
        <f t="shared" si="39"/>
        <v>Average</v>
      </c>
    </row>
    <row r="466" spans="1:19" x14ac:dyDescent="0.25">
      <c r="A466" t="s">
        <v>799</v>
      </c>
      <c r="B466">
        <v>41</v>
      </c>
      <c r="C466" t="s">
        <v>16</v>
      </c>
      <c r="D466" t="s">
        <v>2443</v>
      </c>
      <c r="E466" t="s">
        <v>37</v>
      </c>
      <c r="F466" t="s">
        <v>97</v>
      </c>
      <c r="G466" t="s">
        <v>644</v>
      </c>
      <c r="H466" t="str">
        <f>TEXT(walmart[[#This Row],[Purchase_Date]],"DDD")</f>
        <v>Fri</v>
      </c>
      <c r="I466" t="str">
        <f>TEXT(walmart[[#This Row],[Purchase_Date]],"MMM")</f>
        <v>Jan</v>
      </c>
      <c r="J466" t="str">
        <f>TEXT(walmart[[#This Row],[Purchase_Date]],"YYY")</f>
        <v>2025</v>
      </c>
      <c r="K466" s="3">
        <v>855.21</v>
      </c>
      <c r="L466" t="str">
        <f t="shared" si="35"/>
        <v>15% off</v>
      </c>
      <c r="M466" s="3">
        <f t="shared" si="36"/>
        <v>128.28149999999999</v>
      </c>
      <c r="N466" t="str">
        <f t="shared" si="37"/>
        <v>Yes</v>
      </c>
      <c r="O466" t="s">
        <v>34</v>
      </c>
      <c r="P466" s="3">
        <f t="shared" si="38"/>
        <v>726.92849999999999</v>
      </c>
      <c r="Q466" t="s">
        <v>47</v>
      </c>
      <c r="R466">
        <v>4</v>
      </c>
      <c r="S466" t="str">
        <f t="shared" si="39"/>
        <v>Good</v>
      </c>
    </row>
    <row r="467" spans="1:19" x14ac:dyDescent="0.25">
      <c r="A467" t="s">
        <v>800</v>
      </c>
      <c r="B467">
        <v>53</v>
      </c>
      <c r="C467" t="s">
        <v>29</v>
      </c>
      <c r="D467" t="s">
        <v>2444</v>
      </c>
      <c r="E467" t="s">
        <v>31</v>
      </c>
      <c r="F467" t="s">
        <v>300</v>
      </c>
      <c r="G467" t="s">
        <v>801</v>
      </c>
      <c r="H467" t="str">
        <f>TEXT(walmart[[#This Row],[Purchase_Date]],"DDD")</f>
        <v>Sat</v>
      </c>
      <c r="I467" t="str">
        <f>TEXT(walmart[[#This Row],[Purchase_Date]],"MMM")</f>
        <v>Jan</v>
      </c>
      <c r="J467" t="str">
        <f>TEXT(walmart[[#This Row],[Purchase_Date]],"YYY")</f>
        <v>2025</v>
      </c>
      <c r="K467" s="3">
        <v>340.04</v>
      </c>
      <c r="L467" t="str">
        <f t="shared" si="35"/>
        <v>5% off</v>
      </c>
      <c r="M467" s="3">
        <f t="shared" si="36"/>
        <v>17.002000000000002</v>
      </c>
      <c r="N467" t="str">
        <f t="shared" si="37"/>
        <v>Yes</v>
      </c>
      <c r="O467" t="s">
        <v>21</v>
      </c>
      <c r="P467" s="3">
        <f t="shared" si="38"/>
        <v>323.03800000000001</v>
      </c>
      <c r="Q467" t="s">
        <v>22</v>
      </c>
      <c r="R467">
        <v>1</v>
      </c>
      <c r="S467" t="str">
        <f t="shared" si="39"/>
        <v>Very Poor</v>
      </c>
    </row>
    <row r="468" spans="1:19" x14ac:dyDescent="0.25">
      <c r="A468" t="s">
        <v>802</v>
      </c>
      <c r="B468">
        <v>39</v>
      </c>
      <c r="C468" t="s">
        <v>16</v>
      </c>
      <c r="D468" t="s">
        <v>2445</v>
      </c>
      <c r="E468" t="s">
        <v>55</v>
      </c>
      <c r="F468" t="s">
        <v>64</v>
      </c>
      <c r="G468" t="s">
        <v>803</v>
      </c>
      <c r="H468" t="str">
        <f>TEXT(walmart[[#This Row],[Purchase_Date]],"DDD")</f>
        <v>Fri</v>
      </c>
      <c r="I468" t="str">
        <f>TEXT(walmart[[#This Row],[Purchase_Date]],"MMM")</f>
        <v>May</v>
      </c>
      <c r="J468" t="str">
        <f>TEXT(walmart[[#This Row],[Purchase_Date]],"YYY")</f>
        <v>2024</v>
      </c>
      <c r="K468" s="3">
        <v>374.92</v>
      </c>
      <c r="L468" t="str">
        <f t="shared" si="35"/>
        <v>5% off</v>
      </c>
      <c r="M468" s="3">
        <f t="shared" si="36"/>
        <v>18.746000000000002</v>
      </c>
      <c r="N468" t="str">
        <f t="shared" si="37"/>
        <v>Yes</v>
      </c>
      <c r="O468" t="s">
        <v>21</v>
      </c>
      <c r="P468" s="3">
        <f t="shared" si="38"/>
        <v>356.17400000000004</v>
      </c>
      <c r="Q468" t="s">
        <v>47</v>
      </c>
      <c r="R468">
        <v>4</v>
      </c>
      <c r="S468" t="str">
        <f t="shared" si="39"/>
        <v>Good</v>
      </c>
    </row>
    <row r="469" spans="1:19" x14ac:dyDescent="0.25">
      <c r="A469" t="s">
        <v>804</v>
      </c>
      <c r="B469">
        <v>29</v>
      </c>
      <c r="C469" t="s">
        <v>16</v>
      </c>
      <c r="D469" t="s">
        <v>2446</v>
      </c>
      <c r="E469" t="s">
        <v>55</v>
      </c>
      <c r="F469" t="s">
        <v>64</v>
      </c>
      <c r="G469" t="s">
        <v>805</v>
      </c>
      <c r="H469" t="str">
        <f>TEXT(walmart[[#This Row],[Purchase_Date]],"DDD")</f>
        <v>Thu</v>
      </c>
      <c r="I469" t="str">
        <f>TEXT(walmart[[#This Row],[Purchase_Date]],"MMM")</f>
        <v>Apr</v>
      </c>
      <c r="J469" t="str">
        <f>TEXT(walmart[[#This Row],[Purchase_Date]],"YYY")</f>
        <v>2024</v>
      </c>
      <c r="K469" s="3">
        <v>374.92</v>
      </c>
      <c r="L469" t="str">
        <f t="shared" si="35"/>
        <v>5% off</v>
      </c>
      <c r="M469" s="3">
        <f t="shared" si="36"/>
        <v>18.746000000000002</v>
      </c>
      <c r="N469" t="str">
        <f t="shared" si="37"/>
        <v>Yes</v>
      </c>
      <c r="O469" t="s">
        <v>21</v>
      </c>
      <c r="P469" s="3">
        <f t="shared" si="38"/>
        <v>356.17400000000004</v>
      </c>
      <c r="Q469" t="s">
        <v>35</v>
      </c>
      <c r="R469">
        <v>5</v>
      </c>
      <c r="S469" t="str">
        <f t="shared" si="39"/>
        <v>Excellent</v>
      </c>
    </row>
    <row r="470" spans="1:19" x14ac:dyDescent="0.25">
      <c r="A470" t="s">
        <v>806</v>
      </c>
      <c r="B470">
        <v>54</v>
      </c>
      <c r="C470" t="s">
        <v>29</v>
      </c>
      <c r="D470" t="s">
        <v>2447</v>
      </c>
      <c r="E470" t="s">
        <v>31</v>
      </c>
      <c r="F470" t="s">
        <v>112</v>
      </c>
      <c r="G470" t="s">
        <v>244</v>
      </c>
      <c r="H470" t="str">
        <f>TEXT(walmart[[#This Row],[Purchase_Date]],"DDD")</f>
        <v>Sat</v>
      </c>
      <c r="I470" t="str">
        <f>TEXT(walmart[[#This Row],[Purchase_Date]],"MMM")</f>
        <v>Feb</v>
      </c>
      <c r="J470" t="str">
        <f>TEXT(walmart[[#This Row],[Purchase_Date]],"YYY")</f>
        <v>2025</v>
      </c>
      <c r="K470" s="3">
        <v>492.1</v>
      </c>
      <c r="L470" t="str">
        <f t="shared" si="35"/>
        <v>5% off</v>
      </c>
      <c r="M470" s="3">
        <f t="shared" si="36"/>
        <v>24.605000000000004</v>
      </c>
      <c r="N470" t="str">
        <f t="shared" si="37"/>
        <v>Yes</v>
      </c>
      <c r="O470" t="s">
        <v>34</v>
      </c>
      <c r="P470" s="3">
        <f t="shared" si="38"/>
        <v>467.495</v>
      </c>
      <c r="Q470" t="s">
        <v>27</v>
      </c>
      <c r="R470">
        <v>5</v>
      </c>
      <c r="S470" t="str">
        <f t="shared" si="39"/>
        <v>Excellent</v>
      </c>
    </row>
    <row r="471" spans="1:19" x14ac:dyDescent="0.25">
      <c r="A471" t="s">
        <v>807</v>
      </c>
      <c r="B471">
        <v>28</v>
      </c>
      <c r="C471" t="s">
        <v>29</v>
      </c>
      <c r="D471" t="s">
        <v>2448</v>
      </c>
      <c r="E471" t="s">
        <v>18</v>
      </c>
      <c r="F471" t="s">
        <v>59</v>
      </c>
      <c r="G471" t="s">
        <v>95</v>
      </c>
      <c r="H471" t="str">
        <f>TEXT(walmart[[#This Row],[Purchase_Date]],"DDD")</f>
        <v>Wed</v>
      </c>
      <c r="I471" t="str">
        <f>TEXT(walmart[[#This Row],[Purchase_Date]],"MMM")</f>
        <v>Dec</v>
      </c>
      <c r="J471" t="str">
        <f>TEXT(walmart[[#This Row],[Purchase_Date]],"YYY")</f>
        <v>2024</v>
      </c>
      <c r="K471" s="3">
        <v>78.349999999999994</v>
      </c>
      <c r="L471" t="str">
        <f t="shared" si="35"/>
        <v>0% off</v>
      </c>
      <c r="M471" s="3">
        <f t="shared" si="36"/>
        <v>0</v>
      </c>
      <c r="N471" t="str">
        <f t="shared" si="37"/>
        <v>No</v>
      </c>
      <c r="O471" t="s">
        <v>34</v>
      </c>
      <c r="P471" s="3">
        <f t="shared" si="38"/>
        <v>78.349999999999994</v>
      </c>
      <c r="Q471" t="s">
        <v>22</v>
      </c>
      <c r="R471">
        <v>4</v>
      </c>
      <c r="S471" t="str">
        <f t="shared" si="39"/>
        <v>Good</v>
      </c>
    </row>
    <row r="472" spans="1:19" x14ac:dyDescent="0.25">
      <c r="A472" t="s">
        <v>808</v>
      </c>
      <c r="B472">
        <v>62</v>
      </c>
      <c r="C472" t="s">
        <v>16</v>
      </c>
      <c r="D472" t="s">
        <v>2449</v>
      </c>
      <c r="E472" t="s">
        <v>42</v>
      </c>
      <c r="F472" t="s">
        <v>120</v>
      </c>
      <c r="G472" t="s">
        <v>418</v>
      </c>
      <c r="H472" t="str">
        <f>TEXT(walmart[[#This Row],[Purchase_Date]],"DDD")</f>
        <v>Sat</v>
      </c>
      <c r="I472" t="str">
        <f>TEXT(walmart[[#This Row],[Purchase_Date]],"MMM")</f>
        <v>Jan</v>
      </c>
      <c r="J472" t="str">
        <f>TEXT(walmart[[#This Row],[Purchase_Date]],"YYY")</f>
        <v>2025</v>
      </c>
      <c r="K472" s="3">
        <v>260.77999999999997</v>
      </c>
      <c r="L472" t="str">
        <f t="shared" si="35"/>
        <v>5% off</v>
      </c>
      <c r="M472" s="3">
        <f t="shared" si="36"/>
        <v>13.039</v>
      </c>
      <c r="N472" t="str">
        <f t="shared" si="37"/>
        <v>Yes</v>
      </c>
      <c r="O472" t="s">
        <v>34</v>
      </c>
      <c r="P472" s="3">
        <f t="shared" si="38"/>
        <v>247.74099999999999</v>
      </c>
      <c r="Q472" t="s">
        <v>47</v>
      </c>
      <c r="R472">
        <v>4</v>
      </c>
      <c r="S472" t="str">
        <f t="shared" si="39"/>
        <v>Good</v>
      </c>
    </row>
    <row r="473" spans="1:19" x14ac:dyDescent="0.25">
      <c r="A473" t="s">
        <v>809</v>
      </c>
      <c r="B473">
        <v>21</v>
      </c>
      <c r="C473" t="s">
        <v>16</v>
      </c>
      <c r="D473" t="s">
        <v>2450</v>
      </c>
      <c r="E473" t="s">
        <v>31</v>
      </c>
      <c r="F473" t="s">
        <v>300</v>
      </c>
      <c r="G473" t="s">
        <v>794</v>
      </c>
      <c r="H473" t="str">
        <f>TEXT(walmart[[#This Row],[Purchase_Date]],"DDD")</f>
        <v>Wed</v>
      </c>
      <c r="I473" t="str">
        <f>TEXT(walmart[[#This Row],[Purchase_Date]],"MMM")</f>
        <v>Jan</v>
      </c>
      <c r="J473" t="str">
        <f>TEXT(walmart[[#This Row],[Purchase_Date]],"YYY")</f>
        <v>2025</v>
      </c>
      <c r="K473" s="3">
        <v>340.04</v>
      </c>
      <c r="L473" t="str">
        <f t="shared" si="35"/>
        <v>5% off</v>
      </c>
      <c r="M473" s="3">
        <f t="shared" si="36"/>
        <v>17.002000000000002</v>
      </c>
      <c r="N473" t="str">
        <f t="shared" si="37"/>
        <v>Yes</v>
      </c>
      <c r="O473" t="s">
        <v>21</v>
      </c>
      <c r="P473" s="3">
        <f t="shared" si="38"/>
        <v>323.03800000000001</v>
      </c>
      <c r="Q473" t="s">
        <v>35</v>
      </c>
      <c r="R473">
        <v>3</v>
      </c>
      <c r="S473" t="str">
        <f t="shared" si="39"/>
        <v>Average</v>
      </c>
    </row>
    <row r="474" spans="1:19" x14ac:dyDescent="0.25">
      <c r="A474" t="s">
        <v>810</v>
      </c>
      <c r="B474">
        <v>34</v>
      </c>
      <c r="C474" t="s">
        <v>16</v>
      </c>
      <c r="D474" t="s">
        <v>2451</v>
      </c>
      <c r="E474" t="s">
        <v>42</v>
      </c>
      <c r="F474" t="s">
        <v>120</v>
      </c>
      <c r="G474" t="s">
        <v>811</v>
      </c>
      <c r="H474" t="str">
        <f>TEXT(walmart[[#This Row],[Purchase_Date]],"DDD")</f>
        <v>Sun</v>
      </c>
      <c r="I474" t="str">
        <f>TEXT(walmart[[#This Row],[Purchase_Date]],"MMM")</f>
        <v>Sep</v>
      </c>
      <c r="J474" t="str">
        <f>TEXT(walmart[[#This Row],[Purchase_Date]],"YYY")</f>
        <v>2024</v>
      </c>
      <c r="K474" s="3">
        <v>260.77999999999997</v>
      </c>
      <c r="L474" t="str">
        <f t="shared" si="35"/>
        <v>5% off</v>
      </c>
      <c r="M474" s="3">
        <f t="shared" si="36"/>
        <v>13.039</v>
      </c>
      <c r="N474" t="str">
        <f t="shared" si="37"/>
        <v>Yes</v>
      </c>
      <c r="O474" t="s">
        <v>21</v>
      </c>
      <c r="P474" s="3">
        <f t="shared" si="38"/>
        <v>247.74099999999999</v>
      </c>
      <c r="Q474" t="s">
        <v>22</v>
      </c>
      <c r="R474">
        <v>4</v>
      </c>
      <c r="S474" t="str">
        <f t="shared" si="39"/>
        <v>Good</v>
      </c>
    </row>
    <row r="475" spans="1:19" x14ac:dyDescent="0.25">
      <c r="A475" t="s">
        <v>812</v>
      </c>
      <c r="B475">
        <v>37</v>
      </c>
      <c r="C475" t="s">
        <v>29</v>
      </c>
      <c r="D475" t="s">
        <v>2452</v>
      </c>
      <c r="E475" t="s">
        <v>18</v>
      </c>
      <c r="F475" t="s">
        <v>77</v>
      </c>
      <c r="G475" t="s">
        <v>295</v>
      </c>
      <c r="H475" t="str">
        <f>TEXT(walmart[[#This Row],[Purchase_Date]],"DDD")</f>
        <v>Sun</v>
      </c>
      <c r="I475" t="str">
        <f>TEXT(walmart[[#This Row],[Purchase_Date]],"MMM")</f>
        <v>Mar</v>
      </c>
      <c r="J475" t="str">
        <f>TEXT(walmart[[#This Row],[Purchase_Date]],"YYY")</f>
        <v>2025</v>
      </c>
      <c r="K475" s="3">
        <v>116.78</v>
      </c>
      <c r="L475" t="str">
        <f t="shared" si="35"/>
        <v>0% off</v>
      </c>
      <c r="M475" s="3">
        <f t="shared" si="36"/>
        <v>0</v>
      </c>
      <c r="N475" t="str">
        <f t="shared" si="37"/>
        <v>No</v>
      </c>
      <c r="O475" t="s">
        <v>34</v>
      </c>
      <c r="P475" s="3">
        <f t="shared" si="38"/>
        <v>116.78</v>
      </c>
      <c r="Q475" t="s">
        <v>27</v>
      </c>
      <c r="R475">
        <v>2</v>
      </c>
      <c r="S475" t="str">
        <f t="shared" si="39"/>
        <v>Poor</v>
      </c>
    </row>
    <row r="476" spans="1:19" x14ac:dyDescent="0.25">
      <c r="A476" t="s">
        <v>813</v>
      </c>
      <c r="B476">
        <v>62</v>
      </c>
      <c r="C476" t="s">
        <v>29</v>
      </c>
      <c r="D476" t="s">
        <v>2453</v>
      </c>
      <c r="E476" t="s">
        <v>24</v>
      </c>
      <c r="F476" t="s">
        <v>186</v>
      </c>
      <c r="G476" t="s">
        <v>814</v>
      </c>
      <c r="H476" t="str">
        <f>TEXT(walmart[[#This Row],[Purchase_Date]],"DDD")</f>
        <v>Thu</v>
      </c>
      <c r="I476" t="str">
        <f>TEXT(walmart[[#This Row],[Purchase_Date]],"MMM")</f>
        <v>Apr</v>
      </c>
      <c r="J476" t="str">
        <f>TEXT(walmart[[#This Row],[Purchase_Date]],"YYY")</f>
        <v>2024</v>
      </c>
      <c r="K476" s="3">
        <v>527.16999999999996</v>
      </c>
      <c r="L476" t="str">
        <f t="shared" si="35"/>
        <v>10% off</v>
      </c>
      <c r="M476" s="3">
        <f t="shared" si="36"/>
        <v>52.716999999999999</v>
      </c>
      <c r="N476" t="str">
        <f t="shared" si="37"/>
        <v>Yes</v>
      </c>
      <c r="O476" t="s">
        <v>34</v>
      </c>
      <c r="P476" s="3">
        <f t="shared" si="38"/>
        <v>474.45299999999997</v>
      </c>
      <c r="Q476" t="s">
        <v>35</v>
      </c>
      <c r="R476">
        <v>3</v>
      </c>
      <c r="S476" t="str">
        <f t="shared" si="39"/>
        <v>Average</v>
      </c>
    </row>
    <row r="477" spans="1:19" x14ac:dyDescent="0.25">
      <c r="A477" t="s">
        <v>815</v>
      </c>
      <c r="B477">
        <v>35</v>
      </c>
      <c r="C477" t="s">
        <v>16</v>
      </c>
      <c r="D477" t="s">
        <v>2454</v>
      </c>
      <c r="E477" t="s">
        <v>37</v>
      </c>
      <c r="F477" t="s">
        <v>82</v>
      </c>
      <c r="G477" t="s">
        <v>101</v>
      </c>
      <c r="H477" t="str">
        <f>TEXT(walmart[[#This Row],[Purchase_Date]],"DDD")</f>
        <v>Mon</v>
      </c>
      <c r="I477" t="str">
        <f>TEXT(walmart[[#This Row],[Purchase_Date]],"MMM")</f>
        <v>Feb</v>
      </c>
      <c r="J477" t="str">
        <f>TEXT(walmart[[#This Row],[Purchase_Date]],"YYY")</f>
        <v>2025</v>
      </c>
      <c r="K477" s="3">
        <v>270.41000000000003</v>
      </c>
      <c r="L477" t="str">
        <f t="shared" si="35"/>
        <v>5% off</v>
      </c>
      <c r="M477" s="3">
        <f t="shared" si="36"/>
        <v>13.520500000000002</v>
      </c>
      <c r="N477" t="str">
        <f t="shared" si="37"/>
        <v>Yes</v>
      </c>
      <c r="O477" t="s">
        <v>34</v>
      </c>
      <c r="P477" s="3">
        <f t="shared" si="38"/>
        <v>256.8895</v>
      </c>
      <c r="Q477" t="s">
        <v>35</v>
      </c>
      <c r="R477">
        <v>1</v>
      </c>
      <c r="S477" t="str">
        <f t="shared" si="39"/>
        <v>Very Poor</v>
      </c>
    </row>
    <row r="478" spans="1:19" x14ac:dyDescent="0.25">
      <c r="A478" t="s">
        <v>816</v>
      </c>
      <c r="B478">
        <v>65</v>
      </c>
      <c r="C478" t="s">
        <v>16</v>
      </c>
      <c r="D478" t="s">
        <v>2455</v>
      </c>
      <c r="E478" t="s">
        <v>18</v>
      </c>
      <c r="F478" t="s">
        <v>19</v>
      </c>
      <c r="G478" t="s">
        <v>457</v>
      </c>
      <c r="H478" t="str">
        <f>TEXT(walmart[[#This Row],[Purchase_Date]],"DDD")</f>
        <v>Thu</v>
      </c>
      <c r="I478" t="str">
        <f>TEXT(walmart[[#This Row],[Purchase_Date]],"MMM")</f>
        <v>Apr</v>
      </c>
      <c r="J478" t="str">
        <f>TEXT(walmart[[#This Row],[Purchase_Date]],"YYY")</f>
        <v>2024</v>
      </c>
      <c r="K478" s="3">
        <v>697.86</v>
      </c>
      <c r="L478" t="str">
        <f t="shared" si="35"/>
        <v>10% off</v>
      </c>
      <c r="M478" s="3">
        <f t="shared" si="36"/>
        <v>69.786000000000001</v>
      </c>
      <c r="N478" t="str">
        <f t="shared" si="37"/>
        <v>Yes</v>
      </c>
      <c r="O478" t="s">
        <v>21</v>
      </c>
      <c r="P478" s="3">
        <f t="shared" si="38"/>
        <v>628.07400000000007</v>
      </c>
      <c r="Q478" t="s">
        <v>35</v>
      </c>
      <c r="R478">
        <v>3</v>
      </c>
      <c r="S478" t="str">
        <f t="shared" si="39"/>
        <v>Average</v>
      </c>
    </row>
    <row r="479" spans="1:19" x14ac:dyDescent="0.25">
      <c r="A479" t="s">
        <v>817</v>
      </c>
      <c r="B479">
        <v>60</v>
      </c>
      <c r="C479" t="s">
        <v>29</v>
      </c>
      <c r="D479" t="s">
        <v>2456</v>
      </c>
      <c r="E479" t="s">
        <v>18</v>
      </c>
      <c r="F479" t="s">
        <v>142</v>
      </c>
      <c r="G479" t="s">
        <v>722</v>
      </c>
      <c r="H479" t="str">
        <f>TEXT(walmart[[#This Row],[Purchase_Date]],"DDD")</f>
        <v>Mon</v>
      </c>
      <c r="I479" t="str">
        <f>TEXT(walmart[[#This Row],[Purchase_Date]],"MMM")</f>
        <v>Sep</v>
      </c>
      <c r="J479" t="str">
        <f>TEXT(walmart[[#This Row],[Purchase_Date]],"YYY")</f>
        <v>2024</v>
      </c>
      <c r="K479" s="3">
        <v>485.26</v>
      </c>
      <c r="L479" t="str">
        <f t="shared" si="35"/>
        <v>5% off</v>
      </c>
      <c r="M479" s="3">
        <f t="shared" si="36"/>
        <v>24.263000000000002</v>
      </c>
      <c r="N479" t="str">
        <f t="shared" si="37"/>
        <v>Yes</v>
      </c>
      <c r="O479" t="s">
        <v>34</v>
      </c>
      <c r="P479" s="3">
        <f t="shared" si="38"/>
        <v>460.99700000000001</v>
      </c>
      <c r="Q479" t="s">
        <v>47</v>
      </c>
      <c r="R479">
        <v>4</v>
      </c>
      <c r="S479" t="str">
        <f t="shared" si="39"/>
        <v>Good</v>
      </c>
    </row>
    <row r="480" spans="1:19" x14ac:dyDescent="0.25">
      <c r="A480" t="s">
        <v>818</v>
      </c>
      <c r="B480">
        <v>43</v>
      </c>
      <c r="C480" t="s">
        <v>29</v>
      </c>
      <c r="D480" t="s">
        <v>2457</v>
      </c>
      <c r="E480" t="s">
        <v>18</v>
      </c>
      <c r="F480" t="s">
        <v>59</v>
      </c>
      <c r="G480" t="s">
        <v>785</v>
      </c>
      <c r="H480" t="str">
        <f>TEXT(walmart[[#This Row],[Purchase_Date]],"DDD")</f>
        <v>Sat</v>
      </c>
      <c r="I480" t="str">
        <f>TEXT(walmart[[#This Row],[Purchase_Date]],"MMM")</f>
        <v>Apr</v>
      </c>
      <c r="J480" t="str">
        <f>TEXT(walmart[[#This Row],[Purchase_Date]],"YYY")</f>
        <v>2024</v>
      </c>
      <c r="K480" s="3">
        <v>78.349999999999994</v>
      </c>
      <c r="L480" t="str">
        <f t="shared" si="35"/>
        <v>0% off</v>
      </c>
      <c r="M480" s="3">
        <f t="shared" si="36"/>
        <v>0</v>
      </c>
      <c r="N480" t="str">
        <f t="shared" si="37"/>
        <v>No</v>
      </c>
      <c r="O480" t="s">
        <v>34</v>
      </c>
      <c r="P480" s="3">
        <f t="shared" si="38"/>
        <v>78.349999999999994</v>
      </c>
      <c r="Q480" t="s">
        <v>35</v>
      </c>
      <c r="R480">
        <v>3</v>
      </c>
      <c r="S480" t="str">
        <f t="shared" si="39"/>
        <v>Average</v>
      </c>
    </row>
    <row r="481" spans="1:19" x14ac:dyDescent="0.25">
      <c r="A481" t="s">
        <v>819</v>
      </c>
      <c r="B481">
        <v>62</v>
      </c>
      <c r="C481" t="s">
        <v>29</v>
      </c>
      <c r="D481" t="s">
        <v>2458</v>
      </c>
      <c r="E481" t="s">
        <v>73</v>
      </c>
      <c r="F481" t="s">
        <v>94</v>
      </c>
      <c r="G481" t="s">
        <v>46</v>
      </c>
      <c r="H481" t="str">
        <f>TEXT(walmart[[#This Row],[Purchase_Date]],"DDD")</f>
        <v>Thu</v>
      </c>
      <c r="I481" t="str">
        <f>TEXT(walmart[[#This Row],[Purchase_Date]],"MMM")</f>
        <v>May</v>
      </c>
      <c r="J481" t="str">
        <f>TEXT(walmart[[#This Row],[Purchase_Date]],"YYY")</f>
        <v>2024</v>
      </c>
      <c r="K481" s="3">
        <v>965.09</v>
      </c>
      <c r="L481" t="str">
        <f t="shared" si="35"/>
        <v>20% off</v>
      </c>
      <c r="M481" s="3">
        <f t="shared" si="36"/>
        <v>193.01800000000003</v>
      </c>
      <c r="N481" t="str">
        <f t="shared" si="37"/>
        <v>Yes</v>
      </c>
      <c r="O481" t="s">
        <v>21</v>
      </c>
      <c r="P481" s="3">
        <f t="shared" si="38"/>
        <v>772.072</v>
      </c>
      <c r="Q481" t="s">
        <v>35</v>
      </c>
      <c r="R481">
        <v>5</v>
      </c>
      <c r="S481" t="str">
        <f t="shared" si="39"/>
        <v>Excellent</v>
      </c>
    </row>
    <row r="482" spans="1:19" x14ac:dyDescent="0.25">
      <c r="A482" t="s">
        <v>820</v>
      </c>
      <c r="B482">
        <v>27</v>
      </c>
      <c r="C482" t="s">
        <v>29</v>
      </c>
      <c r="D482" t="s">
        <v>2459</v>
      </c>
      <c r="E482" t="s">
        <v>37</v>
      </c>
      <c r="F482" t="s">
        <v>117</v>
      </c>
      <c r="G482" t="s">
        <v>193</v>
      </c>
      <c r="H482" t="str">
        <f>TEXT(walmart[[#This Row],[Purchase_Date]],"DDD")</f>
        <v>Thu</v>
      </c>
      <c r="I482" t="str">
        <f>TEXT(walmart[[#This Row],[Purchase_Date]],"MMM")</f>
        <v>May</v>
      </c>
      <c r="J482" t="str">
        <f>TEXT(walmart[[#This Row],[Purchase_Date]],"YYY")</f>
        <v>2024</v>
      </c>
      <c r="K482" s="3">
        <v>165.68</v>
      </c>
      <c r="L482" t="str">
        <f t="shared" si="35"/>
        <v>5% off</v>
      </c>
      <c r="M482" s="3">
        <f t="shared" si="36"/>
        <v>8.2840000000000007</v>
      </c>
      <c r="N482" t="str">
        <f t="shared" si="37"/>
        <v>Yes</v>
      </c>
      <c r="O482" t="s">
        <v>21</v>
      </c>
      <c r="P482" s="3">
        <f t="shared" si="38"/>
        <v>157.39600000000002</v>
      </c>
      <c r="Q482" t="s">
        <v>27</v>
      </c>
      <c r="R482">
        <v>2</v>
      </c>
      <c r="S482" t="str">
        <f t="shared" si="39"/>
        <v>Poor</v>
      </c>
    </row>
    <row r="483" spans="1:19" x14ac:dyDescent="0.25">
      <c r="A483" t="s">
        <v>821</v>
      </c>
      <c r="B483">
        <v>43</v>
      </c>
      <c r="C483" t="s">
        <v>29</v>
      </c>
      <c r="D483" t="s">
        <v>2460</v>
      </c>
      <c r="E483" t="s">
        <v>55</v>
      </c>
      <c r="F483" t="s">
        <v>64</v>
      </c>
      <c r="G483" t="s">
        <v>346</v>
      </c>
      <c r="H483" t="str">
        <f>TEXT(walmart[[#This Row],[Purchase_Date]],"DDD")</f>
        <v>Fri</v>
      </c>
      <c r="I483" t="str">
        <f>TEXT(walmart[[#This Row],[Purchase_Date]],"MMM")</f>
        <v>Aug</v>
      </c>
      <c r="J483" t="str">
        <f>TEXT(walmart[[#This Row],[Purchase_Date]],"YYY")</f>
        <v>2024</v>
      </c>
      <c r="K483" s="3">
        <v>374.92</v>
      </c>
      <c r="L483" t="str">
        <f t="shared" si="35"/>
        <v>5% off</v>
      </c>
      <c r="M483" s="3">
        <f t="shared" si="36"/>
        <v>18.746000000000002</v>
      </c>
      <c r="N483" t="str">
        <f t="shared" si="37"/>
        <v>Yes</v>
      </c>
      <c r="O483" t="s">
        <v>34</v>
      </c>
      <c r="P483" s="3">
        <f t="shared" si="38"/>
        <v>356.17400000000004</v>
      </c>
      <c r="Q483" t="s">
        <v>35</v>
      </c>
      <c r="R483">
        <v>4</v>
      </c>
      <c r="S483" t="str">
        <f t="shared" si="39"/>
        <v>Good</v>
      </c>
    </row>
    <row r="484" spans="1:19" x14ac:dyDescent="0.25">
      <c r="A484" t="s">
        <v>822</v>
      </c>
      <c r="B484">
        <v>57</v>
      </c>
      <c r="C484" t="s">
        <v>29</v>
      </c>
      <c r="D484" t="s">
        <v>2461</v>
      </c>
      <c r="E484" t="s">
        <v>31</v>
      </c>
      <c r="F484" t="s">
        <v>300</v>
      </c>
      <c r="G484" t="s">
        <v>313</v>
      </c>
      <c r="H484" t="str">
        <f>TEXT(walmart[[#This Row],[Purchase_Date]],"DDD")</f>
        <v>Fri</v>
      </c>
      <c r="I484" t="str">
        <f>TEXT(walmart[[#This Row],[Purchase_Date]],"MMM")</f>
        <v>Aug</v>
      </c>
      <c r="J484" t="str">
        <f>TEXT(walmart[[#This Row],[Purchase_Date]],"YYY")</f>
        <v>2024</v>
      </c>
      <c r="K484" s="3">
        <v>340.04</v>
      </c>
      <c r="L484" t="str">
        <f t="shared" si="35"/>
        <v>5% off</v>
      </c>
      <c r="M484" s="3">
        <f t="shared" si="36"/>
        <v>17.002000000000002</v>
      </c>
      <c r="N484" t="str">
        <f t="shared" si="37"/>
        <v>Yes</v>
      </c>
      <c r="O484" t="s">
        <v>21</v>
      </c>
      <c r="P484" s="3">
        <f t="shared" si="38"/>
        <v>323.03800000000001</v>
      </c>
      <c r="Q484" t="s">
        <v>47</v>
      </c>
      <c r="R484">
        <v>2</v>
      </c>
      <c r="S484" t="str">
        <f t="shared" si="39"/>
        <v>Poor</v>
      </c>
    </row>
    <row r="485" spans="1:19" x14ac:dyDescent="0.25">
      <c r="A485" t="s">
        <v>823</v>
      </c>
      <c r="B485">
        <v>42</v>
      </c>
      <c r="C485" t="s">
        <v>29</v>
      </c>
      <c r="D485" t="s">
        <v>2462</v>
      </c>
      <c r="E485" t="s">
        <v>18</v>
      </c>
      <c r="F485" t="s">
        <v>142</v>
      </c>
      <c r="G485" t="s">
        <v>319</v>
      </c>
      <c r="H485" t="str">
        <f>TEXT(walmart[[#This Row],[Purchase_Date]],"DDD")</f>
        <v>Tue</v>
      </c>
      <c r="I485" t="str">
        <f>TEXT(walmart[[#This Row],[Purchase_Date]],"MMM")</f>
        <v>May</v>
      </c>
      <c r="J485" t="str">
        <f>TEXT(walmart[[#This Row],[Purchase_Date]],"YYY")</f>
        <v>2024</v>
      </c>
      <c r="K485" s="3">
        <v>485.26</v>
      </c>
      <c r="L485" t="str">
        <f t="shared" si="35"/>
        <v>5% off</v>
      </c>
      <c r="M485" s="3">
        <f t="shared" si="36"/>
        <v>24.263000000000002</v>
      </c>
      <c r="N485" t="str">
        <f t="shared" si="37"/>
        <v>Yes</v>
      </c>
      <c r="O485" t="s">
        <v>34</v>
      </c>
      <c r="P485" s="3">
        <f t="shared" si="38"/>
        <v>460.99700000000001</v>
      </c>
      <c r="Q485" t="s">
        <v>22</v>
      </c>
      <c r="R485">
        <v>1</v>
      </c>
      <c r="S485" t="str">
        <f t="shared" si="39"/>
        <v>Very Poor</v>
      </c>
    </row>
    <row r="486" spans="1:19" x14ac:dyDescent="0.25">
      <c r="A486" t="s">
        <v>824</v>
      </c>
      <c r="B486">
        <v>58</v>
      </c>
      <c r="C486" t="s">
        <v>16</v>
      </c>
      <c r="D486" t="s">
        <v>2463</v>
      </c>
      <c r="E486" t="s">
        <v>37</v>
      </c>
      <c r="F486" t="s">
        <v>97</v>
      </c>
      <c r="G486" t="s">
        <v>825</v>
      </c>
      <c r="H486" t="str">
        <f>TEXT(walmart[[#This Row],[Purchase_Date]],"DDD")</f>
        <v>Sat</v>
      </c>
      <c r="I486" t="str">
        <f>TEXT(walmart[[#This Row],[Purchase_Date]],"MMM")</f>
        <v>Apr</v>
      </c>
      <c r="J486" t="str">
        <f>TEXT(walmart[[#This Row],[Purchase_Date]],"YYY")</f>
        <v>2024</v>
      </c>
      <c r="K486" s="3">
        <v>855.21</v>
      </c>
      <c r="L486" t="str">
        <f t="shared" si="35"/>
        <v>15% off</v>
      </c>
      <c r="M486" s="3">
        <f t="shared" si="36"/>
        <v>128.28149999999999</v>
      </c>
      <c r="N486" t="str">
        <f t="shared" si="37"/>
        <v>Yes</v>
      </c>
      <c r="O486" t="s">
        <v>34</v>
      </c>
      <c r="P486" s="3">
        <f t="shared" si="38"/>
        <v>726.92849999999999</v>
      </c>
      <c r="Q486" t="s">
        <v>22</v>
      </c>
      <c r="R486">
        <v>2</v>
      </c>
      <c r="S486" t="str">
        <f t="shared" si="39"/>
        <v>Poor</v>
      </c>
    </row>
    <row r="487" spans="1:19" x14ac:dyDescent="0.25">
      <c r="A487" t="s">
        <v>826</v>
      </c>
      <c r="B487">
        <v>46</v>
      </c>
      <c r="C487" t="s">
        <v>16</v>
      </c>
      <c r="D487" t="s">
        <v>2464</v>
      </c>
      <c r="E487" t="s">
        <v>24</v>
      </c>
      <c r="F487" t="s">
        <v>162</v>
      </c>
      <c r="G487" t="s">
        <v>827</v>
      </c>
      <c r="H487" t="str">
        <f>TEXT(walmart[[#This Row],[Purchase_Date]],"DDD")</f>
        <v>Mon</v>
      </c>
      <c r="I487" t="str">
        <f>TEXT(walmart[[#This Row],[Purchase_Date]],"MMM")</f>
        <v>Dec</v>
      </c>
      <c r="J487" t="str">
        <f>TEXT(walmart[[#This Row],[Purchase_Date]],"YYY")</f>
        <v>2024</v>
      </c>
      <c r="K487" s="3">
        <v>362.55</v>
      </c>
      <c r="L487" t="str">
        <f t="shared" si="35"/>
        <v>5% off</v>
      </c>
      <c r="M487" s="3">
        <f t="shared" si="36"/>
        <v>18.127500000000001</v>
      </c>
      <c r="N487" t="str">
        <f t="shared" si="37"/>
        <v>Yes</v>
      </c>
      <c r="O487" t="s">
        <v>21</v>
      </c>
      <c r="P487" s="3">
        <f t="shared" si="38"/>
        <v>344.42250000000001</v>
      </c>
      <c r="Q487" t="s">
        <v>27</v>
      </c>
      <c r="R487">
        <v>2</v>
      </c>
      <c r="S487" t="str">
        <f t="shared" si="39"/>
        <v>Poor</v>
      </c>
    </row>
    <row r="488" spans="1:19" x14ac:dyDescent="0.25">
      <c r="A488" t="s">
        <v>828</v>
      </c>
      <c r="B488">
        <v>66</v>
      </c>
      <c r="C488" t="s">
        <v>29</v>
      </c>
      <c r="D488" t="s">
        <v>2465</v>
      </c>
      <c r="E488" t="s">
        <v>31</v>
      </c>
      <c r="F488" t="s">
        <v>32</v>
      </c>
      <c r="G488" t="s">
        <v>829</v>
      </c>
      <c r="H488" t="str">
        <f>TEXT(walmart[[#This Row],[Purchase_Date]],"DDD")</f>
        <v>Sun</v>
      </c>
      <c r="I488" t="str">
        <f>TEXT(walmart[[#This Row],[Purchase_Date]],"MMM")</f>
        <v>Dec</v>
      </c>
      <c r="J488" t="str">
        <f>TEXT(walmart[[#This Row],[Purchase_Date]],"YYY")</f>
        <v>2024</v>
      </c>
      <c r="K488" s="3">
        <v>493.96</v>
      </c>
      <c r="L488" t="str">
        <f t="shared" si="35"/>
        <v>5% off</v>
      </c>
      <c r="M488" s="3">
        <f t="shared" si="36"/>
        <v>24.698</v>
      </c>
      <c r="N488" t="str">
        <f t="shared" si="37"/>
        <v>Yes</v>
      </c>
      <c r="O488" t="s">
        <v>34</v>
      </c>
      <c r="P488" s="3">
        <f t="shared" si="38"/>
        <v>469.262</v>
      </c>
      <c r="Q488" t="s">
        <v>47</v>
      </c>
      <c r="R488">
        <v>3</v>
      </c>
      <c r="S488" t="str">
        <f t="shared" si="39"/>
        <v>Average</v>
      </c>
    </row>
    <row r="489" spans="1:19" x14ac:dyDescent="0.25">
      <c r="A489" t="s">
        <v>830</v>
      </c>
      <c r="B489">
        <v>66</v>
      </c>
      <c r="C489" t="s">
        <v>29</v>
      </c>
      <c r="D489" t="s">
        <v>2466</v>
      </c>
      <c r="E489" t="s">
        <v>24</v>
      </c>
      <c r="F489" t="s">
        <v>162</v>
      </c>
      <c r="G489" t="s">
        <v>217</v>
      </c>
      <c r="H489" t="str">
        <f>TEXT(walmart[[#This Row],[Purchase_Date]],"DDD")</f>
        <v>Tue</v>
      </c>
      <c r="I489" t="str">
        <f>TEXT(walmart[[#This Row],[Purchase_Date]],"MMM")</f>
        <v>Nov</v>
      </c>
      <c r="J489" t="str">
        <f>TEXT(walmart[[#This Row],[Purchase_Date]],"YYY")</f>
        <v>2024</v>
      </c>
      <c r="K489" s="3">
        <v>362.55</v>
      </c>
      <c r="L489" t="str">
        <f t="shared" si="35"/>
        <v>5% off</v>
      </c>
      <c r="M489" s="3">
        <f t="shared" si="36"/>
        <v>18.127500000000001</v>
      </c>
      <c r="N489" t="str">
        <f t="shared" si="37"/>
        <v>Yes</v>
      </c>
      <c r="O489" t="s">
        <v>21</v>
      </c>
      <c r="P489" s="3">
        <f t="shared" si="38"/>
        <v>344.42250000000001</v>
      </c>
      <c r="Q489" t="s">
        <v>22</v>
      </c>
      <c r="R489">
        <v>3</v>
      </c>
      <c r="S489" t="str">
        <f t="shared" si="39"/>
        <v>Average</v>
      </c>
    </row>
    <row r="490" spans="1:19" x14ac:dyDescent="0.25">
      <c r="A490" t="s">
        <v>831</v>
      </c>
      <c r="B490">
        <v>68</v>
      </c>
      <c r="C490" t="s">
        <v>16</v>
      </c>
      <c r="D490" t="s">
        <v>2467</v>
      </c>
      <c r="E490" t="s">
        <v>31</v>
      </c>
      <c r="F490" t="s">
        <v>169</v>
      </c>
      <c r="G490" t="s">
        <v>351</v>
      </c>
      <c r="H490" t="str">
        <f>TEXT(walmart[[#This Row],[Purchase_Date]],"DDD")</f>
        <v>Tue</v>
      </c>
      <c r="I490" t="str">
        <f>TEXT(walmart[[#This Row],[Purchase_Date]],"MMM")</f>
        <v>Apr</v>
      </c>
      <c r="J490" t="str">
        <f>TEXT(walmart[[#This Row],[Purchase_Date]],"YYY")</f>
        <v>2024</v>
      </c>
      <c r="K490" s="3">
        <v>52.44</v>
      </c>
      <c r="L490" t="str">
        <f t="shared" si="35"/>
        <v>0% off</v>
      </c>
      <c r="M490" s="3">
        <f t="shared" si="36"/>
        <v>0</v>
      </c>
      <c r="N490" t="str">
        <f t="shared" si="37"/>
        <v>No</v>
      </c>
      <c r="O490" t="s">
        <v>34</v>
      </c>
      <c r="P490" s="3">
        <f t="shared" si="38"/>
        <v>52.44</v>
      </c>
      <c r="Q490" t="s">
        <v>47</v>
      </c>
      <c r="R490">
        <v>4</v>
      </c>
      <c r="S490" t="str">
        <f t="shared" si="39"/>
        <v>Good</v>
      </c>
    </row>
    <row r="491" spans="1:19" x14ac:dyDescent="0.25">
      <c r="A491" t="s">
        <v>832</v>
      </c>
      <c r="B491">
        <v>39</v>
      </c>
      <c r="C491" t="s">
        <v>29</v>
      </c>
      <c r="D491" t="s">
        <v>2468</v>
      </c>
      <c r="E491" t="s">
        <v>73</v>
      </c>
      <c r="F491" t="s">
        <v>91</v>
      </c>
      <c r="G491" t="s">
        <v>174</v>
      </c>
      <c r="H491" t="str">
        <f>TEXT(walmart[[#This Row],[Purchase_Date]],"DDD")</f>
        <v>Sun</v>
      </c>
      <c r="I491" t="str">
        <f>TEXT(walmart[[#This Row],[Purchase_Date]],"MMM")</f>
        <v>Dec</v>
      </c>
      <c r="J491" t="str">
        <f>TEXT(walmart[[#This Row],[Purchase_Date]],"YYY")</f>
        <v>2024</v>
      </c>
      <c r="K491" s="3">
        <v>418.55</v>
      </c>
      <c r="L491" t="str">
        <f t="shared" si="35"/>
        <v>5% off</v>
      </c>
      <c r="M491" s="3">
        <f t="shared" si="36"/>
        <v>20.927500000000002</v>
      </c>
      <c r="N491" t="str">
        <f t="shared" si="37"/>
        <v>Yes</v>
      </c>
      <c r="O491" t="s">
        <v>34</v>
      </c>
      <c r="P491" s="3">
        <f t="shared" si="38"/>
        <v>397.6225</v>
      </c>
      <c r="Q491" t="s">
        <v>27</v>
      </c>
      <c r="R491">
        <v>1</v>
      </c>
      <c r="S491" t="str">
        <f t="shared" si="39"/>
        <v>Very Poor</v>
      </c>
    </row>
    <row r="492" spans="1:19" x14ac:dyDescent="0.25">
      <c r="A492" t="s">
        <v>833</v>
      </c>
      <c r="B492">
        <v>44</v>
      </c>
      <c r="C492" t="s">
        <v>16</v>
      </c>
      <c r="D492" t="s">
        <v>2469</v>
      </c>
      <c r="E492" t="s">
        <v>24</v>
      </c>
      <c r="F492" t="s">
        <v>186</v>
      </c>
      <c r="G492" t="s">
        <v>834</v>
      </c>
      <c r="H492" t="str">
        <f>TEXT(walmart[[#This Row],[Purchase_Date]],"DDD")</f>
        <v>Fri</v>
      </c>
      <c r="I492" t="str">
        <f>TEXT(walmart[[#This Row],[Purchase_Date]],"MMM")</f>
        <v>May</v>
      </c>
      <c r="J492" t="str">
        <f>TEXT(walmart[[#This Row],[Purchase_Date]],"YYY")</f>
        <v>2024</v>
      </c>
      <c r="K492" s="3">
        <v>527.16999999999996</v>
      </c>
      <c r="L492" t="str">
        <f t="shared" si="35"/>
        <v>10% off</v>
      </c>
      <c r="M492" s="3">
        <f t="shared" si="36"/>
        <v>52.716999999999999</v>
      </c>
      <c r="N492" t="str">
        <f t="shared" si="37"/>
        <v>Yes</v>
      </c>
      <c r="O492" t="s">
        <v>21</v>
      </c>
      <c r="P492" s="3">
        <f t="shared" si="38"/>
        <v>474.45299999999997</v>
      </c>
      <c r="Q492" t="s">
        <v>27</v>
      </c>
      <c r="R492">
        <v>1</v>
      </c>
      <c r="S492" t="str">
        <f t="shared" si="39"/>
        <v>Very Poor</v>
      </c>
    </row>
    <row r="493" spans="1:19" x14ac:dyDescent="0.25">
      <c r="A493" t="s">
        <v>835</v>
      </c>
      <c r="B493">
        <v>30</v>
      </c>
      <c r="C493" t="s">
        <v>29</v>
      </c>
      <c r="D493" t="s">
        <v>2470</v>
      </c>
      <c r="E493" t="s">
        <v>42</v>
      </c>
      <c r="F493" t="s">
        <v>52</v>
      </c>
      <c r="G493" t="s">
        <v>234</v>
      </c>
      <c r="H493" t="str">
        <f>TEXT(walmart[[#This Row],[Purchase_Date]],"DDD")</f>
        <v>Fri</v>
      </c>
      <c r="I493" t="str">
        <f>TEXT(walmart[[#This Row],[Purchase_Date]],"MMM")</f>
        <v>Jul</v>
      </c>
      <c r="J493" t="str">
        <f>TEXT(walmart[[#This Row],[Purchase_Date]],"YYY")</f>
        <v>2024</v>
      </c>
      <c r="K493" s="3">
        <v>988.77</v>
      </c>
      <c r="L493" t="str">
        <f t="shared" si="35"/>
        <v>20% off</v>
      </c>
      <c r="M493" s="3">
        <f t="shared" si="36"/>
        <v>197.75400000000002</v>
      </c>
      <c r="N493" t="str">
        <f t="shared" si="37"/>
        <v>Yes</v>
      </c>
      <c r="O493" t="s">
        <v>21</v>
      </c>
      <c r="P493" s="3">
        <f t="shared" si="38"/>
        <v>791.01599999999996</v>
      </c>
      <c r="Q493" t="s">
        <v>27</v>
      </c>
      <c r="R493">
        <v>2</v>
      </c>
      <c r="S493" t="str">
        <f t="shared" si="39"/>
        <v>Poor</v>
      </c>
    </row>
    <row r="494" spans="1:19" x14ac:dyDescent="0.25">
      <c r="A494" t="s">
        <v>836</v>
      </c>
      <c r="B494">
        <v>40</v>
      </c>
      <c r="C494" t="s">
        <v>29</v>
      </c>
      <c r="D494" t="s">
        <v>2471</v>
      </c>
      <c r="E494" t="s">
        <v>31</v>
      </c>
      <c r="F494" t="s">
        <v>112</v>
      </c>
      <c r="G494" t="s">
        <v>746</v>
      </c>
      <c r="H494" t="str">
        <f>TEXT(walmart[[#This Row],[Purchase_Date]],"DDD")</f>
        <v>Tue</v>
      </c>
      <c r="I494" t="str">
        <f>TEXT(walmart[[#This Row],[Purchase_Date]],"MMM")</f>
        <v>Dec</v>
      </c>
      <c r="J494" t="str">
        <f>TEXT(walmart[[#This Row],[Purchase_Date]],"YYY")</f>
        <v>2024</v>
      </c>
      <c r="K494" s="3">
        <v>492.1</v>
      </c>
      <c r="L494" t="str">
        <f t="shared" si="35"/>
        <v>5% off</v>
      </c>
      <c r="M494" s="3">
        <f t="shared" si="36"/>
        <v>24.605000000000004</v>
      </c>
      <c r="N494" t="str">
        <f t="shared" si="37"/>
        <v>Yes</v>
      </c>
      <c r="O494" t="s">
        <v>34</v>
      </c>
      <c r="P494" s="3">
        <f t="shared" si="38"/>
        <v>467.495</v>
      </c>
      <c r="Q494" t="s">
        <v>22</v>
      </c>
      <c r="R494">
        <v>1</v>
      </c>
      <c r="S494" t="str">
        <f t="shared" si="39"/>
        <v>Very Poor</v>
      </c>
    </row>
    <row r="495" spans="1:19" x14ac:dyDescent="0.25">
      <c r="A495" t="s">
        <v>837</v>
      </c>
      <c r="B495">
        <v>47</v>
      </c>
      <c r="C495" t="s">
        <v>29</v>
      </c>
      <c r="D495" t="s">
        <v>2472</v>
      </c>
      <c r="E495" t="s">
        <v>31</v>
      </c>
      <c r="F495" t="s">
        <v>169</v>
      </c>
      <c r="G495" t="s">
        <v>69</v>
      </c>
      <c r="H495" t="str">
        <f>TEXT(walmart[[#This Row],[Purchase_Date]],"DDD")</f>
        <v>Wed</v>
      </c>
      <c r="I495" t="str">
        <f>TEXT(walmart[[#This Row],[Purchase_Date]],"MMM")</f>
        <v>Dec</v>
      </c>
      <c r="J495" t="str">
        <f>TEXT(walmart[[#This Row],[Purchase_Date]],"YYY")</f>
        <v>2024</v>
      </c>
      <c r="K495" s="3">
        <v>52.44</v>
      </c>
      <c r="L495" t="str">
        <f t="shared" si="35"/>
        <v>0% off</v>
      </c>
      <c r="M495" s="3">
        <f t="shared" si="36"/>
        <v>0</v>
      </c>
      <c r="N495" t="str">
        <f t="shared" si="37"/>
        <v>No</v>
      </c>
      <c r="O495" t="s">
        <v>34</v>
      </c>
      <c r="P495" s="3">
        <f t="shared" si="38"/>
        <v>52.44</v>
      </c>
      <c r="Q495" t="s">
        <v>27</v>
      </c>
      <c r="R495">
        <v>3</v>
      </c>
      <c r="S495" t="str">
        <f t="shared" si="39"/>
        <v>Average</v>
      </c>
    </row>
    <row r="496" spans="1:19" x14ac:dyDescent="0.25">
      <c r="A496" t="s">
        <v>838</v>
      </c>
      <c r="B496">
        <v>34</v>
      </c>
      <c r="C496" t="s">
        <v>29</v>
      </c>
      <c r="D496" t="s">
        <v>2473</v>
      </c>
      <c r="E496" t="s">
        <v>31</v>
      </c>
      <c r="F496" t="s">
        <v>169</v>
      </c>
      <c r="G496" t="s">
        <v>44</v>
      </c>
      <c r="H496" t="str">
        <f>TEXT(walmart[[#This Row],[Purchase_Date]],"DDD")</f>
        <v>Fri</v>
      </c>
      <c r="I496" t="str">
        <f>TEXT(walmart[[#This Row],[Purchase_Date]],"MMM")</f>
        <v>Aug</v>
      </c>
      <c r="J496" t="str">
        <f>TEXT(walmart[[#This Row],[Purchase_Date]],"YYY")</f>
        <v>2024</v>
      </c>
      <c r="K496" s="3">
        <v>52.44</v>
      </c>
      <c r="L496" t="str">
        <f t="shared" si="35"/>
        <v>0% off</v>
      </c>
      <c r="M496" s="3">
        <f t="shared" si="36"/>
        <v>0</v>
      </c>
      <c r="N496" t="str">
        <f t="shared" si="37"/>
        <v>No</v>
      </c>
      <c r="O496" t="s">
        <v>34</v>
      </c>
      <c r="P496" s="3">
        <f t="shared" si="38"/>
        <v>52.44</v>
      </c>
      <c r="Q496" t="s">
        <v>35</v>
      </c>
      <c r="R496">
        <v>1</v>
      </c>
      <c r="S496" t="str">
        <f t="shared" si="39"/>
        <v>Very Poor</v>
      </c>
    </row>
    <row r="497" spans="1:19" x14ac:dyDescent="0.25">
      <c r="A497" t="s">
        <v>839</v>
      </c>
      <c r="B497">
        <v>45</v>
      </c>
      <c r="C497" t="s">
        <v>29</v>
      </c>
      <c r="D497" t="s">
        <v>2474</v>
      </c>
      <c r="E497" t="s">
        <v>73</v>
      </c>
      <c r="F497" t="s">
        <v>91</v>
      </c>
      <c r="G497" t="s">
        <v>840</v>
      </c>
      <c r="H497" t="str">
        <f>TEXT(walmart[[#This Row],[Purchase_Date]],"DDD")</f>
        <v>Mon</v>
      </c>
      <c r="I497" t="str">
        <f>TEXT(walmart[[#This Row],[Purchase_Date]],"MMM")</f>
        <v>Aug</v>
      </c>
      <c r="J497" t="str">
        <f>TEXT(walmart[[#This Row],[Purchase_Date]],"YYY")</f>
        <v>2024</v>
      </c>
      <c r="K497" s="3">
        <v>418.55</v>
      </c>
      <c r="L497" t="str">
        <f t="shared" si="35"/>
        <v>5% off</v>
      </c>
      <c r="M497" s="3">
        <f t="shared" si="36"/>
        <v>20.927500000000002</v>
      </c>
      <c r="N497" t="str">
        <f t="shared" si="37"/>
        <v>Yes</v>
      </c>
      <c r="O497" t="s">
        <v>21</v>
      </c>
      <c r="P497" s="3">
        <f t="shared" si="38"/>
        <v>397.6225</v>
      </c>
      <c r="Q497" t="s">
        <v>22</v>
      </c>
      <c r="R497">
        <v>1</v>
      </c>
      <c r="S497" t="str">
        <f t="shared" si="39"/>
        <v>Very Poor</v>
      </c>
    </row>
    <row r="498" spans="1:19" x14ac:dyDescent="0.25">
      <c r="A498" t="s">
        <v>841</v>
      </c>
      <c r="B498">
        <v>20</v>
      </c>
      <c r="C498" t="s">
        <v>16</v>
      </c>
      <c r="D498" t="s">
        <v>2475</v>
      </c>
      <c r="E498" t="s">
        <v>31</v>
      </c>
      <c r="F498" t="s">
        <v>300</v>
      </c>
      <c r="G498" t="s">
        <v>165</v>
      </c>
      <c r="H498" t="str">
        <f>TEXT(walmart[[#This Row],[Purchase_Date]],"DDD")</f>
        <v>Tue</v>
      </c>
      <c r="I498" t="str">
        <f>TEXT(walmart[[#This Row],[Purchase_Date]],"MMM")</f>
        <v>Oct</v>
      </c>
      <c r="J498" t="str">
        <f>TEXT(walmart[[#This Row],[Purchase_Date]],"YYY")</f>
        <v>2024</v>
      </c>
      <c r="K498" s="3">
        <v>340.04</v>
      </c>
      <c r="L498" t="str">
        <f t="shared" si="35"/>
        <v>5% off</v>
      </c>
      <c r="M498" s="3">
        <f t="shared" si="36"/>
        <v>17.002000000000002</v>
      </c>
      <c r="N498" t="str">
        <f t="shared" si="37"/>
        <v>Yes</v>
      </c>
      <c r="O498" t="s">
        <v>21</v>
      </c>
      <c r="P498" s="3">
        <f t="shared" si="38"/>
        <v>323.03800000000001</v>
      </c>
      <c r="Q498" t="s">
        <v>27</v>
      </c>
      <c r="R498">
        <v>4</v>
      </c>
      <c r="S498" t="str">
        <f t="shared" si="39"/>
        <v>Good</v>
      </c>
    </row>
    <row r="499" spans="1:19" x14ac:dyDescent="0.25">
      <c r="A499" t="s">
        <v>842</v>
      </c>
      <c r="B499">
        <v>38</v>
      </c>
      <c r="C499" t="s">
        <v>29</v>
      </c>
      <c r="D499" t="s">
        <v>2476</v>
      </c>
      <c r="E499" t="s">
        <v>31</v>
      </c>
      <c r="F499" t="s">
        <v>32</v>
      </c>
      <c r="G499" t="s">
        <v>304</v>
      </c>
      <c r="H499" t="str">
        <f>TEXT(walmart[[#This Row],[Purchase_Date]],"DDD")</f>
        <v>Wed</v>
      </c>
      <c r="I499" t="str">
        <f>TEXT(walmart[[#This Row],[Purchase_Date]],"MMM")</f>
        <v>Aug</v>
      </c>
      <c r="J499" t="str">
        <f>TEXT(walmart[[#This Row],[Purchase_Date]],"YYY")</f>
        <v>2024</v>
      </c>
      <c r="K499" s="3">
        <v>493.96</v>
      </c>
      <c r="L499" t="str">
        <f t="shared" si="35"/>
        <v>5% off</v>
      </c>
      <c r="M499" s="3">
        <f t="shared" si="36"/>
        <v>24.698</v>
      </c>
      <c r="N499" t="str">
        <f t="shared" si="37"/>
        <v>Yes</v>
      </c>
      <c r="O499" t="s">
        <v>34</v>
      </c>
      <c r="P499" s="3">
        <f t="shared" si="38"/>
        <v>469.262</v>
      </c>
      <c r="Q499" t="s">
        <v>22</v>
      </c>
      <c r="R499">
        <v>3</v>
      </c>
      <c r="S499" t="str">
        <f t="shared" si="39"/>
        <v>Average</v>
      </c>
    </row>
    <row r="500" spans="1:19" x14ac:dyDescent="0.25">
      <c r="A500" t="s">
        <v>843</v>
      </c>
      <c r="B500">
        <v>58</v>
      </c>
      <c r="C500" t="s">
        <v>29</v>
      </c>
      <c r="D500" t="s">
        <v>2477</v>
      </c>
      <c r="E500" t="s">
        <v>55</v>
      </c>
      <c r="F500" t="s">
        <v>64</v>
      </c>
      <c r="G500" t="s">
        <v>437</v>
      </c>
      <c r="H500" t="str">
        <f>TEXT(walmart[[#This Row],[Purchase_Date]],"DDD")</f>
        <v>Sat</v>
      </c>
      <c r="I500" t="str">
        <f>TEXT(walmart[[#This Row],[Purchase_Date]],"MMM")</f>
        <v>Jul</v>
      </c>
      <c r="J500" t="str">
        <f>TEXT(walmart[[#This Row],[Purchase_Date]],"YYY")</f>
        <v>2024</v>
      </c>
      <c r="K500" s="3">
        <v>374.92</v>
      </c>
      <c r="L500" t="str">
        <f t="shared" si="35"/>
        <v>5% off</v>
      </c>
      <c r="M500" s="3">
        <f t="shared" si="36"/>
        <v>18.746000000000002</v>
      </c>
      <c r="N500" t="str">
        <f t="shared" si="37"/>
        <v>Yes</v>
      </c>
      <c r="O500" t="s">
        <v>21</v>
      </c>
      <c r="P500" s="3">
        <f t="shared" si="38"/>
        <v>356.17400000000004</v>
      </c>
      <c r="Q500" t="s">
        <v>35</v>
      </c>
      <c r="R500">
        <v>5</v>
      </c>
      <c r="S500" t="str">
        <f t="shared" si="39"/>
        <v>Excellent</v>
      </c>
    </row>
    <row r="501" spans="1:19" x14ac:dyDescent="0.25">
      <c r="A501" t="s">
        <v>844</v>
      </c>
      <c r="B501">
        <v>53</v>
      </c>
      <c r="C501" t="s">
        <v>16</v>
      </c>
      <c r="D501" t="s">
        <v>2478</v>
      </c>
      <c r="E501" t="s">
        <v>18</v>
      </c>
      <c r="F501" t="s">
        <v>59</v>
      </c>
      <c r="G501" t="s">
        <v>428</v>
      </c>
      <c r="H501" t="str">
        <f>TEXT(walmart[[#This Row],[Purchase_Date]],"DDD")</f>
        <v>Wed</v>
      </c>
      <c r="I501" t="str">
        <f>TEXT(walmart[[#This Row],[Purchase_Date]],"MMM")</f>
        <v>May</v>
      </c>
      <c r="J501" t="str">
        <f>TEXT(walmart[[#This Row],[Purchase_Date]],"YYY")</f>
        <v>2024</v>
      </c>
      <c r="K501" s="3">
        <v>78.349999999999994</v>
      </c>
      <c r="L501" t="str">
        <f t="shared" si="35"/>
        <v>0% off</v>
      </c>
      <c r="M501" s="3">
        <f t="shared" si="36"/>
        <v>0</v>
      </c>
      <c r="N501" t="str">
        <f t="shared" si="37"/>
        <v>No</v>
      </c>
      <c r="O501" t="s">
        <v>34</v>
      </c>
      <c r="P501" s="3">
        <f t="shared" si="38"/>
        <v>78.349999999999994</v>
      </c>
      <c r="Q501" t="s">
        <v>47</v>
      </c>
      <c r="R501">
        <v>1</v>
      </c>
      <c r="S501" t="str">
        <f t="shared" si="39"/>
        <v>Very Poor</v>
      </c>
    </row>
    <row r="502" spans="1:19" x14ac:dyDescent="0.25">
      <c r="A502" t="s">
        <v>845</v>
      </c>
      <c r="B502">
        <v>58</v>
      </c>
      <c r="C502" t="s">
        <v>16</v>
      </c>
      <c r="D502" t="s">
        <v>2479</v>
      </c>
      <c r="E502" t="s">
        <v>37</v>
      </c>
      <c r="F502" t="s">
        <v>97</v>
      </c>
      <c r="G502" t="s">
        <v>136</v>
      </c>
      <c r="H502" t="str">
        <f>TEXT(walmart[[#This Row],[Purchase_Date]],"DDD")</f>
        <v>Tue</v>
      </c>
      <c r="I502" t="str">
        <f>TEXT(walmart[[#This Row],[Purchase_Date]],"MMM")</f>
        <v>Sep</v>
      </c>
      <c r="J502" t="str">
        <f>TEXT(walmart[[#This Row],[Purchase_Date]],"YYY")</f>
        <v>2024</v>
      </c>
      <c r="K502" s="3">
        <v>855.21</v>
      </c>
      <c r="L502" t="str">
        <f t="shared" si="35"/>
        <v>15% off</v>
      </c>
      <c r="M502" s="3">
        <f t="shared" si="36"/>
        <v>128.28149999999999</v>
      </c>
      <c r="N502" t="str">
        <f t="shared" si="37"/>
        <v>Yes</v>
      </c>
      <c r="O502" t="s">
        <v>34</v>
      </c>
      <c r="P502" s="3">
        <f t="shared" si="38"/>
        <v>726.92849999999999</v>
      </c>
      <c r="Q502" t="s">
        <v>27</v>
      </c>
      <c r="R502">
        <v>5</v>
      </c>
      <c r="S502" t="str">
        <f t="shared" si="39"/>
        <v>Excellent</v>
      </c>
    </row>
    <row r="503" spans="1:19" x14ac:dyDescent="0.25">
      <c r="A503" t="s">
        <v>846</v>
      </c>
      <c r="B503">
        <v>64</v>
      </c>
      <c r="C503" t="s">
        <v>16</v>
      </c>
      <c r="D503" t="s">
        <v>2480</v>
      </c>
      <c r="E503" t="s">
        <v>31</v>
      </c>
      <c r="F503" t="s">
        <v>32</v>
      </c>
      <c r="G503" t="s">
        <v>407</v>
      </c>
      <c r="H503" t="str">
        <f>TEXT(walmart[[#This Row],[Purchase_Date]],"DDD")</f>
        <v>Tue</v>
      </c>
      <c r="I503" t="str">
        <f>TEXT(walmart[[#This Row],[Purchase_Date]],"MMM")</f>
        <v>Jul</v>
      </c>
      <c r="J503" t="str">
        <f>TEXT(walmart[[#This Row],[Purchase_Date]],"YYY")</f>
        <v>2024</v>
      </c>
      <c r="K503" s="3">
        <v>493.96</v>
      </c>
      <c r="L503" t="str">
        <f t="shared" si="35"/>
        <v>5% off</v>
      </c>
      <c r="M503" s="3">
        <f t="shared" si="36"/>
        <v>24.698</v>
      </c>
      <c r="N503" t="str">
        <f t="shared" si="37"/>
        <v>Yes</v>
      </c>
      <c r="O503" t="s">
        <v>34</v>
      </c>
      <c r="P503" s="3">
        <f t="shared" si="38"/>
        <v>469.262</v>
      </c>
      <c r="Q503" t="s">
        <v>22</v>
      </c>
      <c r="R503">
        <v>3</v>
      </c>
      <c r="S503" t="str">
        <f t="shared" si="39"/>
        <v>Average</v>
      </c>
    </row>
    <row r="504" spans="1:19" x14ac:dyDescent="0.25">
      <c r="A504" t="s">
        <v>847</v>
      </c>
      <c r="B504">
        <v>56</v>
      </c>
      <c r="C504" t="s">
        <v>29</v>
      </c>
      <c r="D504" t="s">
        <v>2481</v>
      </c>
      <c r="E504" t="s">
        <v>31</v>
      </c>
      <c r="F504" t="s">
        <v>169</v>
      </c>
      <c r="G504" t="s">
        <v>811</v>
      </c>
      <c r="H504" t="str">
        <f>TEXT(walmart[[#This Row],[Purchase_Date]],"DDD")</f>
        <v>Sun</v>
      </c>
      <c r="I504" t="str">
        <f>TEXT(walmart[[#This Row],[Purchase_Date]],"MMM")</f>
        <v>Sep</v>
      </c>
      <c r="J504" t="str">
        <f>TEXT(walmart[[#This Row],[Purchase_Date]],"YYY")</f>
        <v>2024</v>
      </c>
      <c r="K504" s="3">
        <v>52.44</v>
      </c>
      <c r="L504" t="str">
        <f t="shared" si="35"/>
        <v>0% off</v>
      </c>
      <c r="M504" s="3">
        <f t="shared" si="36"/>
        <v>0</v>
      </c>
      <c r="N504" t="str">
        <f t="shared" si="37"/>
        <v>No</v>
      </c>
      <c r="O504" t="s">
        <v>21</v>
      </c>
      <c r="P504" s="3">
        <f t="shared" si="38"/>
        <v>52.44</v>
      </c>
      <c r="Q504" t="s">
        <v>22</v>
      </c>
      <c r="R504">
        <v>4</v>
      </c>
      <c r="S504" t="str">
        <f t="shared" si="39"/>
        <v>Good</v>
      </c>
    </row>
    <row r="505" spans="1:19" x14ac:dyDescent="0.25">
      <c r="A505" t="s">
        <v>848</v>
      </c>
      <c r="B505">
        <v>32</v>
      </c>
      <c r="C505" t="s">
        <v>16</v>
      </c>
      <c r="D505" t="s">
        <v>2482</v>
      </c>
      <c r="E505" t="s">
        <v>37</v>
      </c>
      <c r="F505" t="s">
        <v>82</v>
      </c>
      <c r="G505" t="s">
        <v>714</v>
      </c>
      <c r="H505" t="str">
        <f>TEXT(walmart[[#This Row],[Purchase_Date]],"DDD")</f>
        <v>Sun</v>
      </c>
      <c r="I505" t="str">
        <f>TEXT(walmart[[#This Row],[Purchase_Date]],"MMM")</f>
        <v>Jan</v>
      </c>
      <c r="J505" t="str">
        <f>TEXT(walmart[[#This Row],[Purchase_Date]],"YYY")</f>
        <v>2025</v>
      </c>
      <c r="K505" s="3">
        <v>270.41000000000003</v>
      </c>
      <c r="L505" t="str">
        <f t="shared" si="35"/>
        <v>5% off</v>
      </c>
      <c r="M505" s="3">
        <f t="shared" si="36"/>
        <v>13.520500000000002</v>
      </c>
      <c r="N505" t="str">
        <f t="shared" si="37"/>
        <v>Yes</v>
      </c>
      <c r="O505" t="s">
        <v>34</v>
      </c>
      <c r="P505" s="3">
        <f t="shared" si="38"/>
        <v>256.8895</v>
      </c>
      <c r="Q505" t="s">
        <v>27</v>
      </c>
      <c r="R505">
        <v>2</v>
      </c>
      <c r="S505" t="str">
        <f t="shared" si="39"/>
        <v>Poor</v>
      </c>
    </row>
    <row r="506" spans="1:19" x14ac:dyDescent="0.25">
      <c r="A506" t="s">
        <v>849</v>
      </c>
      <c r="B506">
        <v>63</v>
      </c>
      <c r="C506" t="s">
        <v>16</v>
      </c>
      <c r="D506" t="s">
        <v>2462</v>
      </c>
      <c r="E506" t="s">
        <v>37</v>
      </c>
      <c r="F506" t="s">
        <v>38</v>
      </c>
      <c r="G506" t="s">
        <v>467</v>
      </c>
      <c r="H506" t="str">
        <f>TEXT(walmart[[#This Row],[Purchase_Date]],"DDD")</f>
        <v>Fri</v>
      </c>
      <c r="I506" t="str">
        <f>TEXT(walmart[[#This Row],[Purchase_Date]],"MMM")</f>
        <v>Apr</v>
      </c>
      <c r="J506" t="str">
        <f>TEXT(walmart[[#This Row],[Purchase_Date]],"YYY")</f>
        <v>2024</v>
      </c>
      <c r="K506" s="3">
        <v>211.46</v>
      </c>
      <c r="L506" t="str">
        <f t="shared" si="35"/>
        <v>5% off</v>
      </c>
      <c r="M506" s="3">
        <f t="shared" si="36"/>
        <v>10.573</v>
      </c>
      <c r="N506" t="str">
        <f t="shared" si="37"/>
        <v>Yes</v>
      </c>
      <c r="O506" t="s">
        <v>21</v>
      </c>
      <c r="P506" s="3">
        <f t="shared" si="38"/>
        <v>200.887</v>
      </c>
      <c r="Q506" t="s">
        <v>35</v>
      </c>
      <c r="R506">
        <v>1</v>
      </c>
      <c r="S506" t="str">
        <f t="shared" si="39"/>
        <v>Very Poor</v>
      </c>
    </row>
    <row r="507" spans="1:19" x14ac:dyDescent="0.25">
      <c r="A507" t="s">
        <v>850</v>
      </c>
      <c r="B507">
        <v>70</v>
      </c>
      <c r="C507" t="s">
        <v>16</v>
      </c>
      <c r="D507" t="s">
        <v>2483</v>
      </c>
      <c r="E507" t="s">
        <v>24</v>
      </c>
      <c r="F507" t="s">
        <v>162</v>
      </c>
      <c r="G507" t="s">
        <v>363</v>
      </c>
      <c r="H507" t="str">
        <f>TEXT(walmart[[#This Row],[Purchase_Date]],"DDD")</f>
        <v>Tue</v>
      </c>
      <c r="I507" t="str">
        <f>TEXT(walmart[[#This Row],[Purchase_Date]],"MMM")</f>
        <v>Aug</v>
      </c>
      <c r="J507" t="str">
        <f>TEXT(walmart[[#This Row],[Purchase_Date]],"YYY")</f>
        <v>2024</v>
      </c>
      <c r="K507" s="3">
        <v>362.55</v>
      </c>
      <c r="L507" t="str">
        <f t="shared" si="35"/>
        <v>5% off</v>
      </c>
      <c r="M507" s="3">
        <f t="shared" si="36"/>
        <v>18.127500000000001</v>
      </c>
      <c r="N507" t="str">
        <f t="shared" si="37"/>
        <v>Yes</v>
      </c>
      <c r="O507" t="s">
        <v>34</v>
      </c>
      <c r="P507" s="3">
        <f t="shared" si="38"/>
        <v>344.42250000000001</v>
      </c>
      <c r="Q507" t="s">
        <v>27</v>
      </c>
      <c r="R507">
        <v>2</v>
      </c>
      <c r="S507" t="str">
        <f t="shared" si="39"/>
        <v>Poor</v>
      </c>
    </row>
    <row r="508" spans="1:19" x14ac:dyDescent="0.25">
      <c r="A508" t="s">
        <v>851</v>
      </c>
      <c r="B508">
        <v>26</v>
      </c>
      <c r="C508" t="s">
        <v>16</v>
      </c>
      <c r="D508" t="s">
        <v>2484</v>
      </c>
      <c r="E508" t="s">
        <v>31</v>
      </c>
      <c r="F508" t="s">
        <v>300</v>
      </c>
      <c r="G508" t="s">
        <v>486</v>
      </c>
      <c r="H508" t="str">
        <f>TEXT(walmart[[#This Row],[Purchase_Date]],"DDD")</f>
        <v>Wed</v>
      </c>
      <c r="I508" t="str">
        <f>TEXT(walmart[[#This Row],[Purchase_Date]],"MMM")</f>
        <v>Mar</v>
      </c>
      <c r="J508" t="str">
        <f>TEXT(walmart[[#This Row],[Purchase_Date]],"YYY")</f>
        <v>2025</v>
      </c>
      <c r="K508" s="3">
        <v>340.04</v>
      </c>
      <c r="L508" t="str">
        <f t="shared" si="35"/>
        <v>5% off</v>
      </c>
      <c r="M508" s="3">
        <f t="shared" si="36"/>
        <v>17.002000000000002</v>
      </c>
      <c r="N508" t="str">
        <f t="shared" si="37"/>
        <v>Yes</v>
      </c>
      <c r="O508" t="s">
        <v>21</v>
      </c>
      <c r="P508" s="3">
        <f t="shared" si="38"/>
        <v>323.03800000000001</v>
      </c>
      <c r="Q508" t="s">
        <v>35</v>
      </c>
      <c r="R508">
        <v>5</v>
      </c>
      <c r="S508" t="str">
        <f t="shared" si="39"/>
        <v>Excellent</v>
      </c>
    </row>
    <row r="509" spans="1:19" x14ac:dyDescent="0.25">
      <c r="A509" t="s">
        <v>852</v>
      </c>
      <c r="B509">
        <v>47</v>
      </c>
      <c r="C509" t="s">
        <v>29</v>
      </c>
      <c r="D509" t="s">
        <v>2485</v>
      </c>
      <c r="E509" t="s">
        <v>18</v>
      </c>
      <c r="F509" t="s">
        <v>77</v>
      </c>
      <c r="G509" t="s">
        <v>295</v>
      </c>
      <c r="H509" t="str">
        <f>TEXT(walmart[[#This Row],[Purchase_Date]],"DDD")</f>
        <v>Sun</v>
      </c>
      <c r="I509" t="str">
        <f>TEXT(walmart[[#This Row],[Purchase_Date]],"MMM")</f>
        <v>Mar</v>
      </c>
      <c r="J509" t="str">
        <f>TEXT(walmart[[#This Row],[Purchase_Date]],"YYY")</f>
        <v>2025</v>
      </c>
      <c r="K509" s="3">
        <v>116.78</v>
      </c>
      <c r="L509" t="str">
        <f t="shared" si="35"/>
        <v>0% off</v>
      </c>
      <c r="M509" s="3">
        <f t="shared" si="36"/>
        <v>0</v>
      </c>
      <c r="N509" t="str">
        <f t="shared" si="37"/>
        <v>No</v>
      </c>
      <c r="O509" t="s">
        <v>34</v>
      </c>
      <c r="P509" s="3">
        <f t="shared" si="38"/>
        <v>116.78</v>
      </c>
      <c r="Q509" t="s">
        <v>22</v>
      </c>
      <c r="R509">
        <v>4</v>
      </c>
      <c r="S509" t="str">
        <f t="shared" si="39"/>
        <v>Good</v>
      </c>
    </row>
    <row r="510" spans="1:19" x14ac:dyDescent="0.25">
      <c r="A510" t="s">
        <v>853</v>
      </c>
      <c r="B510">
        <v>68</v>
      </c>
      <c r="C510" t="s">
        <v>29</v>
      </c>
      <c r="D510" t="s">
        <v>2486</v>
      </c>
      <c r="E510" t="s">
        <v>55</v>
      </c>
      <c r="F510" t="s">
        <v>100</v>
      </c>
      <c r="G510" t="s">
        <v>212</v>
      </c>
      <c r="H510" t="str">
        <f>TEXT(walmart[[#This Row],[Purchase_Date]],"DDD")</f>
        <v>Sat</v>
      </c>
      <c r="I510" t="str">
        <f>TEXT(walmart[[#This Row],[Purchase_Date]],"MMM")</f>
        <v>Aug</v>
      </c>
      <c r="J510" t="str">
        <f>TEXT(walmart[[#This Row],[Purchase_Date]],"YYY")</f>
        <v>2024</v>
      </c>
      <c r="K510" s="3">
        <v>592.26</v>
      </c>
      <c r="L510" t="str">
        <f t="shared" si="35"/>
        <v>10% off</v>
      </c>
      <c r="M510" s="3">
        <f t="shared" si="36"/>
        <v>59.225999999999999</v>
      </c>
      <c r="N510" t="str">
        <f t="shared" si="37"/>
        <v>Yes</v>
      </c>
      <c r="O510" t="s">
        <v>34</v>
      </c>
      <c r="P510" s="3">
        <f t="shared" si="38"/>
        <v>533.03399999999999</v>
      </c>
      <c r="Q510" t="s">
        <v>22</v>
      </c>
      <c r="R510">
        <v>2</v>
      </c>
      <c r="S510" t="str">
        <f t="shared" si="39"/>
        <v>Poor</v>
      </c>
    </row>
    <row r="511" spans="1:19" x14ac:dyDescent="0.25">
      <c r="A511" t="s">
        <v>854</v>
      </c>
      <c r="B511">
        <v>50</v>
      </c>
      <c r="C511" t="s">
        <v>29</v>
      </c>
      <c r="D511" t="s">
        <v>2487</v>
      </c>
      <c r="E511" t="s">
        <v>18</v>
      </c>
      <c r="F511" t="s">
        <v>142</v>
      </c>
      <c r="G511" t="s">
        <v>855</v>
      </c>
      <c r="H511" t="str">
        <f>TEXT(walmart[[#This Row],[Purchase_Date]],"DDD")</f>
        <v>Thu</v>
      </c>
      <c r="I511" t="str">
        <f>TEXT(walmart[[#This Row],[Purchase_Date]],"MMM")</f>
        <v>Nov</v>
      </c>
      <c r="J511" t="str">
        <f>TEXT(walmart[[#This Row],[Purchase_Date]],"YYY")</f>
        <v>2024</v>
      </c>
      <c r="K511" s="3">
        <v>485.26</v>
      </c>
      <c r="L511" t="str">
        <f t="shared" si="35"/>
        <v>5% off</v>
      </c>
      <c r="M511" s="3">
        <f t="shared" si="36"/>
        <v>24.263000000000002</v>
      </c>
      <c r="N511" t="str">
        <f t="shared" si="37"/>
        <v>Yes</v>
      </c>
      <c r="O511" t="s">
        <v>21</v>
      </c>
      <c r="P511" s="3">
        <f t="shared" si="38"/>
        <v>460.99700000000001</v>
      </c>
      <c r="Q511" t="s">
        <v>27</v>
      </c>
      <c r="R511">
        <v>2</v>
      </c>
      <c r="S511" t="str">
        <f t="shared" si="39"/>
        <v>Poor</v>
      </c>
    </row>
    <row r="512" spans="1:19" x14ac:dyDescent="0.25">
      <c r="A512" t="s">
        <v>856</v>
      </c>
      <c r="B512">
        <v>21</v>
      </c>
      <c r="C512" t="s">
        <v>29</v>
      </c>
      <c r="D512" t="s">
        <v>2488</v>
      </c>
      <c r="E512" t="s">
        <v>37</v>
      </c>
      <c r="F512" t="s">
        <v>117</v>
      </c>
      <c r="G512" t="s">
        <v>210</v>
      </c>
      <c r="H512" t="str">
        <f>TEXT(walmart[[#This Row],[Purchase_Date]],"DDD")</f>
        <v>Thu</v>
      </c>
      <c r="I512" t="str">
        <f>TEXT(walmart[[#This Row],[Purchase_Date]],"MMM")</f>
        <v>Jun</v>
      </c>
      <c r="J512" t="str">
        <f>TEXT(walmart[[#This Row],[Purchase_Date]],"YYY")</f>
        <v>2024</v>
      </c>
      <c r="K512" s="3">
        <v>165.68</v>
      </c>
      <c r="L512" t="str">
        <f t="shared" si="35"/>
        <v>5% off</v>
      </c>
      <c r="M512" s="3">
        <f t="shared" si="36"/>
        <v>8.2840000000000007</v>
      </c>
      <c r="N512" t="str">
        <f t="shared" si="37"/>
        <v>Yes</v>
      </c>
      <c r="O512" t="s">
        <v>21</v>
      </c>
      <c r="P512" s="3">
        <f t="shared" si="38"/>
        <v>157.39600000000002</v>
      </c>
      <c r="Q512" t="s">
        <v>27</v>
      </c>
      <c r="R512">
        <v>5</v>
      </c>
      <c r="S512" t="str">
        <f t="shared" si="39"/>
        <v>Excellent</v>
      </c>
    </row>
    <row r="513" spans="1:19" x14ac:dyDescent="0.25">
      <c r="A513" t="s">
        <v>857</v>
      </c>
      <c r="B513">
        <v>58</v>
      </c>
      <c r="C513" t="s">
        <v>29</v>
      </c>
      <c r="D513" t="s">
        <v>2489</v>
      </c>
      <c r="E513" t="s">
        <v>24</v>
      </c>
      <c r="F513" t="s">
        <v>209</v>
      </c>
      <c r="G513" t="s">
        <v>207</v>
      </c>
      <c r="H513" t="str">
        <f>TEXT(walmart[[#This Row],[Purchase_Date]],"DDD")</f>
        <v>Wed</v>
      </c>
      <c r="I513" t="str">
        <f>TEXT(walmart[[#This Row],[Purchase_Date]],"MMM")</f>
        <v>Aug</v>
      </c>
      <c r="J513" t="str">
        <f>TEXT(walmart[[#This Row],[Purchase_Date]],"YYY")</f>
        <v>2024</v>
      </c>
      <c r="K513" s="3">
        <v>775.75</v>
      </c>
      <c r="L513" t="str">
        <f t="shared" si="35"/>
        <v>15% off</v>
      </c>
      <c r="M513" s="3">
        <f t="shared" si="36"/>
        <v>116.3625</v>
      </c>
      <c r="N513" t="str">
        <f t="shared" si="37"/>
        <v>Yes</v>
      </c>
      <c r="O513" t="s">
        <v>21</v>
      </c>
      <c r="P513" s="3">
        <f t="shared" si="38"/>
        <v>659.38750000000005</v>
      </c>
      <c r="Q513" t="s">
        <v>47</v>
      </c>
      <c r="R513">
        <v>5</v>
      </c>
      <c r="S513" t="str">
        <f t="shared" si="39"/>
        <v>Excellent</v>
      </c>
    </row>
    <row r="514" spans="1:19" x14ac:dyDescent="0.25">
      <c r="A514" t="s">
        <v>858</v>
      </c>
      <c r="B514">
        <v>58</v>
      </c>
      <c r="C514" t="s">
        <v>16</v>
      </c>
      <c r="D514" t="s">
        <v>2490</v>
      </c>
      <c r="E514" t="s">
        <v>18</v>
      </c>
      <c r="F514" t="s">
        <v>142</v>
      </c>
      <c r="G514" t="s">
        <v>859</v>
      </c>
      <c r="H514" t="str">
        <f>TEXT(walmart[[#This Row],[Purchase_Date]],"DDD")</f>
        <v>Tue</v>
      </c>
      <c r="I514" t="str">
        <f>TEXT(walmart[[#This Row],[Purchase_Date]],"MMM")</f>
        <v>Jun</v>
      </c>
      <c r="J514" t="str">
        <f>TEXT(walmart[[#This Row],[Purchase_Date]],"YYY")</f>
        <v>2024</v>
      </c>
      <c r="K514" s="3">
        <v>485.26</v>
      </c>
      <c r="L514" t="str">
        <f t="shared" si="35"/>
        <v>5% off</v>
      </c>
      <c r="M514" s="3">
        <f t="shared" si="36"/>
        <v>24.263000000000002</v>
      </c>
      <c r="N514" t="str">
        <f t="shared" si="37"/>
        <v>Yes</v>
      </c>
      <c r="O514" t="s">
        <v>21</v>
      </c>
      <c r="P514" s="3">
        <f t="shared" si="38"/>
        <v>460.99700000000001</v>
      </c>
      <c r="Q514" t="s">
        <v>22</v>
      </c>
      <c r="R514">
        <v>1</v>
      </c>
      <c r="S514" t="str">
        <f t="shared" si="39"/>
        <v>Very Poor</v>
      </c>
    </row>
    <row r="515" spans="1:19" x14ac:dyDescent="0.25">
      <c r="A515" t="s">
        <v>860</v>
      </c>
      <c r="B515">
        <v>60</v>
      </c>
      <c r="C515" t="s">
        <v>16</v>
      </c>
      <c r="D515" t="s">
        <v>2471</v>
      </c>
      <c r="E515" t="s">
        <v>31</v>
      </c>
      <c r="F515" t="s">
        <v>169</v>
      </c>
      <c r="G515" t="s">
        <v>584</v>
      </c>
      <c r="H515" t="str">
        <f>TEXT(walmart[[#This Row],[Purchase_Date]],"DDD")</f>
        <v>Sat</v>
      </c>
      <c r="I515" t="str">
        <f>TEXT(walmart[[#This Row],[Purchase_Date]],"MMM")</f>
        <v>Mar</v>
      </c>
      <c r="J515" t="str">
        <f>TEXT(walmart[[#This Row],[Purchase_Date]],"YYY")</f>
        <v>2025</v>
      </c>
      <c r="K515" s="3">
        <v>52.44</v>
      </c>
      <c r="L515" t="str">
        <f t="shared" ref="L515:L578" si="40">IF(K515&lt;150,"0% off",IF(K515&lt;500,"5% off",IF(K515&lt;700,"10% off",IF(K515&lt;900,"15% off","20% off"))))</f>
        <v>0% off</v>
      </c>
      <c r="M515" s="3">
        <f t="shared" ref="M515:M578" si="41">K515 * (LEFT(L515, LEN(L515)-5) / 100)</f>
        <v>0</v>
      </c>
      <c r="N515" t="str">
        <f t="shared" ref="N515:N578" si="42">IF(L515="0% off", "No", "Yes")</f>
        <v>No</v>
      </c>
      <c r="O515" t="s">
        <v>34</v>
      </c>
      <c r="P515" s="3">
        <f t="shared" ref="P515:P578" si="43">K515-M515</f>
        <v>52.44</v>
      </c>
      <c r="Q515" t="s">
        <v>22</v>
      </c>
      <c r="R515">
        <v>4</v>
      </c>
      <c r="S515" t="str">
        <f t="shared" ref="S515:S578" si="44">IF(R515=5, "Excellent", IF(R515=4, "Good", IF(R515=3, "Average", IF(R515=2, "Poor", IF(R515=1, "Very Poor", "Invalid Rating")))))</f>
        <v>Good</v>
      </c>
    </row>
    <row r="516" spans="1:19" x14ac:dyDescent="0.25">
      <c r="A516" t="s">
        <v>861</v>
      </c>
      <c r="B516">
        <v>64</v>
      </c>
      <c r="C516" t="s">
        <v>29</v>
      </c>
      <c r="D516" t="s">
        <v>2491</v>
      </c>
      <c r="E516" t="s">
        <v>42</v>
      </c>
      <c r="F516" t="s">
        <v>103</v>
      </c>
      <c r="G516" t="s">
        <v>134</v>
      </c>
      <c r="H516" t="str">
        <f>TEXT(walmart[[#This Row],[Purchase_Date]],"DDD")</f>
        <v>Sun</v>
      </c>
      <c r="I516" t="str">
        <f>TEXT(walmart[[#This Row],[Purchase_Date]],"MMM")</f>
        <v>May</v>
      </c>
      <c r="J516" t="str">
        <f>TEXT(walmart[[#This Row],[Purchase_Date]],"YYY")</f>
        <v>2024</v>
      </c>
      <c r="K516" s="3">
        <v>315.56</v>
      </c>
      <c r="L516" t="str">
        <f t="shared" si="40"/>
        <v>5% off</v>
      </c>
      <c r="M516" s="3">
        <f t="shared" si="41"/>
        <v>15.778</v>
      </c>
      <c r="N516" t="str">
        <f t="shared" si="42"/>
        <v>Yes</v>
      </c>
      <c r="O516" t="s">
        <v>21</v>
      </c>
      <c r="P516" s="3">
        <f t="shared" si="43"/>
        <v>299.78199999999998</v>
      </c>
      <c r="Q516" t="s">
        <v>22</v>
      </c>
      <c r="R516">
        <v>1</v>
      </c>
      <c r="S516" t="str">
        <f t="shared" si="44"/>
        <v>Very Poor</v>
      </c>
    </row>
    <row r="517" spans="1:19" x14ac:dyDescent="0.25">
      <c r="A517" t="s">
        <v>862</v>
      </c>
      <c r="B517">
        <v>36</v>
      </c>
      <c r="C517" t="s">
        <v>16</v>
      </c>
      <c r="D517" t="s">
        <v>2492</v>
      </c>
      <c r="E517" t="s">
        <v>18</v>
      </c>
      <c r="F517" t="s">
        <v>19</v>
      </c>
      <c r="G517" t="s">
        <v>525</v>
      </c>
      <c r="H517" t="str">
        <f>TEXT(walmart[[#This Row],[Purchase_Date]],"DDD")</f>
        <v>Mon</v>
      </c>
      <c r="I517" t="str">
        <f>TEXT(walmart[[#This Row],[Purchase_Date]],"MMM")</f>
        <v>Oct</v>
      </c>
      <c r="J517" t="str">
        <f>TEXT(walmart[[#This Row],[Purchase_Date]],"YYY")</f>
        <v>2024</v>
      </c>
      <c r="K517" s="3">
        <v>697.86</v>
      </c>
      <c r="L517" t="str">
        <f t="shared" si="40"/>
        <v>10% off</v>
      </c>
      <c r="M517" s="3">
        <f t="shared" si="41"/>
        <v>69.786000000000001</v>
      </c>
      <c r="N517" t="str">
        <f t="shared" si="42"/>
        <v>Yes</v>
      </c>
      <c r="O517" t="s">
        <v>34</v>
      </c>
      <c r="P517" s="3">
        <f t="shared" si="43"/>
        <v>628.07400000000007</v>
      </c>
      <c r="Q517" t="s">
        <v>27</v>
      </c>
      <c r="R517">
        <v>1</v>
      </c>
      <c r="S517" t="str">
        <f t="shared" si="44"/>
        <v>Very Poor</v>
      </c>
    </row>
    <row r="518" spans="1:19" x14ac:dyDescent="0.25">
      <c r="A518" t="s">
        <v>863</v>
      </c>
      <c r="B518">
        <v>57</v>
      </c>
      <c r="C518" t="s">
        <v>29</v>
      </c>
      <c r="D518" t="s">
        <v>2493</v>
      </c>
      <c r="E518" t="s">
        <v>37</v>
      </c>
      <c r="F518" t="s">
        <v>117</v>
      </c>
      <c r="G518" t="s">
        <v>625</v>
      </c>
      <c r="H518" t="str">
        <f>TEXT(walmart[[#This Row],[Purchase_Date]],"DDD")</f>
        <v>Wed</v>
      </c>
      <c r="I518" t="str">
        <f>TEXT(walmart[[#This Row],[Purchase_Date]],"MMM")</f>
        <v>Sep</v>
      </c>
      <c r="J518" t="str">
        <f>TEXT(walmart[[#This Row],[Purchase_Date]],"YYY")</f>
        <v>2024</v>
      </c>
      <c r="K518" s="3">
        <v>165.68</v>
      </c>
      <c r="L518" t="str">
        <f t="shared" si="40"/>
        <v>5% off</v>
      </c>
      <c r="M518" s="3">
        <f t="shared" si="41"/>
        <v>8.2840000000000007</v>
      </c>
      <c r="N518" t="str">
        <f t="shared" si="42"/>
        <v>Yes</v>
      </c>
      <c r="O518" t="s">
        <v>21</v>
      </c>
      <c r="P518" s="3">
        <f t="shared" si="43"/>
        <v>157.39600000000002</v>
      </c>
      <c r="Q518" t="s">
        <v>47</v>
      </c>
      <c r="R518">
        <v>2</v>
      </c>
      <c r="S518" t="str">
        <f t="shared" si="44"/>
        <v>Poor</v>
      </c>
    </row>
    <row r="519" spans="1:19" x14ac:dyDescent="0.25">
      <c r="A519" t="s">
        <v>864</v>
      </c>
      <c r="B519">
        <v>30</v>
      </c>
      <c r="C519" t="s">
        <v>16</v>
      </c>
      <c r="D519" t="s">
        <v>2494</v>
      </c>
      <c r="E519" t="s">
        <v>24</v>
      </c>
      <c r="F519" t="s">
        <v>162</v>
      </c>
      <c r="G519" t="s">
        <v>662</v>
      </c>
      <c r="H519" t="str">
        <f>TEXT(walmart[[#This Row],[Purchase_Date]],"DDD")</f>
        <v>Sat</v>
      </c>
      <c r="I519" t="str">
        <f>TEXT(walmart[[#This Row],[Purchase_Date]],"MMM")</f>
        <v>May</v>
      </c>
      <c r="J519" t="str">
        <f>TEXT(walmart[[#This Row],[Purchase_Date]],"YYY")</f>
        <v>2024</v>
      </c>
      <c r="K519" s="3">
        <v>362.55</v>
      </c>
      <c r="L519" t="str">
        <f t="shared" si="40"/>
        <v>5% off</v>
      </c>
      <c r="M519" s="3">
        <f t="shared" si="41"/>
        <v>18.127500000000001</v>
      </c>
      <c r="N519" t="str">
        <f t="shared" si="42"/>
        <v>Yes</v>
      </c>
      <c r="O519" t="s">
        <v>34</v>
      </c>
      <c r="P519" s="3">
        <f t="shared" si="43"/>
        <v>344.42250000000001</v>
      </c>
      <c r="Q519" t="s">
        <v>22</v>
      </c>
      <c r="R519">
        <v>1</v>
      </c>
      <c r="S519" t="str">
        <f t="shared" si="44"/>
        <v>Very Poor</v>
      </c>
    </row>
    <row r="520" spans="1:19" x14ac:dyDescent="0.25">
      <c r="A520" t="s">
        <v>865</v>
      </c>
      <c r="B520">
        <v>30</v>
      </c>
      <c r="C520" t="s">
        <v>16</v>
      </c>
      <c r="D520" t="s">
        <v>2495</v>
      </c>
      <c r="E520" t="s">
        <v>31</v>
      </c>
      <c r="F520" t="s">
        <v>32</v>
      </c>
      <c r="G520" t="s">
        <v>463</v>
      </c>
      <c r="H520" t="str">
        <f>TEXT(walmart[[#This Row],[Purchase_Date]],"DDD")</f>
        <v>Mon</v>
      </c>
      <c r="I520" t="str">
        <f>TEXT(walmart[[#This Row],[Purchase_Date]],"MMM")</f>
        <v>Mar</v>
      </c>
      <c r="J520" t="str">
        <f>TEXT(walmart[[#This Row],[Purchase_Date]],"YYY")</f>
        <v>2025</v>
      </c>
      <c r="K520" s="3">
        <v>493.96</v>
      </c>
      <c r="L520" t="str">
        <f t="shared" si="40"/>
        <v>5% off</v>
      </c>
      <c r="M520" s="3">
        <f t="shared" si="41"/>
        <v>24.698</v>
      </c>
      <c r="N520" t="str">
        <f t="shared" si="42"/>
        <v>Yes</v>
      </c>
      <c r="O520" t="s">
        <v>34</v>
      </c>
      <c r="P520" s="3">
        <f t="shared" si="43"/>
        <v>469.262</v>
      </c>
      <c r="Q520" t="s">
        <v>22</v>
      </c>
      <c r="R520">
        <v>1</v>
      </c>
      <c r="S520" t="str">
        <f t="shared" si="44"/>
        <v>Very Poor</v>
      </c>
    </row>
    <row r="521" spans="1:19" x14ac:dyDescent="0.25">
      <c r="A521" t="s">
        <v>866</v>
      </c>
      <c r="B521">
        <v>28</v>
      </c>
      <c r="C521" t="s">
        <v>29</v>
      </c>
      <c r="D521" t="s">
        <v>2496</v>
      </c>
      <c r="E521" t="s">
        <v>55</v>
      </c>
      <c r="F521" t="s">
        <v>56</v>
      </c>
      <c r="G521" t="s">
        <v>355</v>
      </c>
      <c r="H521" t="str">
        <f>TEXT(walmart[[#This Row],[Purchase_Date]],"DDD")</f>
        <v>Fri</v>
      </c>
      <c r="I521" t="str">
        <f>TEXT(walmart[[#This Row],[Purchase_Date]],"MMM")</f>
        <v>Nov</v>
      </c>
      <c r="J521" t="str">
        <f>TEXT(walmart[[#This Row],[Purchase_Date]],"YYY")</f>
        <v>2024</v>
      </c>
      <c r="K521" s="3">
        <v>76.81</v>
      </c>
      <c r="L521" t="str">
        <f t="shared" si="40"/>
        <v>0% off</v>
      </c>
      <c r="M521" s="3">
        <f t="shared" si="41"/>
        <v>0</v>
      </c>
      <c r="N521" t="str">
        <f t="shared" si="42"/>
        <v>No</v>
      </c>
      <c r="O521" t="s">
        <v>34</v>
      </c>
      <c r="P521" s="3">
        <f t="shared" si="43"/>
        <v>76.81</v>
      </c>
      <c r="Q521" t="s">
        <v>35</v>
      </c>
      <c r="R521">
        <v>2</v>
      </c>
      <c r="S521" t="str">
        <f t="shared" si="44"/>
        <v>Poor</v>
      </c>
    </row>
    <row r="522" spans="1:19" x14ac:dyDescent="0.25">
      <c r="A522" t="s">
        <v>867</v>
      </c>
      <c r="B522">
        <v>61</v>
      </c>
      <c r="C522" t="s">
        <v>16</v>
      </c>
      <c r="D522" t="s">
        <v>2497</v>
      </c>
      <c r="E522" t="s">
        <v>37</v>
      </c>
      <c r="F522" t="s">
        <v>82</v>
      </c>
      <c r="G522" t="s">
        <v>632</v>
      </c>
      <c r="H522" t="str">
        <f>TEXT(walmart[[#This Row],[Purchase_Date]],"DDD")</f>
        <v>Wed</v>
      </c>
      <c r="I522" t="str">
        <f>TEXT(walmart[[#This Row],[Purchase_Date]],"MMM")</f>
        <v>Jan</v>
      </c>
      <c r="J522" t="str">
        <f>TEXT(walmart[[#This Row],[Purchase_Date]],"YYY")</f>
        <v>2025</v>
      </c>
      <c r="K522" s="3">
        <v>270.41000000000003</v>
      </c>
      <c r="L522" t="str">
        <f t="shared" si="40"/>
        <v>5% off</v>
      </c>
      <c r="M522" s="3">
        <f t="shared" si="41"/>
        <v>13.520500000000002</v>
      </c>
      <c r="N522" t="str">
        <f t="shared" si="42"/>
        <v>Yes</v>
      </c>
      <c r="O522" t="s">
        <v>34</v>
      </c>
      <c r="P522" s="3">
        <f t="shared" si="43"/>
        <v>256.8895</v>
      </c>
      <c r="Q522" t="s">
        <v>47</v>
      </c>
      <c r="R522">
        <v>5</v>
      </c>
      <c r="S522" t="str">
        <f t="shared" si="44"/>
        <v>Excellent</v>
      </c>
    </row>
    <row r="523" spans="1:19" x14ac:dyDescent="0.25">
      <c r="A523" t="s">
        <v>868</v>
      </c>
      <c r="B523">
        <v>62</v>
      </c>
      <c r="C523" t="s">
        <v>29</v>
      </c>
      <c r="D523" t="s">
        <v>2498</v>
      </c>
      <c r="E523" t="s">
        <v>18</v>
      </c>
      <c r="F523" t="s">
        <v>77</v>
      </c>
      <c r="G523" t="s">
        <v>630</v>
      </c>
      <c r="H523" t="str">
        <f>TEXT(walmart[[#This Row],[Purchase_Date]],"DDD")</f>
        <v>Tue</v>
      </c>
      <c r="I523" t="str">
        <f>TEXT(walmart[[#This Row],[Purchase_Date]],"MMM")</f>
        <v>Mar</v>
      </c>
      <c r="J523" t="str">
        <f>TEXT(walmart[[#This Row],[Purchase_Date]],"YYY")</f>
        <v>2025</v>
      </c>
      <c r="K523" s="3">
        <v>116.78</v>
      </c>
      <c r="L523" t="str">
        <f t="shared" si="40"/>
        <v>0% off</v>
      </c>
      <c r="M523" s="3">
        <f t="shared" si="41"/>
        <v>0</v>
      </c>
      <c r="N523" t="str">
        <f t="shared" si="42"/>
        <v>No</v>
      </c>
      <c r="O523" t="s">
        <v>21</v>
      </c>
      <c r="P523" s="3">
        <f t="shared" si="43"/>
        <v>116.78</v>
      </c>
      <c r="Q523" t="s">
        <v>47</v>
      </c>
      <c r="R523">
        <v>1</v>
      </c>
      <c r="S523" t="str">
        <f t="shared" si="44"/>
        <v>Very Poor</v>
      </c>
    </row>
    <row r="524" spans="1:19" x14ac:dyDescent="0.25">
      <c r="A524" t="s">
        <v>869</v>
      </c>
      <c r="B524">
        <v>19</v>
      </c>
      <c r="C524" t="s">
        <v>29</v>
      </c>
      <c r="D524" t="s">
        <v>2499</v>
      </c>
      <c r="E524" t="s">
        <v>24</v>
      </c>
      <c r="F524" t="s">
        <v>25</v>
      </c>
      <c r="G524" t="s">
        <v>870</v>
      </c>
      <c r="H524" t="str">
        <f>TEXT(walmart[[#This Row],[Purchase_Date]],"DDD")</f>
        <v>Thu</v>
      </c>
      <c r="I524" t="str">
        <f>TEXT(walmart[[#This Row],[Purchase_Date]],"MMM")</f>
        <v>Jun</v>
      </c>
      <c r="J524" t="str">
        <f>TEXT(walmart[[#This Row],[Purchase_Date]],"YYY")</f>
        <v>2024</v>
      </c>
      <c r="K524" s="3">
        <v>67.040000000000006</v>
      </c>
      <c r="L524" t="str">
        <f t="shared" si="40"/>
        <v>0% off</v>
      </c>
      <c r="M524" s="3">
        <f t="shared" si="41"/>
        <v>0</v>
      </c>
      <c r="N524" t="str">
        <f t="shared" si="42"/>
        <v>No</v>
      </c>
      <c r="O524" t="s">
        <v>34</v>
      </c>
      <c r="P524" s="3">
        <f t="shared" si="43"/>
        <v>67.040000000000006</v>
      </c>
      <c r="Q524" t="s">
        <v>22</v>
      </c>
      <c r="R524">
        <v>5</v>
      </c>
      <c r="S524" t="str">
        <f t="shared" si="44"/>
        <v>Excellent</v>
      </c>
    </row>
    <row r="525" spans="1:19" x14ac:dyDescent="0.25">
      <c r="A525" t="s">
        <v>871</v>
      </c>
      <c r="B525">
        <v>69</v>
      </c>
      <c r="C525" t="s">
        <v>16</v>
      </c>
      <c r="D525" t="s">
        <v>2500</v>
      </c>
      <c r="E525" t="s">
        <v>37</v>
      </c>
      <c r="F525" t="s">
        <v>82</v>
      </c>
      <c r="G525" t="s">
        <v>391</v>
      </c>
      <c r="H525" t="str">
        <f>TEXT(walmart[[#This Row],[Purchase_Date]],"DDD")</f>
        <v>Thu</v>
      </c>
      <c r="I525" t="str">
        <f>TEXT(walmart[[#This Row],[Purchase_Date]],"MMM")</f>
        <v>Feb</v>
      </c>
      <c r="J525" t="str">
        <f>TEXT(walmart[[#This Row],[Purchase_Date]],"YYY")</f>
        <v>2025</v>
      </c>
      <c r="K525" s="3">
        <v>270.41000000000003</v>
      </c>
      <c r="L525" t="str">
        <f t="shared" si="40"/>
        <v>5% off</v>
      </c>
      <c r="M525" s="3">
        <f t="shared" si="41"/>
        <v>13.520500000000002</v>
      </c>
      <c r="N525" t="str">
        <f t="shared" si="42"/>
        <v>Yes</v>
      </c>
      <c r="O525" t="s">
        <v>34</v>
      </c>
      <c r="P525" s="3">
        <f t="shared" si="43"/>
        <v>256.8895</v>
      </c>
      <c r="Q525" t="s">
        <v>47</v>
      </c>
      <c r="R525">
        <v>1</v>
      </c>
      <c r="S525" t="str">
        <f t="shared" si="44"/>
        <v>Very Poor</v>
      </c>
    </row>
    <row r="526" spans="1:19" x14ac:dyDescent="0.25">
      <c r="A526" t="s">
        <v>872</v>
      </c>
      <c r="B526">
        <v>49</v>
      </c>
      <c r="C526" t="s">
        <v>29</v>
      </c>
      <c r="D526" t="s">
        <v>2501</v>
      </c>
      <c r="E526" t="s">
        <v>55</v>
      </c>
      <c r="F526" t="s">
        <v>67</v>
      </c>
      <c r="G526" t="s">
        <v>644</v>
      </c>
      <c r="H526" t="str">
        <f>TEXT(walmart[[#This Row],[Purchase_Date]],"DDD")</f>
        <v>Fri</v>
      </c>
      <c r="I526" t="str">
        <f>TEXT(walmart[[#This Row],[Purchase_Date]],"MMM")</f>
        <v>Jan</v>
      </c>
      <c r="J526" t="str">
        <f>TEXT(walmart[[#This Row],[Purchase_Date]],"YYY")</f>
        <v>2025</v>
      </c>
      <c r="K526" s="3">
        <v>452.97</v>
      </c>
      <c r="L526" t="str">
        <f t="shared" si="40"/>
        <v>5% off</v>
      </c>
      <c r="M526" s="3">
        <f t="shared" si="41"/>
        <v>22.648500000000002</v>
      </c>
      <c r="N526" t="str">
        <f t="shared" si="42"/>
        <v>Yes</v>
      </c>
      <c r="O526" t="s">
        <v>21</v>
      </c>
      <c r="P526" s="3">
        <f t="shared" si="43"/>
        <v>430.32150000000001</v>
      </c>
      <c r="Q526" t="s">
        <v>27</v>
      </c>
      <c r="R526">
        <v>1</v>
      </c>
      <c r="S526" t="str">
        <f t="shared" si="44"/>
        <v>Very Poor</v>
      </c>
    </row>
    <row r="527" spans="1:19" x14ac:dyDescent="0.25">
      <c r="A527" t="s">
        <v>873</v>
      </c>
      <c r="B527">
        <v>59</v>
      </c>
      <c r="C527" t="s">
        <v>29</v>
      </c>
      <c r="D527" t="s">
        <v>2502</v>
      </c>
      <c r="E527" t="s">
        <v>18</v>
      </c>
      <c r="F527" t="s">
        <v>142</v>
      </c>
      <c r="G527" t="s">
        <v>201</v>
      </c>
      <c r="H527" t="str">
        <f>TEXT(walmart[[#This Row],[Purchase_Date]],"DDD")</f>
        <v>Sat</v>
      </c>
      <c r="I527" t="str">
        <f>TEXT(walmart[[#This Row],[Purchase_Date]],"MMM")</f>
        <v>Aug</v>
      </c>
      <c r="J527" t="str">
        <f>TEXT(walmart[[#This Row],[Purchase_Date]],"YYY")</f>
        <v>2024</v>
      </c>
      <c r="K527" s="3">
        <v>485.26</v>
      </c>
      <c r="L527" t="str">
        <f t="shared" si="40"/>
        <v>5% off</v>
      </c>
      <c r="M527" s="3">
        <f t="shared" si="41"/>
        <v>24.263000000000002</v>
      </c>
      <c r="N527" t="str">
        <f t="shared" si="42"/>
        <v>Yes</v>
      </c>
      <c r="O527" t="s">
        <v>21</v>
      </c>
      <c r="P527" s="3">
        <f t="shared" si="43"/>
        <v>460.99700000000001</v>
      </c>
      <c r="Q527" t="s">
        <v>27</v>
      </c>
      <c r="R527">
        <v>1</v>
      </c>
      <c r="S527" t="str">
        <f t="shared" si="44"/>
        <v>Very Poor</v>
      </c>
    </row>
    <row r="528" spans="1:19" x14ac:dyDescent="0.25">
      <c r="A528" t="s">
        <v>874</v>
      </c>
      <c r="B528">
        <v>40</v>
      </c>
      <c r="C528" t="s">
        <v>16</v>
      </c>
      <c r="D528" t="s">
        <v>2503</v>
      </c>
      <c r="E528" t="s">
        <v>24</v>
      </c>
      <c r="F528" t="s">
        <v>162</v>
      </c>
      <c r="G528" t="s">
        <v>875</v>
      </c>
      <c r="H528" t="str">
        <f>TEXT(walmart[[#This Row],[Purchase_Date]],"DDD")</f>
        <v>Fri</v>
      </c>
      <c r="I528" t="str">
        <f>TEXT(walmart[[#This Row],[Purchase_Date]],"MMM")</f>
        <v>Jul</v>
      </c>
      <c r="J528" t="str">
        <f>TEXT(walmart[[#This Row],[Purchase_Date]],"YYY")</f>
        <v>2024</v>
      </c>
      <c r="K528" s="3">
        <v>362.55</v>
      </c>
      <c r="L528" t="str">
        <f t="shared" si="40"/>
        <v>5% off</v>
      </c>
      <c r="M528" s="3">
        <f t="shared" si="41"/>
        <v>18.127500000000001</v>
      </c>
      <c r="N528" t="str">
        <f t="shared" si="42"/>
        <v>Yes</v>
      </c>
      <c r="O528" t="s">
        <v>21</v>
      </c>
      <c r="P528" s="3">
        <f t="shared" si="43"/>
        <v>344.42250000000001</v>
      </c>
      <c r="Q528" t="s">
        <v>22</v>
      </c>
      <c r="R528">
        <v>1</v>
      </c>
      <c r="S528" t="str">
        <f t="shared" si="44"/>
        <v>Very Poor</v>
      </c>
    </row>
    <row r="529" spans="1:19" x14ac:dyDescent="0.25">
      <c r="A529" t="s">
        <v>876</v>
      </c>
      <c r="B529">
        <v>25</v>
      </c>
      <c r="C529" t="s">
        <v>29</v>
      </c>
      <c r="D529" t="s">
        <v>2504</v>
      </c>
      <c r="E529" t="s">
        <v>24</v>
      </c>
      <c r="F529" t="s">
        <v>209</v>
      </c>
      <c r="G529" t="s">
        <v>174</v>
      </c>
      <c r="H529" t="str">
        <f>TEXT(walmart[[#This Row],[Purchase_Date]],"DDD")</f>
        <v>Sun</v>
      </c>
      <c r="I529" t="str">
        <f>TEXT(walmart[[#This Row],[Purchase_Date]],"MMM")</f>
        <v>Dec</v>
      </c>
      <c r="J529" t="str">
        <f>TEXT(walmart[[#This Row],[Purchase_Date]],"YYY")</f>
        <v>2024</v>
      </c>
      <c r="K529" s="3">
        <v>775.75</v>
      </c>
      <c r="L529" t="str">
        <f t="shared" si="40"/>
        <v>15% off</v>
      </c>
      <c r="M529" s="3">
        <f t="shared" si="41"/>
        <v>116.3625</v>
      </c>
      <c r="N529" t="str">
        <f t="shared" si="42"/>
        <v>Yes</v>
      </c>
      <c r="O529" t="s">
        <v>21</v>
      </c>
      <c r="P529" s="3">
        <f t="shared" si="43"/>
        <v>659.38750000000005</v>
      </c>
      <c r="Q529" t="s">
        <v>22</v>
      </c>
      <c r="R529">
        <v>5</v>
      </c>
      <c r="S529" t="str">
        <f t="shared" si="44"/>
        <v>Excellent</v>
      </c>
    </row>
    <row r="530" spans="1:19" x14ac:dyDescent="0.25">
      <c r="A530" t="s">
        <v>877</v>
      </c>
      <c r="B530">
        <v>52</v>
      </c>
      <c r="C530" t="s">
        <v>29</v>
      </c>
      <c r="D530" t="s">
        <v>2505</v>
      </c>
      <c r="E530" t="s">
        <v>42</v>
      </c>
      <c r="F530" t="s">
        <v>120</v>
      </c>
      <c r="G530" t="s">
        <v>534</v>
      </c>
      <c r="H530" t="str">
        <f>TEXT(walmart[[#This Row],[Purchase_Date]],"DDD")</f>
        <v>Tue</v>
      </c>
      <c r="I530" t="str">
        <f>TEXT(walmart[[#This Row],[Purchase_Date]],"MMM")</f>
        <v>Feb</v>
      </c>
      <c r="J530" t="str">
        <f>TEXT(walmart[[#This Row],[Purchase_Date]],"YYY")</f>
        <v>2025</v>
      </c>
      <c r="K530" s="3">
        <v>260.77999999999997</v>
      </c>
      <c r="L530" t="str">
        <f t="shared" si="40"/>
        <v>5% off</v>
      </c>
      <c r="M530" s="3">
        <f t="shared" si="41"/>
        <v>13.039</v>
      </c>
      <c r="N530" t="str">
        <f t="shared" si="42"/>
        <v>Yes</v>
      </c>
      <c r="O530" t="s">
        <v>21</v>
      </c>
      <c r="P530" s="3">
        <f t="shared" si="43"/>
        <v>247.74099999999999</v>
      </c>
      <c r="Q530" t="s">
        <v>47</v>
      </c>
      <c r="R530">
        <v>4</v>
      </c>
      <c r="S530" t="str">
        <f t="shared" si="44"/>
        <v>Good</v>
      </c>
    </row>
    <row r="531" spans="1:19" x14ac:dyDescent="0.25">
      <c r="A531" t="s">
        <v>878</v>
      </c>
      <c r="B531">
        <v>38</v>
      </c>
      <c r="C531" t="s">
        <v>16</v>
      </c>
      <c r="D531" t="s">
        <v>2506</v>
      </c>
      <c r="E531" t="s">
        <v>42</v>
      </c>
      <c r="F531" t="s">
        <v>52</v>
      </c>
      <c r="G531" t="s">
        <v>266</v>
      </c>
      <c r="H531" t="str">
        <f>TEXT(walmart[[#This Row],[Purchase_Date]],"DDD")</f>
        <v>Fri</v>
      </c>
      <c r="I531" t="str">
        <f>TEXT(walmart[[#This Row],[Purchase_Date]],"MMM")</f>
        <v>Feb</v>
      </c>
      <c r="J531" t="str">
        <f>TEXT(walmart[[#This Row],[Purchase_Date]],"YYY")</f>
        <v>2025</v>
      </c>
      <c r="K531" s="3">
        <v>988.77</v>
      </c>
      <c r="L531" t="str">
        <f t="shared" si="40"/>
        <v>20% off</v>
      </c>
      <c r="M531" s="3">
        <f t="shared" si="41"/>
        <v>197.75400000000002</v>
      </c>
      <c r="N531" t="str">
        <f t="shared" si="42"/>
        <v>Yes</v>
      </c>
      <c r="O531" t="s">
        <v>21</v>
      </c>
      <c r="P531" s="3">
        <f t="shared" si="43"/>
        <v>791.01599999999996</v>
      </c>
      <c r="Q531" t="s">
        <v>47</v>
      </c>
      <c r="R531">
        <v>4</v>
      </c>
      <c r="S531" t="str">
        <f t="shared" si="44"/>
        <v>Good</v>
      </c>
    </row>
    <row r="532" spans="1:19" x14ac:dyDescent="0.25">
      <c r="A532" t="s">
        <v>879</v>
      </c>
      <c r="B532">
        <v>47</v>
      </c>
      <c r="C532" t="s">
        <v>16</v>
      </c>
      <c r="D532" t="s">
        <v>2507</v>
      </c>
      <c r="E532" t="s">
        <v>37</v>
      </c>
      <c r="F532" t="s">
        <v>82</v>
      </c>
      <c r="G532" t="s">
        <v>277</v>
      </c>
      <c r="H532" t="str">
        <f>TEXT(walmart[[#This Row],[Purchase_Date]],"DDD")</f>
        <v>Thu</v>
      </c>
      <c r="I532" t="str">
        <f>TEXT(walmart[[#This Row],[Purchase_Date]],"MMM")</f>
        <v>Apr</v>
      </c>
      <c r="J532" t="str">
        <f>TEXT(walmart[[#This Row],[Purchase_Date]],"YYY")</f>
        <v>2024</v>
      </c>
      <c r="K532" s="3">
        <v>270.41000000000003</v>
      </c>
      <c r="L532" t="str">
        <f t="shared" si="40"/>
        <v>5% off</v>
      </c>
      <c r="M532" s="3">
        <f t="shared" si="41"/>
        <v>13.520500000000002</v>
      </c>
      <c r="N532" t="str">
        <f t="shared" si="42"/>
        <v>Yes</v>
      </c>
      <c r="O532" t="s">
        <v>21</v>
      </c>
      <c r="P532" s="3">
        <f t="shared" si="43"/>
        <v>256.8895</v>
      </c>
      <c r="Q532" t="s">
        <v>35</v>
      </c>
      <c r="R532">
        <v>2</v>
      </c>
      <c r="S532" t="str">
        <f t="shared" si="44"/>
        <v>Poor</v>
      </c>
    </row>
    <row r="533" spans="1:19" x14ac:dyDescent="0.25">
      <c r="A533" t="s">
        <v>880</v>
      </c>
      <c r="B533">
        <v>21</v>
      </c>
      <c r="C533" t="s">
        <v>16</v>
      </c>
      <c r="D533" t="s">
        <v>2508</v>
      </c>
      <c r="E533" t="s">
        <v>24</v>
      </c>
      <c r="F533" t="s">
        <v>209</v>
      </c>
      <c r="G533" t="s">
        <v>174</v>
      </c>
      <c r="H533" t="str">
        <f>TEXT(walmart[[#This Row],[Purchase_Date]],"DDD")</f>
        <v>Sun</v>
      </c>
      <c r="I533" t="str">
        <f>TEXT(walmart[[#This Row],[Purchase_Date]],"MMM")</f>
        <v>Dec</v>
      </c>
      <c r="J533" t="str">
        <f>TEXT(walmart[[#This Row],[Purchase_Date]],"YYY")</f>
        <v>2024</v>
      </c>
      <c r="K533" s="3">
        <v>775.75</v>
      </c>
      <c r="L533" t="str">
        <f t="shared" si="40"/>
        <v>15% off</v>
      </c>
      <c r="M533" s="3">
        <f t="shared" si="41"/>
        <v>116.3625</v>
      </c>
      <c r="N533" t="str">
        <f t="shared" si="42"/>
        <v>Yes</v>
      </c>
      <c r="O533" t="s">
        <v>34</v>
      </c>
      <c r="P533" s="3">
        <f t="shared" si="43"/>
        <v>659.38750000000005</v>
      </c>
      <c r="Q533" t="s">
        <v>22</v>
      </c>
      <c r="R533">
        <v>4</v>
      </c>
      <c r="S533" t="str">
        <f t="shared" si="44"/>
        <v>Good</v>
      </c>
    </row>
    <row r="534" spans="1:19" x14ac:dyDescent="0.25">
      <c r="A534" t="s">
        <v>881</v>
      </c>
      <c r="B534">
        <v>70</v>
      </c>
      <c r="C534" t="s">
        <v>16</v>
      </c>
      <c r="D534" t="s">
        <v>2509</v>
      </c>
      <c r="E534" t="s">
        <v>42</v>
      </c>
      <c r="F534" t="s">
        <v>52</v>
      </c>
      <c r="G534" t="s">
        <v>882</v>
      </c>
      <c r="H534" t="str">
        <f>TEXT(walmart[[#This Row],[Purchase_Date]],"DDD")</f>
        <v>Sat</v>
      </c>
      <c r="I534" t="str">
        <f>TEXT(walmart[[#This Row],[Purchase_Date]],"MMM")</f>
        <v>Sep</v>
      </c>
      <c r="J534" t="str">
        <f>TEXT(walmart[[#This Row],[Purchase_Date]],"YYY")</f>
        <v>2024</v>
      </c>
      <c r="K534" s="3">
        <v>988.77</v>
      </c>
      <c r="L534" t="str">
        <f t="shared" si="40"/>
        <v>20% off</v>
      </c>
      <c r="M534" s="3">
        <f t="shared" si="41"/>
        <v>197.75400000000002</v>
      </c>
      <c r="N534" t="str">
        <f t="shared" si="42"/>
        <v>Yes</v>
      </c>
      <c r="O534" t="s">
        <v>21</v>
      </c>
      <c r="P534" s="3">
        <f t="shared" si="43"/>
        <v>791.01599999999996</v>
      </c>
      <c r="Q534" t="s">
        <v>35</v>
      </c>
      <c r="R534">
        <v>5</v>
      </c>
      <c r="S534" t="str">
        <f t="shared" si="44"/>
        <v>Excellent</v>
      </c>
    </row>
    <row r="535" spans="1:19" x14ac:dyDescent="0.25">
      <c r="A535" t="s">
        <v>883</v>
      </c>
      <c r="B535">
        <v>30</v>
      </c>
      <c r="C535" t="s">
        <v>29</v>
      </c>
      <c r="D535" t="s">
        <v>2510</v>
      </c>
      <c r="E535" t="s">
        <v>42</v>
      </c>
      <c r="F535" t="s">
        <v>52</v>
      </c>
      <c r="G535" t="s">
        <v>617</v>
      </c>
      <c r="H535" t="str">
        <f>TEXT(walmart[[#This Row],[Purchase_Date]],"DDD")</f>
        <v>Mon</v>
      </c>
      <c r="I535" t="str">
        <f>TEXT(walmart[[#This Row],[Purchase_Date]],"MMM")</f>
        <v>Jul</v>
      </c>
      <c r="J535" t="str">
        <f>TEXT(walmart[[#This Row],[Purchase_Date]],"YYY")</f>
        <v>2024</v>
      </c>
      <c r="K535" s="3">
        <v>988.77</v>
      </c>
      <c r="L535" t="str">
        <f t="shared" si="40"/>
        <v>20% off</v>
      </c>
      <c r="M535" s="3">
        <f t="shared" si="41"/>
        <v>197.75400000000002</v>
      </c>
      <c r="N535" t="str">
        <f t="shared" si="42"/>
        <v>Yes</v>
      </c>
      <c r="O535" t="s">
        <v>34</v>
      </c>
      <c r="P535" s="3">
        <f t="shared" si="43"/>
        <v>791.01599999999996</v>
      </c>
      <c r="Q535" t="s">
        <v>27</v>
      </c>
      <c r="R535">
        <v>4</v>
      </c>
      <c r="S535" t="str">
        <f t="shared" si="44"/>
        <v>Good</v>
      </c>
    </row>
    <row r="536" spans="1:19" x14ac:dyDescent="0.25">
      <c r="A536" t="s">
        <v>884</v>
      </c>
      <c r="B536">
        <v>42</v>
      </c>
      <c r="C536" t="s">
        <v>16</v>
      </c>
      <c r="D536" t="s">
        <v>2511</v>
      </c>
      <c r="E536" t="s">
        <v>55</v>
      </c>
      <c r="F536" t="s">
        <v>64</v>
      </c>
      <c r="G536" t="s">
        <v>855</v>
      </c>
      <c r="H536" t="str">
        <f>TEXT(walmart[[#This Row],[Purchase_Date]],"DDD")</f>
        <v>Thu</v>
      </c>
      <c r="I536" t="str">
        <f>TEXT(walmart[[#This Row],[Purchase_Date]],"MMM")</f>
        <v>Nov</v>
      </c>
      <c r="J536" t="str">
        <f>TEXT(walmart[[#This Row],[Purchase_Date]],"YYY")</f>
        <v>2024</v>
      </c>
      <c r="K536" s="3">
        <v>374.92</v>
      </c>
      <c r="L536" t="str">
        <f t="shared" si="40"/>
        <v>5% off</v>
      </c>
      <c r="M536" s="3">
        <f t="shared" si="41"/>
        <v>18.746000000000002</v>
      </c>
      <c r="N536" t="str">
        <f t="shared" si="42"/>
        <v>Yes</v>
      </c>
      <c r="O536" t="s">
        <v>34</v>
      </c>
      <c r="P536" s="3">
        <f t="shared" si="43"/>
        <v>356.17400000000004</v>
      </c>
      <c r="Q536" t="s">
        <v>22</v>
      </c>
      <c r="R536">
        <v>3</v>
      </c>
      <c r="S536" t="str">
        <f t="shared" si="44"/>
        <v>Average</v>
      </c>
    </row>
    <row r="537" spans="1:19" x14ac:dyDescent="0.25">
      <c r="A537" t="s">
        <v>885</v>
      </c>
      <c r="B537">
        <v>51</v>
      </c>
      <c r="C537" t="s">
        <v>29</v>
      </c>
      <c r="D537" t="s">
        <v>2512</v>
      </c>
      <c r="E537" t="s">
        <v>18</v>
      </c>
      <c r="F537" t="s">
        <v>142</v>
      </c>
      <c r="G537" t="s">
        <v>26</v>
      </c>
      <c r="H537" t="str">
        <f>TEXT(walmart[[#This Row],[Purchase_Date]],"DDD")</f>
        <v>Tue</v>
      </c>
      <c r="I537" t="str">
        <f>TEXT(walmart[[#This Row],[Purchase_Date]],"MMM")</f>
        <v>Nov</v>
      </c>
      <c r="J537" t="str">
        <f>TEXT(walmart[[#This Row],[Purchase_Date]],"YYY")</f>
        <v>2024</v>
      </c>
      <c r="K537" s="3">
        <v>485.26</v>
      </c>
      <c r="L537" t="str">
        <f t="shared" si="40"/>
        <v>5% off</v>
      </c>
      <c r="M537" s="3">
        <f t="shared" si="41"/>
        <v>24.263000000000002</v>
      </c>
      <c r="N537" t="str">
        <f t="shared" si="42"/>
        <v>Yes</v>
      </c>
      <c r="O537" t="s">
        <v>34</v>
      </c>
      <c r="P537" s="3">
        <f t="shared" si="43"/>
        <v>460.99700000000001</v>
      </c>
      <c r="Q537" t="s">
        <v>47</v>
      </c>
      <c r="R537">
        <v>2</v>
      </c>
      <c r="S537" t="str">
        <f t="shared" si="44"/>
        <v>Poor</v>
      </c>
    </row>
    <row r="538" spans="1:19" x14ac:dyDescent="0.25">
      <c r="A538" t="s">
        <v>886</v>
      </c>
      <c r="B538">
        <v>40</v>
      </c>
      <c r="C538" t="s">
        <v>29</v>
      </c>
      <c r="D538" t="s">
        <v>2513</v>
      </c>
      <c r="E538" t="s">
        <v>18</v>
      </c>
      <c r="F538" t="s">
        <v>77</v>
      </c>
      <c r="G538" t="s">
        <v>811</v>
      </c>
      <c r="H538" t="str">
        <f>TEXT(walmart[[#This Row],[Purchase_Date]],"DDD")</f>
        <v>Sun</v>
      </c>
      <c r="I538" t="str">
        <f>TEXT(walmart[[#This Row],[Purchase_Date]],"MMM")</f>
        <v>Sep</v>
      </c>
      <c r="J538" t="str">
        <f>TEXT(walmart[[#This Row],[Purchase_Date]],"YYY")</f>
        <v>2024</v>
      </c>
      <c r="K538" s="3">
        <v>116.78</v>
      </c>
      <c r="L538" t="str">
        <f t="shared" si="40"/>
        <v>0% off</v>
      </c>
      <c r="M538" s="3">
        <f t="shared" si="41"/>
        <v>0</v>
      </c>
      <c r="N538" t="str">
        <f t="shared" si="42"/>
        <v>No</v>
      </c>
      <c r="O538" t="s">
        <v>21</v>
      </c>
      <c r="P538" s="3">
        <f t="shared" si="43"/>
        <v>116.78</v>
      </c>
      <c r="Q538" t="s">
        <v>35</v>
      </c>
      <c r="R538">
        <v>2</v>
      </c>
      <c r="S538" t="str">
        <f t="shared" si="44"/>
        <v>Poor</v>
      </c>
    </row>
    <row r="539" spans="1:19" x14ac:dyDescent="0.25">
      <c r="A539" t="s">
        <v>887</v>
      </c>
      <c r="B539">
        <v>42</v>
      </c>
      <c r="C539" t="s">
        <v>29</v>
      </c>
      <c r="D539" t="s">
        <v>2514</v>
      </c>
      <c r="E539" t="s">
        <v>37</v>
      </c>
      <c r="F539" t="s">
        <v>82</v>
      </c>
      <c r="G539" t="s">
        <v>888</v>
      </c>
      <c r="H539" t="str">
        <f>TEXT(walmart[[#This Row],[Purchase_Date]],"DDD")</f>
        <v>Tue</v>
      </c>
      <c r="I539" t="str">
        <f>TEXT(walmart[[#This Row],[Purchase_Date]],"MMM")</f>
        <v>Sep</v>
      </c>
      <c r="J539" t="str">
        <f>TEXT(walmart[[#This Row],[Purchase_Date]],"YYY")</f>
        <v>2024</v>
      </c>
      <c r="K539" s="3">
        <v>270.41000000000003</v>
      </c>
      <c r="L539" t="str">
        <f t="shared" si="40"/>
        <v>5% off</v>
      </c>
      <c r="M539" s="3">
        <f t="shared" si="41"/>
        <v>13.520500000000002</v>
      </c>
      <c r="N539" t="str">
        <f t="shared" si="42"/>
        <v>Yes</v>
      </c>
      <c r="O539" t="s">
        <v>21</v>
      </c>
      <c r="P539" s="3">
        <f t="shared" si="43"/>
        <v>256.8895</v>
      </c>
      <c r="Q539" t="s">
        <v>47</v>
      </c>
      <c r="R539">
        <v>3</v>
      </c>
      <c r="S539" t="str">
        <f t="shared" si="44"/>
        <v>Average</v>
      </c>
    </row>
    <row r="540" spans="1:19" x14ac:dyDescent="0.25">
      <c r="A540" t="s">
        <v>889</v>
      </c>
      <c r="B540">
        <v>51</v>
      </c>
      <c r="C540" t="s">
        <v>29</v>
      </c>
      <c r="D540" t="s">
        <v>2515</v>
      </c>
      <c r="E540" t="s">
        <v>73</v>
      </c>
      <c r="F540" t="s">
        <v>138</v>
      </c>
      <c r="G540" t="s">
        <v>391</v>
      </c>
      <c r="H540" t="str">
        <f>TEXT(walmart[[#This Row],[Purchase_Date]],"DDD")</f>
        <v>Thu</v>
      </c>
      <c r="I540" t="str">
        <f>TEXT(walmart[[#This Row],[Purchase_Date]],"MMM")</f>
        <v>Feb</v>
      </c>
      <c r="J540" t="str">
        <f>TEXT(walmart[[#This Row],[Purchase_Date]],"YYY")</f>
        <v>2025</v>
      </c>
      <c r="K540" s="3">
        <v>461.81</v>
      </c>
      <c r="L540" t="str">
        <f t="shared" si="40"/>
        <v>5% off</v>
      </c>
      <c r="M540" s="3">
        <f t="shared" si="41"/>
        <v>23.090500000000002</v>
      </c>
      <c r="N540" t="str">
        <f t="shared" si="42"/>
        <v>Yes</v>
      </c>
      <c r="O540" t="s">
        <v>34</v>
      </c>
      <c r="P540" s="3">
        <f t="shared" si="43"/>
        <v>438.71949999999998</v>
      </c>
      <c r="Q540" t="s">
        <v>27</v>
      </c>
      <c r="R540">
        <v>5</v>
      </c>
      <c r="S540" t="str">
        <f t="shared" si="44"/>
        <v>Excellent</v>
      </c>
    </row>
    <row r="541" spans="1:19" x14ac:dyDescent="0.25">
      <c r="A541" t="s">
        <v>890</v>
      </c>
      <c r="B541">
        <v>55</v>
      </c>
      <c r="C541" t="s">
        <v>29</v>
      </c>
      <c r="D541" t="s">
        <v>2516</v>
      </c>
      <c r="E541" t="s">
        <v>24</v>
      </c>
      <c r="F541" t="s">
        <v>186</v>
      </c>
      <c r="G541" t="s">
        <v>393</v>
      </c>
      <c r="H541" t="str">
        <f>TEXT(walmart[[#This Row],[Purchase_Date]],"DDD")</f>
        <v>Mon</v>
      </c>
      <c r="I541" t="str">
        <f>TEXT(walmart[[#This Row],[Purchase_Date]],"MMM")</f>
        <v>Oct</v>
      </c>
      <c r="J541" t="str">
        <f>TEXT(walmart[[#This Row],[Purchase_Date]],"YYY")</f>
        <v>2024</v>
      </c>
      <c r="K541" s="3">
        <v>527.16999999999996</v>
      </c>
      <c r="L541" t="str">
        <f t="shared" si="40"/>
        <v>10% off</v>
      </c>
      <c r="M541" s="3">
        <f t="shared" si="41"/>
        <v>52.716999999999999</v>
      </c>
      <c r="N541" t="str">
        <f t="shared" si="42"/>
        <v>Yes</v>
      </c>
      <c r="O541" t="s">
        <v>21</v>
      </c>
      <c r="P541" s="3">
        <f t="shared" si="43"/>
        <v>474.45299999999997</v>
      </c>
      <c r="Q541" t="s">
        <v>22</v>
      </c>
      <c r="R541">
        <v>3</v>
      </c>
      <c r="S541" t="str">
        <f t="shared" si="44"/>
        <v>Average</v>
      </c>
    </row>
    <row r="542" spans="1:19" x14ac:dyDescent="0.25">
      <c r="A542" t="s">
        <v>891</v>
      </c>
      <c r="B542">
        <v>64</v>
      </c>
      <c r="C542" t="s">
        <v>29</v>
      </c>
      <c r="D542" t="s">
        <v>2517</v>
      </c>
      <c r="E542" t="s">
        <v>31</v>
      </c>
      <c r="F542" t="s">
        <v>169</v>
      </c>
      <c r="G542" t="s">
        <v>283</v>
      </c>
      <c r="H542" t="str">
        <f>TEXT(walmart[[#This Row],[Purchase_Date]],"DDD")</f>
        <v>Fri</v>
      </c>
      <c r="I542" t="str">
        <f>TEXT(walmart[[#This Row],[Purchase_Date]],"MMM")</f>
        <v>Jan</v>
      </c>
      <c r="J542" t="str">
        <f>TEXT(walmart[[#This Row],[Purchase_Date]],"YYY")</f>
        <v>2025</v>
      </c>
      <c r="K542" s="3">
        <v>52.44</v>
      </c>
      <c r="L542" t="str">
        <f t="shared" si="40"/>
        <v>0% off</v>
      </c>
      <c r="M542" s="3">
        <f t="shared" si="41"/>
        <v>0</v>
      </c>
      <c r="N542" t="str">
        <f t="shared" si="42"/>
        <v>No</v>
      </c>
      <c r="O542" t="s">
        <v>21</v>
      </c>
      <c r="P542" s="3">
        <f t="shared" si="43"/>
        <v>52.44</v>
      </c>
      <c r="Q542" t="s">
        <v>35</v>
      </c>
      <c r="R542">
        <v>1</v>
      </c>
      <c r="S542" t="str">
        <f t="shared" si="44"/>
        <v>Very Poor</v>
      </c>
    </row>
    <row r="543" spans="1:19" x14ac:dyDescent="0.25">
      <c r="A543" t="s">
        <v>892</v>
      </c>
      <c r="B543">
        <v>36</v>
      </c>
      <c r="C543" t="s">
        <v>29</v>
      </c>
      <c r="D543" t="s">
        <v>2518</v>
      </c>
      <c r="E543" t="s">
        <v>37</v>
      </c>
      <c r="F543" t="s">
        <v>82</v>
      </c>
      <c r="G543" t="s">
        <v>540</v>
      </c>
      <c r="H543" t="str">
        <f>TEXT(walmart[[#This Row],[Purchase_Date]],"DDD")</f>
        <v>Sun</v>
      </c>
      <c r="I543" t="str">
        <f>TEXT(walmart[[#This Row],[Purchase_Date]],"MMM")</f>
        <v>Feb</v>
      </c>
      <c r="J543" t="str">
        <f>TEXT(walmart[[#This Row],[Purchase_Date]],"YYY")</f>
        <v>2025</v>
      </c>
      <c r="K543" s="3">
        <v>270.41000000000003</v>
      </c>
      <c r="L543" t="str">
        <f t="shared" si="40"/>
        <v>5% off</v>
      </c>
      <c r="M543" s="3">
        <f t="shared" si="41"/>
        <v>13.520500000000002</v>
      </c>
      <c r="N543" t="str">
        <f t="shared" si="42"/>
        <v>Yes</v>
      </c>
      <c r="O543" t="s">
        <v>34</v>
      </c>
      <c r="P543" s="3">
        <f t="shared" si="43"/>
        <v>256.8895</v>
      </c>
      <c r="Q543" t="s">
        <v>47</v>
      </c>
      <c r="R543">
        <v>5</v>
      </c>
      <c r="S543" t="str">
        <f t="shared" si="44"/>
        <v>Excellent</v>
      </c>
    </row>
    <row r="544" spans="1:19" x14ac:dyDescent="0.25">
      <c r="A544" t="s">
        <v>893</v>
      </c>
      <c r="B544">
        <v>31</v>
      </c>
      <c r="C544" t="s">
        <v>29</v>
      </c>
      <c r="D544" t="s">
        <v>2519</v>
      </c>
      <c r="E544" t="s">
        <v>42</v>
      </c>
      <c r="F544" t="s">
        <v>103</v>
      </c>
      <c r="G544" t="s">
        <v>399</v>
      </c>
      <c r="H544" t="str">
        <f>TEXT(walmart[[#This Row],[Purchase_Date]],"DDD")</f>
        <v>Wed</v>
      </c>
      <c r="I544" t="str">
        <f>TEXT(walmart[[#This Row],[Purchase_Date]],"MMM")</f>
        <v>Feb</v>
      </c>
      <c r="J544" t="str">
        <f>TEXT(walmart[[#This Row],[Purchase_Date]],"YYY")</f>
        <v>2025</v>
      </c>
      <c r="K544" s="3">
        <v>315.56</v>
      </c>
      <c r="L544" t="str">
        <f t="shared" si="40"/>
        <v>5% off</v>
      </c>
      <c r="M544" s="3">
        <f t="shared" si="41"/>
        <v>15.778</v>
      </c>
      <c r="N544" t="str">
        <f t="shared" si="42"/>
        <v>Yes</v>
      </c>
      <c r="O544" t="s">
        <v>21</v>
      </c>
      <c r="P544" s="3">
        <f t="shared" si="43"/>
        <v>299.78199999999998</v>
      </c>
      <c r="Q544" t="s">
        <v>35</v>
      </c>
      <c r="R544">
        <v>5</v>
      </c>
      <c r="S544" t="str">
        <f t="shared" si="44"/>
        <v>Excellent</v>
      </c>
    </row>
    <row r="545" spans="1:19" x14ac:dyDescent="0.25">
      <c r="A545" t="s">
        <v>894</v>
      </c>
      <c r="B545">
        <v>67</v>
      </c>
      <c r="C545" t="s">
        <v>29</v>
      </c>
      <c r="D545" t="s">
        <v>2520</v>
      </c>
      <c r="E545" t="s">
        <v>18</v>
      </c>
      <c r="F545" t="s">
        <v>19</v>
      </c>
      <c r="G545" t="s">
        <v>357</v>
      </c>
      <c r="H545" t="str">
        <f>TEXT(walmart[[#This Row],[Purchase_Date]],"DDD")</f>
        <v>Fri</v>
      </c>
      <c r="I545" t="str">
        <f>TEXT(walmart[[#This Row],[Purchase_Date]],"MMM")</f>
        <v>Nov</v>
      </c>
      <c r="J545" t="str">
        <f>TEXT(walmart[[#This Row],[Purchase_Date]],"YYY")</f>
        <v>2024</v>
      </c>
      <c r="K545" s="3">
        <v>697.86</v>
      </c>
      <c r="L545" t="str">
        <f t="shared" si="40"/>
        <v>10% off</v>
      </c>
      <c r="M545" s="3">
        <f t="shared" si="41"/>
        <v>69.786000000000001</v>
      </c>
      <c r="N545" t="str">
        <f t="shared" si="42"/>
        <v>Yes</v>
      </c>
      <c r="O545" t="s">
        <v>21</v>
      </c>
      <c r="P545" s="3">
        <f t="shared" si="43"/>
        <v>628.07400000000007</v>
      </c>
      <c r="Q545" t="s">
        <v>35</v>
      </c>
      <c r="R545">
        <v>4</v>
      </c>
      <c r="S545" t="str">
        <f t="shared" si="44"/>
        <v>Good</v>
      </c>
    </row>
    <row r="546" spans="1:19" x14ac:dyDescent="0.25">
      <c r="A546" t="s">
        <v>895</v>
      </c>
      <c r="B546">
        <v>32</v>
      </c>
      <c r="C546" t="s">
        <v>29</v>
      </c>
      <c r="D546" t="s">
        <v>2521</v>
      </c>
      <c r="E546" t="s">
        <v>73</v>
      </c>
      <c r="F546" t="s">
        <v>74</v>
      </c>
      <c r="G546" t="s">
        <v>134</v>
      </c>
      <c r="H546" t="str">
        <f>TEXT(walmart[[#This Row],[Purchase_Date]],"DDD")</f>
        <v>Sun</v>
      </c>
      <c r="I546" t="str">
        <f>TEXT(walmart[[#This Row],[Purchase_Date]],"MMM")</f>
        <v>May</v>
      </c>
      <c r="J546" t="str">
        <f>TEXT(walmart[[#This Row],[Purchase_Date]],"YYY")</f>
        <v>2024</v>
      </c>
      <c r="K546" s="3">
        <v>782.29</v>
      </c>
      <c r="L546" t="str">
        <f t="shared" si="40"/>
        <v>15% off</v>
      </c>
      <c r="M546" s="3">
        <f t="shared" si="41"/>
        <v>117.34349999999999</v>
      </c>
      <c r="N546" t="str">
        <f t="shared" si="42"/>
        <v>Yes</v>
      </c>
      <c r="O546" t="s">
        <v>34</v>
      </c>
      <c r="P546" s="3">
        <f t="shared" si="43"/>
        <v>664.94650000000001</v>
      </c>
      <c r="Q546" t="s">
        <v>27</v>
      </c>
      <c r="R546">
        <v>2</v>
      </c>
      <c r="S546" t="str">
        <f t="shared" si="44"/>
        <v>Poor</v>
      </c>
    </row>
    <row r="547" spans="1:19" x14ac:dyDescent="0.25">
      <c r="A547" t="s">
        <v>896</v>
      </c>
      <c r="B547">
        <v>40</v>
      </c>
      <c r="C547" t="s">
        <v>29</v>
      </c>
      <c r="D547" t="s">
        <v>2522</v>
      </c>
      <c r="E547" t="s">
        <v>24</v>
      </c>
      <c r="F547" t="s">
        <v>25</v>
      </c>
      <c r="G547" t="s">
        <v>741</v>
      </c>
      <c r="H547" t="str">
        <f>TEXT(walmart[[#This Row],[Purchase_Date]],"DDD")</f>
        <v>Mon</v>
      </c>
      <c r="I547" t="str">
        <f>TEXT(walmart[[#This Row],[Purchase_Date]],"MMM")</f>
        <v>Sep</v>
      </c>
      <c r="J547" t="str">
        <f>TEXT(walmart[[#This Row],[Purchase_Date]],"YYY")</f>
        <v>2024</v>
      </c>
      <c r="K547" s="3">
        <v>67.040000000000006</v>
      </c>
      <c r="L547" t="str">
        <f t="shared" si="40"/>
        <v>0% off</v>
      </c>
      <c r="M547" s="3">
        <f t="shared" si="41"/>
        <v>0</v>
      </c>
      <c r="N547" t="str">
        <f t="shared" si="42"/>
        <v>No</v>
      </c>
      <c r="O547" t="s">
        <v>34</v>
      </c>
      <c r="P547" s="3">
        <f t="shared" si="43"/>
        <v>67.040000000000006</v>
      </c>
      <c r="Q547" t="s">
        <v>22</v>
      </c>
      <c r="R547">
        <v>5</v>
      </c>
      <c r="S547" t="str">
        <f t="shared" si="44"/>
        <v>Excellent</v>
      </c>
    </row>
    <row r="548" spans="1:19" x14ac:dyDescent="0.25">
      <c r="A548" t="s">
        <v>897</v>
      </c>
      <c r="B548">
        <v>32</v>
      </c>
      <c r="C548" t="s">
        <v>29</v>
      </c>
      <c r="D548" t="s">
        <v>2485</v>
      </c>
      <c r="E548" t="s">
        <v>42</v>
      </c>
      <c r="F548" t="s">
        <v>103</v>
      </c>
      <c r="G548" t="s">
        <v>260</v>
      </c>
      <c r="H548" t="str">
        <f>TEXT(walmart[[#This Row],[Purchase_Date]],"DDD")</f>
        <v>Thu</v>
      </c>
      <c r="I548" t="str">
        <f>TEXT(walmart[[#This Row],[Purchase_Date]],"MMM")</f>
        <v>Mar</v>
      </c>
      <c r="J548" t="str">
        <f>TEXT(walmart[[#This Row],[Purchase_Date]],"YYY")</f>
        <v>2025</v>
      </c>
      <c r="K548" s="3">
        <v>315.56</v>
      </c>
      <c r="L548" t="str">
        <f t="shared" si="40"/>
        <v>5% off</v>
      </c>
      <c r="M548" s="3">
        <f t="shared" si="41"/>
        <v>15.778</v>
      </c>
      <c r="N548" t="str">
        <f t="shared" si="42"/>
        <v>Yes</v>
      </c>
      <c r="O548" t="s">
        <v>34</v>
      </c>
      <c r="P548" s="3">
        <f t="shared" si="43"/>
        <v>299.78199999999998</v>
      </c>
      <c r="Q548" t="s">
        <v>22</v>
      </c>
      <c r="R548">
        <v>4</v>
      </c>
      <c r="S548" t="str">
        <f t="shared" si="44"/>
        <v>Good</v>
      </c>
    </row>
    <row r="549" spans="1:19" x14ac:dyDescent="0.25">
      <c r="A549" t="s">
        <v>898</v>
      </c>
      <c r="B549">
        <v>51</v>
      </c>
      <c r="C549" t="s">
        <v>29</v>
      </c>
      <c r="D549" t="s">
        <v>2523</v>
      </c>
      <c r="E549" t="s">
        <v>55</v>
      </c>
      <c r="F549" t="s">
        <v>67</v>
      </c>
      <c r="G549" t="s">
        <v>746</v>
      </c>
      <c r="H549" t="str">
        <f>TEXT(walmart[[#This Row],[Purchase_Date]],"DDD")</f>
        <v>Tue</v>
      </c>
      <c r="I549" t="str">
        <f>TEXT(walmart[[#This Row],[Purchase_Date]],"MMM")</f>
        <v>Dec</v>
      </c>
      <c r="J549" t="str">
        <f>TEXT(walmart[[#This Row],[Purchase_Date]],"YYY")</f>
        <v>2024</v>
      </c>
      <c r="K549" s="3">
        <v>452.97</v>
      </c>
      <c r="L549" t="str">
        <f t="shared" si="40"/>
        <v>5% off</v>
      </c>
      <c r="M549" s="3">
        <f t="shared" si="41"/>
        <v>22.648500000000002</v>
      </c>
      <c r="N549" t="str">
        <f t="shared" si="42"/>
        <v>Yes</v>
      </c>
      <c r="O549" t="s">
        <v>21</v>
      </c>
      <c r="P549" s="3">
        <f t="shared" si="43"/>
        <v>430.32150000000001</v>
      </c>
      <c r="Q549" t="s">
        <v>22</v>
      </c>
      <c r="R549">
        <v>3</v>
      </c>
      <c r="S549" t="str">
        <f t="shared" si="44"/>
        <v>Average</v>
      </c>
    </row>
    <row r="550" spans="1:19" x14ac:dyDescent="0.25">
      <c r="A550" t="s">
        <v>899</v>
      </c>
      <c r="B550">
        <v>63</v>
      </c>
      <c r="C550" t="s">
        <v>29</v>
      </c>
      <c r="D550" t="s">
        <v>2518</v>
      </c>
      <c r="E550" t="s">
        <v>42</v>
      </c>
      <c r="F550" t="s">
        <v>103</v>
      </c>
      <c r="G550" t="s">
        <v>366</v>
      </c>
      <c r="H550" t="str">
        <f>TEXT(walmart[[#This Row],[Purchase_Date]],"DDD")</f>
        <v>Fri</v>
      </c>
      <c r="I550" t="str">
        <f>TEXT(walmart[[#This Row],[Purchase_Date]],"MMM")</f>
        <v>Apr</v>
      </c>
      <c r="J550" t="str">
        <f>TEXT(walmart[[#This Row],[Purchase_Date]],"YYY")</f>
        <v>2024</v>
      </c>
      <c r="K550" s="3">
        <v>315.56</v>
      </c>
      <c r="L550" t="str">
        <f t="shared" si="40"/>
        <v>5% off</v>
      </c>
      <c r="M550" s="3">
        <f t="shared" si="41"/>
        <v>15.778</v>
      </c>
      <c r="N550" t="str">
        <f t="shared" si="42"/>
        <v>Yes</v>
      </c>
      <c r="O550" t="s">
        <v>34</v>
      </c>
      <c r="P550" s="3">
        <f t="shared" si="43"/>
        <v>299.78199999999998</v>
      </c>
      <c r="Q550" t="s">
        <v>47</v>
      </c>
      <c r="R550">
        <v>5</v>
      </c>
      <c r="S550" t="str">
        <f t="shared" si="44"/>
        <v>Excellent</v>
      </c>
    </row>
    <row r="551" spans="1:19" x14ac:dyDescent="0.25">
      <c r="A551" t="s">
        <v>900</v>
      </c>
      <c r="B551">
        <v>51</v>
      </c>
      <c r="C551" t="s">
        <v>29</v>
      </c>
      <c r="D551" t="s">
        <v>2524</v>
      </c>
      <c r="E551" t="s">
        <v>73</v>
      </c>
      <c r="F551" t="s">
        <v>74</v>
      </c>
      <c r="G551" t="s">
        <v>439</v>
      </c>
      <c r="H551" t="str">
        <f>TEXT(walmart[[#This Row],[Purchase_Date]],"DDD")</f>
        <v>Sat</v>
      </c>
      <c r="I551" t="str">
        <f>TEXT(walmart[[#This Row],[Purchase_Date]],"MMM")</f>
        <v>Aug</v>
      </c>
      <c r="J551" t="str">
        <f>TEXT(walmart[[#This Row],[Purchase_Date]],"YYY")</f>
        <v>2024</v>
      </c>
      <c r="K551" s="3">
        <v>782.29</v>
      </c>
      <c r="L551" t="str">
        <f t="shared" si="40"/>
        <v>15% off</v>
      </c>
      <c r="M551" s="3">
        <f t="shared" si="41"/>
        <v>117.34349999999999</v>
      </c>
      <c r="N551" t="str">
        <f t="shared" si="42"/>
        <v>Yes</v>
      </c>
      <c r="O551" t="s">
        <v>21</v>
      </c>
      <c r="P551" s="3">
        <f t="shared" si="43"/>
        <v>664.94650000000001</v>
      </c>
      <c r="Q551" t="s">
        <v>35</v>
      </c>
      <c r="R551">
        <v>1</v>
      </c>
      <c r="S551" t="str">
        <f t="shared" si="44"/>
        <v>Very Poor</v>
      </c>
    </row>
    <row r="552" spans="1:19" x14ac:dyDescent="0.25">
      <c r="A552" t="s">
        <v>901</v>
      </c>
      <c r="B552">
        <v>58</v>
      </c>
      <c r="C552" t="s">
        <v>16</v>
      </c>
      <c r="D552" t="s">
        <v>2525</v>
      </c>
      <c r="E552" t="s">
        <v>73</v>
      </c>
      <c r="F552" t="s">
        <v>91</v>
      </c>
      <c r="G552" t="s">
        <v>902</v>
      </c>
      <c r="H552" t="str">
        <f>TEXT(walmart[[#This Row],[Purchase_Date]],"DDD")</f>
        <v>Sat</v>
      </c>
      <c r="I552" t="str">
        <f>TEXT(walmart[[#This Row],[Purchase_Date]],"MMM")</f>
        <v>Aug</v>
      </c>
      <c r="J552" t="str">
        <f>TEXT(walmart[[#This Row],[Purchase_Date]],"YYY")</f>
        <v>2024</v>
      </c>
      <c r="K552" s="3">
        <v>418.55</v>
      </c>
      <c r="L552" t="str">
        <f t="shared" si="40"/>
        <v>5% off</v>
      </c>
      <c r="M552" s="3">
        <f t="shared" si="41"/>
        <v>20.927500000000002</v>
      </c>
      <c r="N552" t="str">
        <f t="shared" si="42"/>
        <v>Yes</v>
      </c>
      <c r="O552" t="s">
        <v>34</v>
      </c>
      <c r="P552" s="3">
        <f t="shared" si="43"/>
        <v>397.6225</v>
      </c>
      <c r="Q552" t="s">
        <v>47</v>
      </c>
      <c r="R552">
        <v>4</v>
      </c>
      <c r="S552" t="str">
        <f t="shared" si="44"/>
        <v>Good</v>
      </c>
    </row>
    <row r="553" spans="1:19" x14ac:dyDescent="0.25">
      <c r="A553" t="s">
        <v>903</v>
      </c>
      <c r="B553">
        <v>42</v>
      </c>
      <c r="C553" t="s">
        <v>29</v>
      </c>
      <c r="D553" t="s">
        <v>2487</v>
      </c>
      <c r="E553" t="s">
        <v>31</v>
      </c>
      <c r="F553" t="s">
        <v>112</v>
      </c>
      <c r="G553" t="s">
        <v>205</v>
      </c>
      <c r="H553" t="str">
        <f>TEXT(walmart[[#This Row],[Purchase_Date]],"DDD")</f>
        <v>Mon</v>
      </c>
      <c r="I553" t="str">
        <f>TEXT(walmart[[#This Row],[Purchase_Date]],"MMM")</f>
        <v>Nov</v>
      </c>
      <c r="J553" t="str">
        <f>TEXT(walmart[[#This Row],[Purchase_Date]],"YYY")</f>
        <v>2024</v>
      </c>
      <c r="K553" s="3">
        <v>492.1</v>
      </c>
      <c r="L553" t="str">
        <f t="shared" si="40"/>
        <v>5% off</v>
      </c>
      <c r="M553" s="3">
        <f t="shared" si="41"/>
        <v>24.605000000000004</v>
      </c>
      <c r="N553" t="str">
        <f t="shared" si="42"/>
        <v>Yes</v>
      </c>
      <c r="O553" t="s">
        <v>21</v>
      </c>
      <c r="P553" s="3">
        <f t="shared" si="43"/>
        <v>467.495</v>
      </c>
      <c r="Q553" t="s">
        <v>27</v>
      </c>
      <c r="R553">
        <v>2</v>
      </c>
      <c r="S553" t="str">
        <f t="shared" si="44"/>
        <v>Poor</v>
      </c>
    </row>
    <row r="554" spans="1:19" x14ac:dyDescent="0.25">
      <c r="A554" t="s">
        <v>904</v>
      </c>
      <c r="B554">
        <v>69</v>
      </c>
      <c r="C554" t="s">
        <v>29</v>
      </c>
      <c r="D554" t="s">
        <v>2519</v>
      </c>
      <c r="E554" t="s">
        <v>37</v>
      </c>
      <c r="F554" t="s">
        <v>117</v>
      </c>
      <c r="G554" t="s">
        <v>672</v>
      </c>
      <c r="H554" t="str">
        <f>TEXT(walmart[[#This Row],[Purchase_Date]],"DDD")</f>
        <v>Sat</v>
      </c>
      <c r="I554" t="str">
        <f>TEXT(walmart[[#This Row],[Purchase_Date]],"MMM")</f>
        <v>Feb</v>
      </c>
      <c r="J554" t="str">
        <f>TEXT(walmart[[#This Row],[Purchase_Date]],"YYY")</f>
        <v>2025</v>
      </c>
      <c r="K554" s="3">
        <v>165.68</v>
      </c>
      <c r="L554" t="str">
        <f t="shared" si="40"/>
        <v>5% off</v>
      </c>
      <c r="M554" s="3">
        <f t="shared" si="41"/>
        <v>8.2840000000000007</v>
      </c>
      <c r="N554" t="str">
        <f t="shared" si="42"/>
        <v>Yes</v>
      </c>
      <c r="O554" t="s">
        <v>34</v>
      </c>
      <c r="P554" s="3">
        <f t="shared" si="43"/>
        <v>157.39600000000002</v>
      </c>
      <c r="Q554" t="s">
        <v>22</v>
      </c>
      <c r="R554">
        <v>5</v>
      </c>
      <c r="S554" t="str">
        <f t="shared" si="44"/>
        <v>Excellent</v>
      </c>
    </row>
    <row r="555" spans="1:19" x14ac:dyDescent="0.25">
      <c r="A555" t="s">
        <v>905</v>
      </c>
      <c r="B555">
        <v>35</v>
      </c>
      <c r="C555" t="s">
        <v>16</v>
      </c>
      <c r="D555" t="s">
        <v>2520</v>
      </c>
      <c r="E555" t="s">
        <v>31</v>
      </c>
      <c r="F555" t="s">
        <v>300</v>
      </c>
      <c r="G555" t="s">
        <v>388</v>
      </c>
      <c r="H555" t="str">
        <f>TEXT(walmart[[#This Row],[Purchase_Date]],"DDD")</f>
        <v>Sun</v>
      </c>
      <c r="I555" t="str">
        <f>TEXT(walmart[[#This Row],[Purchase_Date]],"MMM")</f>
        <v>Nov</v>
      </c>
      <c r="J555" t="str">
        <f>TEXT(walmart[[#This Row],[Purchase_Date]],"YYY")</f>
        <v>2024</v>
      </c>
      <c r="K555" s="3">
        <v>340.04</v>
      </c>
      <c r="L555" t="str">
        <f t="shared" si="40"/>
        <v>5% off</v>
      </c>
      <c r="M555" s="3">
        <f t="shared" si="41"/>
        <v>17.002000000000002</v>
      </c>
      <c r="N555" t="str">
        <f t="shared" si="42"/>
        <v>Yes</v>
      </c>
      <c r="O555" t="s">
        <v>34</v>
      </c>
      <c r="P555" s="3">
        <f t="shared" si="43"/>
        <v>323.03800000000001</v>
      </c>
      <c r="Q555" t="s">
        <v>22</v>
      </c>
      <c r="R555">
        <v>5</v>
      </c>
      <c r="S555" t="str">
        <f t="shared" si="44"/>
        <v>Excellent</v>
      </c>
    </row>
    <row r="556" spans="1:19" x14ac:dyDescent="0.25">
      <c r="A556" t="s">
        <v>906</v>
      </c>
      <c r="B556">
        <v>66</v>
      </c>
      <c r="C556" t="s">
        <v>16</v>
      </c>
      <c r="D556" t="s">
        <v>2526</v>
      </c>
      <c r="E556" t="s">
        <v>37</v>
      </c>
      <c r="F556" t="s">
        <v>38</v>
      </c>
      <c r="G556" t="s">
        <v>658</v>
      </c>
      <c r="H556" t="str">
        <f>TEXT(walmart[[#This Row],[Purchase_Date]],"DDD")</f>
        <v>Fri</v>
      </c>
      <c r="I556" t="str">
        <f>TEXT(walmart[[#This Row],[Purchase_Date]],"MMM")</f>
        <v>Jun</v>
      </c>
      <c r="J556" t="str">
        <f>TEXT(walmart[[#This Row],[Purchase_Date]],"YYY")</f>
        <v>2024</v>
      </c>
      <c r="K556" s="3">
        <v>211.46</v>
      </c>
      <c r="L556" t="str">
        <f t="shared" si="40"/>
        <v>5% off</v>
      </c>
      <c r="M556" s="3">
        <f t="shared" si="41"/>
        <v>10.573</v>
      </c>
      <c r="N556" t="str">
        <f t="shared" si="42"/>
        <v>Yes</v>
      </c>
      <c r="O556" t="s">
        <v>21</v>
      </c>
      <c r="P556" s="3">
        <f t="shared" si="43"/>
        <v>200.887</v>
      </c>
      <c r="Q556" t="s">
        <v>22</v>
      </c>
      <c r="R556">
        <v>2</v>
      </c>
      <c r="S556" t="str">
        <f t="shared" si="44"/>
        <v>Poor</v>
      </c>
    </row>
    <row r="557" spans="1:19" x14ac:dyDescent="0.25">
      <c r="A557" t="s">
        <v>907</v>
      </c>
      <c r="B557">
        <v>42</v>
      </c>
      <c r="C557" t="s">
        <v>29</v>
      </c>
      <c r="D557" t="s">
        <v>2527</v>
      </c>
      <c r="E557" t="s">
        <v>18</v>
      </c>
      <c r="F557" t="s">
        <v>59</v>
      </c>
      <c r="G557" t="s">
        <v>69</v>
      </c>
      <c r="H557" t="str">
        <f>TEXT(walmart[[#This Row],[Purchase_Date]],"DDD")</f>
        <v>Wed</v>
      </c>
      <c r="I557" t="str">
        <f>TEXT(walmart[[#This Row],[Purchase_Date]],"MMM")</f>
        <v>Dec</v>
      </c>
      <c r="J557" t="str">
        <f>TEXT(walmart[[#This Row],[Purchase_Date]],"YYY")</f>
        <v>2024</v>
      </c>
      <c r="K557" s="3">
        <v>78.349999999999994</v>
      </c>
      <c r="L557" t="str">
        <f t="shared" si="40"/>
        <v>0% off</v>
      </c>
      <c r="M557" s="3">
        <f t="shared" si="41"/>
        <v>0</v>
      </c>
      <c r="N557" t="str">
        <f t="shared" si="42"/>
        <v>No</v>
      </c>
      <c r="O557" t="s">
        <v>21</v>
      </c>
      <c r="P557" s="3">
        <f t="shared" si="43"/>
        <v>78.349999999999994</v>
      </c>
      <c r="Q557" t="s">
        <v>22</v>
      </c>
      <c r="R557">
        <v>2</v>
      </c>
      <c r="S557" t="str">
        <f t="shared" si="44"/>
        <v>Poor</v>
      </c>
    </row>
    <row r="558" spans="1:19" x14ac:dyDescent="0.25">
      <c r="A558" t="s">
        <v>908</v>
      </c>
      <c r="B558">
        <v>25</v>
      </c>
      <c r="C558" t="s">
        <v>16</v>
      </c>
      <c r="D558" t="s">
        <v>2528</v>
      </c>
      <c r="E558" t="s">
        <v>73</v>
      </c>
      <c r="F558" t="s">
        <v>91</v>
      </c>
      <c r="G558" t="s">
        <v>909</v>
      </c>
      <c r="H558" t="str">
        <f>TEXT(walmart[[#This Row],[Purchase_Date]],"DDD")</f>
        <v>Mon</v>
      </c>
      <c r="I558" t="str">
        <f>TEXT(walmart[[#This Row],[Purchase_Date]],"MMM")</f>
        <v>Jan</v>
      </c>
      <c r="J558" t="str">
        <f>TEXT(walmart[[#This Row],[Purchase_Date]],"YYY")</f>
        <v>2025</v>
      </c>
      <c r="K558" s="3">
        <v>418.55</v>
      </c>
      <c r="L558" t="str">
        <f t="shared" si="40"/>
        <v>5% off</v>
      </c>
      <c r="M558" s="3">
        <f t="shared" si="41"/>
        <v>20.927500000000002</v>
      </c>
      <c r="N558" t="str">
        <f t="shared" si="42"/>
        <v>Yes</v>
      </c>
      <c r="O558" t="s">
        <v>34</v>
      </c>
      <c r="P558" s="3">
        <f t="shared" si="43"/>
        <v>397.6225</v>
      </c>
      <c r="Q558" t="s">
        <v>22</v>
      </c>
      <c r="R558">
        <v>5</v>
      </c>
      <c r="S558" t="str">
        <f t="shared" si="44"/>
        <v>Excellent</v>
      </c>
    </row>
    <row r="559" spans="1:19" x14ac:dyDescent="0.25">
      <c r="A559" t="s">
        <v>910</v>
      </c>
      <c r="B559">
        <v>27</v>
      </c>
      <c r="C559" t="s">
        <v>16</v>
      </c>
      <c r="D559" t="s">
        <v>2529</v>
      </c>
      <c r="E559" t="s">
        <v>73</v>
      </c>
      <c r="F559" t="s">
        <v>74</v>
      </c>
      <c r="G559" t="s">
        <v>594</v>
      </c>
      <c r="H559" t="str">
        <f>TEXT(walmart[[#This Row],[Purchase_Date]],"DDD")</f>
        <v>Thu</v>
      </c>
      <c r="I559" t="str">
        <f>TEXT(walmart[[#This Row],[Purchase_Date]],"MMM")</f>
        <v>Nov</v>
      </c>
      <c r="J559" t="str">
        <f>TEXT(walmart[[#This Row],[Purchase_Date]],"YYY")</f>
        <v>2024</v>
      </c>
      <c r="K559" s="3">
        <v>782.29</v>
      </c>
      <c r="L559" t="str">
        <f t="shared" si="40"/>
        <v>15% off</v>
      </c>
      <c r="M559" s="3">
        <f t="shared" si="41"/>
        <v>117.34349999999999</v>
      </c>
      <c r="N559" t="str">
        <f t="shared" si="42"/>
        <v>Yes</v>
      </c>
      <c r="O559" t="s">
        <v>21</v>
      </c>
      <c r="P559" s="3">
        <f t="shared" si="43"/>
        <v>664.94650000000001</v>
      </c>
      <c r="Q559" t="s">
        <v>47</v>
      </c>
      <c r="R559">
        <v>5</v>
      </c>
      <c r="S559" t="str">
        <f t="shared" si="44"/>
        <v>Excellent</v>
      </c>
    </row>
    <row r="560" spans="1:19" x14ac:dyDescent="0.25">
      <c r="A560" t="s">
        <v>911</v>
      </c>
      <c r="B560">
        <v>25</v>
      </c>
      <c r="C560" t="s">
        <v>29</v>
      </c>
      <c r="D560" t="s">
        <v>2530</v>
      </c>
      <c r="E560" t="s">
        <v>18</v>
      </c>
      <c r="F560" t="s">
        <v>59</v>
      </c>
      <c r="G560" t="s">
        <v>85</v>
      </c>
      <c r="H560" t="str">
        <f>TEXT(walmart[[#This Row],[Purchase_Date]],"DDD")</f>
        <v>Mon</v>
      </c>
      <c r="I560" t="str">
        <f>TEXT(walmart[[#This Row],[Purchase_Date]],"MMM")</f>
        <v>Jan</v>
      </c>
      <c r="J560" t="str">
        <f>TEXT(walmart[[#This Row],[Purchase_Date]],"YYY")</f>
        <v>2025</v>
      </c>
      <c r="K560" s="3">
        <v>78.349999999999994</v>
      </c>
      <c r="L560" t="str">
        <f t="shared" si="40"/>
        <v>0% off</v>
      </c>
      <c r="M560" s="3">
        <f t="shared" si="41"/>
        <v>0</v>
      </c>
      <c r="N560" t="str">
        <f t="shared" si="42"/>
        <v>No</v>
      </c>
      <c r="O560" t="s">
        <v>34</v>
      </c>
      <c r="P560" s="3">
        <f t="shared" si="43"/>
        <v>78.349999999999994</v>
      </c>
      <c r="Q560" t="s">
        <v>47</v>
      </c>
      <c r="R560">
        <v>2</v>
      </c>
      <c r="S560" t="str">
        <f t="shared" si="44"/>
        <v>Poor</v>
      </c>
    </row>
    <row r="561" spans="1:19" x14ac:dyDescent="0.25">
      <c r="A561" t="s">
        <v>912</v>
      </c>
      <c r="B561">
        <v>60</v>
      </c>
      <c r="C561" t="s">
        <v>29</v>
      </c>
      <c r="D561" t="s">
        <v>2531</v>
      </c>
      <c r="E561" t="s">
        <v>18</v>
      </c>
      <c r="F561" t="s">
        <v>59</v>
      </c>
      <c r="G561" t="s">
        <v>913</v>
      </c>
      <c r="H561" t="str">
        <f>TEXT(walmart[[#This Row],[Purchase_Date]],"DDD")</f>
        <v>Thu</v>
      </c>
      <c r="I561" t="str">
        <f>TEXT(walmart[[#This Row],[Purchase_Date]],"MMM")</f>
        <v>Jan</v>
      </c>
      <c r="J561" t="str">
        <f>TEXT(walmart[[#This Row],[Purchase_Date]],"YYY")</f>
        <v>2025</v>
      </c>
      <c r="K561" s="3">
        <v>78.349999999999994</v>
      </c>
      <c r="L561" t="str">
        <f t="shared" si="40"/>
        <v>0% off</v>
      </c>
      <c r="M561" s="3">
        <f t="shared" si="41"/>
        <v>0</v>
      </c>
      <c r="N561" t="str">
        <f t="shared" si="42"/>
        <v>No</v>
      </c>
      <c r="O561" t="s">
        <v>21</v>
      </c>
      <c r="P561" s="3">
        <f t="shared" si="43"/>
        <v>78.349999999999994</v>
      </c>
      <c r="Q561" t="s">
        <v>47</v>
      </c>
      <c r="R561">
        <v>1</v>
      </c>
      <c r="S561" t="str">
        <f t="shared" si="44"/>
        <v>Very Poor</v>
      </c>
    </row>
    <row r="562" spans="1:19" x14ac:dyDescent="0.25">
      <c r="A562" t="s">
        <v>914</v>
      </c>
      <c r="B562">
        <v>66</v>
      </c>
      <c r="C562" t="s">
        <v>29</v>
      </c>
      <c r="D562" t="s">
        <v>2532</v>
      </c>
      <c r="E562" t="s">
        <v>37</v>
      </c>
      <c r="F562" t="s">
        <v>38</v>
      </c>
      <c r="G562" t="s">
        <v>293</v>
      </c>
      <c r="H562" t="str">
        <f>TEXT(walmart[[#This Row],[Purchase_Date]],"DDD")</f>
        <v>Wed</v>
      </c>
      <c r="I562" t="str">
        <f>TEXT(walmart[[#This Row],[Purchase_Date]],"MMM")</f>
        <v>May</v>
      </c>
      <c r="J562" t="str">
        <f>TEXT(walmart[[#This Row],[Purchase_Date]],"YYY")</f>
        <v>2024</v>
      </c>
      <c r="K562" s="3">
        <v>211.46</v>
      </c>
      <c r="L562" t="str">
        <f t="shared" si="40"/>
        <v>5% off</v>
      </c>
      <c r="M562" s="3">
        <f t="shared" si="41"/>
        <v>10.573</v>
      </c>
      <c r="N562" t="str">
        <f t="shared" si="42"/>
        <v>Yes</v>
      </c>
      <c r="O562" t="s">
        <v>34</v>
      </c>
      <c r="P562" s="3">
        <f t="shared" si="43"/>
        <v>200.887</v>
      </c>
      <c r="Q562" t="s">
        <v>47</v>
      </c>
      <c r="R562">
        <v>5</v>
      </c>
      <c r="S562" t="str">
        <f t="shared" si="44"/>
        <v>Excellent</v>
      </c>
    </row>
    <row r="563" spans="1:19" x14ac:dyDescent="0.25">
      <c r="A563" t="s">
        <v>915</v>
      </c>
      <c r="B563">
        <v>38</v>
      </c>
      <c r="C563" t="s">
        <v>16</v>
      </c>
      <c r="D563" t="s">
        <v>2533</v>
      </c>
      <c r="E563" t="s">
        <v>37</v>
      </c>
      <c r="F563" t="s">
        <v>117</v>
      </c>
      <c r="G563" t="s">
        <v>189</v>
      </c>
      <c r="H563" t="str">
        <f>TEXT(walmart[[#This Row],[Purchase_Date]],"DDD")</f>
        <v>Sat</v>
      </c>
      <c r="I563" t="str">
        <f>TEXT(walmart[[#This Row],[Purchase_Date]],"MMM")</f>
        <v>Jun</v>
      </c>
      <c r="J563" t="str">
        <f>TEXT(walmart[[#This Row],[Purchase_Date]],"YYY")</f>
        <v>2024</v>
      </c>
      <c r="K563" s="3">
        <v>165.68</v>
      </c>
      <c r="L563" t="str">
        <f t="shared" si="40"/>
        <v>5% off</v>
      </c>
      <c r="M563" s="3">
        <f t="shared" si="41"/>
        <v>8.2840000000000007</v>
      </c>
      <c r="N563" t="str">
        <f t="shared" si="42"/>
        <v>Yes</v>
      </c>
      <c r="O563" t="s">
        <v>34</v>
      </c>
      <c r="P563" s="3">
        <f t="shared" si="43"/>
        <v>157.39600000000002</v>
      </c>
      <c r="Q563" t="s">
        <v>47</v>
      </c>
      <c r="R563">
        <v>5</v>
      </c>
      <c r="S563" t="str">
        <f t="shared" si="44"/>
        <v>Excellent</v>
      </c>
    </row>
    <row r="564" spans="1:19" x14ac:dyDescent="0.25">
      <c r="A564" t="s">
        <v>916</v>
      </c>
      <c r="B564">
        <v>34</v>
      </c>
      <c r="C564" t="s">
        <v>29</v>
      </c>
      <c r="D564" t="s">
        <v>2534</v>
      </c>
      <c r="E564" t="s">
        <v>31</v>
      </c>
      <c r="F564" t="s">
        <v>169</v>
      </c>
      <c r="G564" t="s">
        <v>560</v>
      </c>
      <c r="H564" t="str">
        <f>TEXT(walmart[[#This Row],[Purchase_Date]],"DDD")</f>
        <v>Wed</v>
      </c>
      <c r="I564" t="str">
        <f>TEXT(walmart[[#This Row],[Purchase_Date]],"MMM")</f>
        <v>Sep</v>
      </c>
      <c r="J564" t="str">
        <f>TEXT(walmart[[#This Row],[Purchase_Date]],"YYY")</f>
        <v>2024</v>
      </c>
      <c r="K564" s="3">
        <v>52.44</v>
      </c>
      <c r="L564" t="str">
        <f t="shared" si="40"/>
        <v>0% off</v>
      </c>
      <c r="M564" s="3">
        <f t="shared" si="41"/>
        <v>0</v>
      </c>
      <c r="N564" t="str">
        <f t="shared" si="42"/>
        <v>No</v>
      </c>
      <c r="O564" t="s">
        <v>21</v>
      </c>
      <c r="P564" s="3">
        <f t="shared" si="43"/>
        <v>52.44</v>
      </c>
      <c r="Q564" t="s">
        <v>22</v>
      </c>
      <c r="R564">
        <v>4</v>
      </c>
      <c r="S564" t="str">
        <f t="shared" si="44"/>
        <v>Good</v>
      </c>
    </row>
    <row r="565" spans="1:19" x14ac:dyDescent="0.25">
      <c r="A565" t="s">
        <v>917</v>
      </c>
      <c r="B565">
        <v>20</v>
      </c>
      <c r="C565" t="s">
        <v>29</v>
      </c>
      <c r="D565" t="s">
        <v>2535</v>
      </c>
      <c r="E565" t="s">
        <v>31</v>
      </c>
      <c r="F565" t="s">
        <v>169</v>
      </c>
      <c r="G565" t="s">
        <v>203</v>
      </c>
      <c r="H565" t="str">
        <f>TEXT(walmart[[#This Row],[Purchase_Date]],"DDD")</f>
        <v>Thu</v>
      </c>
      <c r="I565" t="str">
        <f>TEXT(walmart[[#This Row],[Purchase_Date]],"MMM")</f>
        <v>Mar</v>
      </c>
      <c r="J565" t="str">
        <f>TEXT(walmart[[#This Row],[Purchase_Date]],"YYY")</f>
        <v>2024</v>
      </c>
      <c r="K565" s="3">
        <v>52.44</v>
      </c>
      <c r="L565" t="str">
        <f t="shared" si="40"/>
        <v>0% off</v>
      </c>
      <c r="M565" s="3">
        <f t="shared" si="41"/>
        <v>0</v>
      </c>
      <c r="N565" t="str">
        <f t="shared" si="42"/>
        <v>No</v>
      </c>
      <c r="O565" t="s">
        <v>21</v>
      </c>
      <c r="P565" s="3">
        <f t="shared" si="43"/>
        <v>52.44</v>
      </c>
      <c r="Q565" t="s">
        <v>27</v>
      </c>
      <c r="R565">
        <v>2</v>
      </c>
      <c r="S565" t="str">
        <f t="shared" si="44"/>
        <v>Poor</v>
      </c>
    </row>
    <row r="566" spans="1:19" x14ac:dyDescent="0.25">
      <c r="A566" t="s">
        <v>918</v>
      </c>
      <c r="B566">
        <v>70</v>
      </c>
      <c r="C566" t="s">
        <v>16</v>
      </c>
      <c r="D566" t="s">
        <v>2518</v>
      </c>
      <c r="E566" t="s">
        <v>18</v>
      </c>
      <c r="F566" t="s">
        <v>77</v>
      </c>
      <c r="G566" t="s">
        <v>712</v>
      </c>
      <c r="H566" t="str">
        <f>TEXT(walmart[[#This Row],[Purchase_Date]],"DDD")</f>
        <v>Thu</v>
      </c>
      <c r="I566" t="str">
        <f>TEXT(walmart[[#This Row],[Purchase_Date]],"MMM")</f>
        <v>May</v>
      </c>
      <c r="J566" t="str">
        <f>TEXT(walmart[[#This Row],[Purchase_Date]],"YYY")</f>
        <v>2024</v>
      </c>
      <c r="K566" s="3">
        <v>116.78</v>
      </c>
      <c r="L566" t="str">
        <f t="shared" si="40"/>
        <v>0% off</v>
      </c>
      <c r="M566" s="3">
        <f t="shared" si="41"/>
        <v>0</v>
      </c>
      <c r="N566" t="str">
        <f t="shared" si="42"/>
        <v>No</v>
      </c>
      <c r="O566" t="s">
        <v>21</v>
      </c>
      <c r="P566" s="3">
        <f t="shared" si="43"/>
        <v>116.78</v>
      </c>
      <c r="Q566" t="s">
        <v>35</v>
      </c>
      <c r="R566">
        <v>1</v>
      </c>
      <c r="S566" t="str">
        <f t="shared" si="44"/>
        <v>Very Poor</v>
      </c>
    </row>
    <row r="567" spans="1:19" x14ac:dyDescent="0.25">
      <c r="A567" t="s">
        <v>919</v>
      </c>
      <c r="B567">
        <v>64</v>
      </c>
      <c r="C567" t="s">
        <v>29</v>
      </c>
      <c r="D567" t="s">
        <v>2536</v>
      </c>
      <c r="E567" t="s">
        <v>18</v>
      </c>
      <c r="F567" t="s">
        <v>142</v>
      </c>
      <c r="G567" t="s">
        <v>920</v>
      </c>
      <c r="H567" t="str">
        <f>TEXT(walmart[[#This Row],[Purchase_Date]],"DDD")</f>
        <v>Sun</v>
      </c>
      <c r="I567" t="str">
        <f>TEXT(walmart[[#This Row],[Purchase_Date]],"MMM")</f>
        <v>Nov</v>
      </c>
      <c r="J567" t="str">
        <f>TEXT(walmart[[#This Row],[Purchase_Date]],"YYY")</f>
        <v>2024</v>
      </c>
      <c r="K567" s="3">
        <v>485.26</v>
      </c>
      <c r="L567" t="str">
        <f t="shared" si="40"/>
        <v>5% off</v>
      </c>
      <c r="M567" s="3">
        <f t="shared" si="41"/>
        <v>24.263000000000002</v>
      </c>
      <c r="N567" t="str">
        <f t="shared" si="42"/>
        <v>Yes</v>
      </c>
      <c r="O567" t="s">
        <v>34</v>
      </c>
      <c r="P567" s="3">
        <f t="shared" si="43"/>
        <v>460.99700000000001</v>
      </c>
      <c r="Q567" t="s">
        <v>22</v>
      </c>
      <c r="R567">
        <v>5</v>
      </c>
      <c r="S567" t="str">
        <f t="shared" si="44"/>
        <v>Excellent</v>
      </c>
    </row>
    <row r="568" spans="1:19" x14ac:dyDescent="0.25">
      <c r="A568" t="s">
        <v>921</v>
      </c>
      <c r="B568">
        <v>63</v>
      </c>
      <c r="C568" t="s">
        <v>29</v>
      </c>
      <c r="D568" t="s">
        <v>2537</v>
      </c>
      <c r="E568" t="s">
        <v>37</v>
      </c>
      <c r="F568" t="s">
        <v>38</v>
      </c>
      <c r="G568" t="s">
        <v>355</v>
      </c>
      <c r="H568" t="str">
        <f>TEXT(walmart[[#This Row],[Purchase_Date]],"DDD")</f>
        <v>Fri</v>
      </c>
      <c r="I568" t="str">
        <f>TEXT(walmart[[#This Row],[Purchase_Date]],"MMM")</f>
        <v>Nov</v>
      </c>
      <c r="J568" t="str">
        <f>TEXT(walmart[[#This Row],[Purchase_Date]],"YYY")</f>
        <v>2024</v>
      </c>
      <c r="K568" s="3">
        <v>211.46</v>
      </c>
      <c r="L568" t="str">
        <f t="shared" si="40"/>
        <v>5% off</v>
      </c>
      <c r="M568" s="3">
        <f t="shared" si="41"/>
        <v>10.573</v>
      </c>
      <c r="N568" t="str">
        <f t="shared" si="42"/>
        <v>Yes</v>
      </c>
      <c r="O568" t="s">
        <v>21</v>
      </c>
      <c r="P568" s="3">
        <f t="shared" si="43"/>
        <v>200.887</v>
      </c>
      <c r="Q568" t="s">
        <v>47</v>
      </c>
      <c r="R568">
        <v>2</v>
      </c>
      <c r="S568" t="str">
        <f t="shared" si="44"/>
        <v>Poor</v>
      </c>
    </row>
    <row r="569" spans="1:19" x14ac:dyDescent="0.25">
      <c r="A569" t="s">
        <v>922</v>
      </c>
      <c r="B569">
        <v>20</v>
      </c>
      <c r="C569" t="s">
        <v>16</v>
      </c>
      <c r="D569" t="s">
        <v>2538</v>
      </c>
      <c r="E569" t="s">
        <v>24</v>
      </c>
      <c r="F569" t="s">
        <v>186</v>
      </c>
      <c r="G569" t="s">
        <v>340</v>
      </c>
      <c r="H569" t="str">
        <f>TEXT(walmart[[#This Row],[Purchase_Date]],"DDD")</f>
        <v>Thu</v>
      </c>
      <c r="I569" t="str">
        <f>TEXT(walmart[[#This Row],[Purchase_Date]],"MMM")</f>
        <v>Jun</v>
      </c>
      <c r="J569" t="str">
        <f>TEXT(walmart[[#This Row],[Purchase_Date]],"YYY")</f>
        <v>2024</v>
      </c>
      <c r="K569" s="3">
        <v>527.16999999999996</v>
      </c>
      <c r="L569" t="str">
        <f t="shared" si="40"/>
        <v>10% off</v>
      </c>
      <c r="M569" s="3">
        <f t="shared" si="41"/>
        <v>52.716999999999999</v>
      </c>
      <c r="N569" t="str">
        <f t="shared" si="42"/>
        <v>Yes</v>
      </c>
      <c r="O569" t="s">
        <v>21</v>
      </c>
      <c r="P569" s="3">
        <f t="shared" si="43"/>
        <v>474.45299999999997</v>
      </c>
      <c r="Q569" t="s">
        <v>27</v>
      </c>
      <c r="R569">
        <v>1</v>
      </c>
      <c r="S569" t="str">
        <f t="shared" si="44"/>
        <v>Very Poor</v>
      </c>
    </row>
    <row r="570" spans="1:19" x14ac:dyDescent="0.25">
      <c r="A570" t="s">
        <v>923</v>
      </c>
      <c r="B570">
        <v>36</v>
      </c>
      <c r="C570" t="s">
        <v>29</v>
      </c>
      <c r="D570" t="s">
        <v>2539</v>
      </c>
      <c r="E570" t="s">
        <v>42</v>
      </c>
      <c r="F570" t="s">
        <v>120</v>
      </c>
      <c r="G570" t="s">
        <v>482</v>
      </c>
      <c r="H570" t="str">
        <f>TEXT(walmart[[#This Row],[Purchase_Date]],"DDD")</f>
        <v>Fri</v>
      </c>
      <c r="I570" t="str">
        <f>TEXT(walmart[[#This Row],[Purchase_Date]],"MMM")</f>
        <v>May</v>
      </c>
      <c r="J570" t="str">
        <f>TEXT(walmart[[#This Row],[Purchase_Date]],"YYY")</f>
        <v>2024</v>
      </c>
      <c r="K570" s="3">
        <v>260.77999999999997</v>
      </c>
      <c r="L570" t="str">
        <f t="shared" si="40"/>
        <v>5% off</v>
      </c>
      <c r="M570" s="3">
        <f t="shared" si="41"/>
        <v>13.039</v>
      </c>
      <c r="N570" t="str">
        <f t="shared" si="42"/>
        <v>Yes</v>
      </c>
      <c r="O570" t="s">
        <v>34</v>
      </c>
      <c r="P570" s="3">
        <f t="shared" si="43"/>
        <v>247.74099999999999</v>
      </c>
      <c r="Q570" t="s">
        <v>47</v>
      </c>
      <c r="R570">
        <v>5</v>
      </c>
      <c r="S570" t="str">
        <f t="shared" si="44"/>
        <v>Excellent</v>
      </c>
    </row>
    <row r="571" spans="1:19" x14ac:dyDescent="0.25">
      <c r="A571" t="s">
        <v>924</v>
      </c>
      <c r="B571">
        <v>40</v>
      </c>
      <c r="C571" t="s">
        <v>29</v>
      </c>
      <c r="D571" t="s">
        <v>2540</v>
      </c>
      <c r="E571" t="s">
        <v>55</v>
      </c>
      <c r="F571" t="s">
        <v>56</v>
      </c>
      <c r="G571" t="s">
        <v>514</v>
      </c>
      <c r="H571" t="str">
        <f>TEXT(walmart[[#This Row],[Purchase_Date]],"DDD")</f>
        <v>Sat</v>
      </c>
      <c r="I571" t="str">
        <f>TEXT(walmart[[#This Row],[Purchase_Date]],"MMM")</f>
        <v>Feb</v>
      </c>
      <c r="J571" t="str">
        <f>TEXT(walmart[[#This Row],[Purchase_Date]],"YYY")</f>
        <v>2025</v>
      </c>
      <c r="K571" s="3">
        <v>76.81</v>
      </c>
      <c r="L571" t="str">
        <f t="shared" si="40"/>
        <v>0% off</v>
      </c>
      <c r="M571" s="3">
        <f t="shared" si="41"/>
        <v>0</v>
      </c>
      <c r="N571" t="str">
        <f t="shared" si="42"/>
        <v>No</v>
      </c>
      <c r="O571" t="s">
        <v>21</v>
      </c>
      <c r="P571" s="3">
        <f t="shared" si="43"/>
        <v>76.81</v>
      </c>
      <c r="Q571" t="s">
        <v>27</v>
      </c>
      <c r="R571">
        <v>4</v>
      </c>
      <c r="S571" t="str">
        <f t="shared" si="44"/>
        <v>Good</v>
      </c>
    </row>
    <row r="572" spans="1:19" x14ac:dyDescent="0.25">
      <c r="A572" t="s">
        <v>925</v>
      </c>
      <c r="B572">
        <v>69</v>
      </c>
      <c r="C572" t="s">
        <v>29</v>
      </c>
      <c r="D572" t="s">
        <v>2488</v>
      </c>
      <c r="E572" t="s">
        <v>24</v>
      </c>
      <c r="F572" t="s">
        <v>209</v>
      </c>
      <c r="G572" t="s">
        <v>399</v>
      </c>
      <c r="H572" t="str">
        <f>TEXT(walmart[[#This Row],[Purchase_Date]],"DDD")</f>
        <v>Wed</v>
      </c>
      <c r="I572" t="str">
        <f>TEXT(walmart[[#This Row],[Purchase_Date]],"MMM")</f>
        <v>Feb</v>
      </c>
      <c r="J572" t="str">
        <f>TEXT(walmart[[#This Row],[Purchase_Date]],"YYY")</f>
        <v>2025</v>
      </c>
      <c r="K572" s="3">
        <v>775.75</v>
      </c>
      <c r="L572" t="str">
        <f t="shared" si="40"/>
        <v>15% off</v>
      </c>
      <c r="M572" s="3">
        <f t="shared" si="41"/>
        <v>116.3625</v>
      </c>
      <c r="N572" t="str">
        <f t="shared" si="42"/>
        <v>Yes</v>
      </c>
      <c r="O572" t="s">
        <v>21</v>
      </c>
      <c r="P572" s="3">
        <f t="shared" si="43"/>
        <v>659.38750000000005</v>
      </c>
      <c r="Q572" t="s">
        <v>27</v>
      </c>
      <c r="R572">
        <v>4</v>
      </c>
      <c r="S572" t="str">
        <f t="shared" si="44"/>
        <v>Good</v>
      </c>
    </row>
    <row r="573" spans="1:19" x14ac:dyDescent="0.25">
      <c r="A573" t="s">
        <v>926</v>
      </c>
      <c r="B573">
        <v>70</v>
      </c>
      <c r="C573" t="s">
        <v>16</v>
      </c>
      <c r="D573" t="s">
        <v>2541</v>
      </c>
      <c r="E573" t="s">
        <v>55</v>
      </c>
      <c r="F573" t="s">
        <v>56</v>
      </c>
      <c r="G573" t="s">
        <v>26</v>
      </c>
      <c r="H573" t="str">
        <f>TEXT(walmart[[#This Row],[Purchase_Date]],"DDD")</f>
        <v>Tue</v>
      </c>
      <c r="I573" t="str">
        <f>TEXT(walmart[[#This Row],[Purchase_Date]],"MMM")</f>
        <v>Nov</v>
      </c>
      <c r="J573" t="str">
        <f>TEXT(walmart[[#This Row],[Purchase_Date]],"YYY")</f>
        <v>2024</v>
      </c>
      <c r="K573" s="3">
        <v>76.81</v>
      </c>
      <c r="L573" t="str">
        <f t="shared" si="40"/>
        <v>0% off</v>
      </c>
      <c r="M573" s="3">
        <f t="shared" si="41"/>
        <v>0</v>
      </c>
      <c r="N573" t="str">
        <f t="shared" si="42"/>
        <v>No</v>
      </c>
      <c r="O573" t="s">
        <v>21</v>
      </c>
      <c r="P573" s="3">
        <f t="shared" si="43"/>
        <v>76.81</v>
      </c>
      <c r="Q573" t="s">
        <v>22</v>
      </c>
      <c r="R573">
        <v>4</v>
      </c>
      <c r="S573" t="str">
        <f t="shared" si="44"/>
        <v>Good</v>
      </c>
    </row>
    <row r="574" spans="1:19" x14ac:dyDescent="0.25">
      <c r="A574" t="s">
        <v>927</v>
      </c>
      <c r="B574">
        <v>58</v>
      </c>
      <c r="C574" t="s">
        <v>16</v>
      </c>
      <c r="D574" t="s">
        <v>2542</v>
      </c>
      <c r="E574" t="s">
        <v>18</v>
      </c>
      <c r="F574" t="s">
        <v>19</v>
      </c>
      <c r="G574" t="s">
        <v>928</v>
      </c>
      <c r="H574" t="str">
        <f>TEXT(walmart[[#This Row],[Purchase_Date]],"DDD")</f>
        <v>Thu</v>
      </c>
      <c r="I574" t="str">
        <f>TEXT(walmart[[#This Row],[Purchase_Date]],"MMM")</f>
        <v>Sep</v>
      </c>
      <c r="J574" t="str">
        <f>TEXT(walmart[[#This Row],[Purchase_Date]],"YYY")</f>
        <v>2024</v>
      </c>
      <c r="K574" s="3">
        <v>697.86</v>
      </c>
      <c r="L574" t="str">
        <f t="shared" si="40"/>
        <v>10% off</v>
      </c>
      <c r="M574" s="3">
        <f t="shared" si="41"/>
        <v>69.786000000000001</v>
      </c>
      <c r="N574" t="str">
        <f t="shared" si="42"/>
        <v>Yes</v>
      </c>
      <c r="O574" t="s">
        <v>21</v>
      </c>
      <c r="P574" s="3">
        <f t="shared" si="43"/>
        <v>628.07400000000007</v>
      </c>
      <c r="Q574" t="s">
        <v>47</v>
      </c>
      <c r="R574">
        <v>3</v>
      </c>
      <c r="S574" t="str">
        <f t="shared" si="44"/>
        <v>Average</v>
      </c>
    </row>
    <row r="575" spans="1:19" x14ac:dyDescent="0.25">
      <c r="A575" t="s">
        <v>929</v>
      </c>
      <c r="B575">
        <v>21</v>
      </c>
      <c r="C575" t="s">
        <v>16</v>
      </c>
      <c r="D575" t="s">
        <v>2543</v>
      </c>
      <c r="E575" t="s">
        <v>37</v>
      </c>
      <c r="F575" t="s">
        <v>38</v>
      </c>
      <c r="G575" t="s">
        <v>622</v>
      </c>
      <c r="H575" t="str">
        <f>TEXT(walmart[[#This Row],[Purchase_Date]],"DDD")</f>
        <v>Mon</v>
      </c>
      <c r="I575" t="str">
        <f>TEXT(walmart[[#This Row],[Purchase_Date]],"MMM")</f>
        <v>Dec</v>
      </c>
      <c r="J575" t="str">
        <f>TEXT(walmart[[#This Row],[Purchase_Date]],"YYY")</f>
        <v>2024</v>
      </c>
      <c r="K575" s="3">
        <v>211.46</v>
      </c>
      <c r="L575" t="str">
        <f t="shared" si="40"/>
        <v>5% off</v>
      </c>
      <c r="M575" s="3">
        <f t="shared" si="41"/>
        <v>10.573</v>
      </c>
      <c r="N575" t="str">
        <f t="shared" si="42"/>
        <v>Yes</v>
      </c>
      <c r="O575" t="s">
        <v>34</v>
      </c>
      <c r="P575" s="3">
        <f t="shared" si="43"/>
        <v>200.887</v>
      </c>
      <c r="Q575" t="s">
        <v>35</v>
      </c>
      <c r="R575">
        <v>4</v>
      </c>
      <c r="S575" t="str">
        <f t="shared" si="44"/>
        <v>Good</v>
      </c>
    </row>
    <row r="576" spans="1:19" x14ac:dyDescent="0.25">
      <c r="A576" t="s">
        <v>930</v>
      </c>
      <c r="B576">
        <v>38</v>
      </c>
      <c r="C576" t="s">
        <v>16</v>
      </c>
      <c r="D576" t="s">
        <v>2544</v>
      </c>
      <c r="E576" t="s">
        <v>42</v>
      </c>
      <c r="F576" t="s">
        <v>103</v>
      </c>
      <c r="G576" t="s">
        <v>118</v>
      </c>
      <c r="H576" t="str">
        <f>TEXT(walmart[[#This Row],[Purchase_Date]],"DDD")</f>
        <v>Tue</v>
      </c>
      <c r="I576" t="str">
        <f>TEXT(walmart[[#This Row],[Purchase_Date]],"MMM")</f>
        <v>Jun</v>
      </c>
      <c r="J576" t="str">
        <f>TEXT(walmart[[#This Row],[Purchase_Date]],"YYY")</f>
        <v>2024</v>
      </c>
      <c r="K576" s="3">
        <v>315.56</v>
      </c>
      <c r="L576" t="str">
        <f t="shared" si="40"/>
        <v>5% off</v>
      </c>
      <c r="M576" s="3">
        <f t="shared" si="41"/>
        <v>15.778</v>
      </c>
      <c r="N576" t="str">
        <f t="shared" si="42"/>
        <v>Yes</v>
      </c>
      <c r="O576" t="s">
        <v>21</v>
      </c>
      <c r="P576" s="3">
        <f t="shared" si="43"/>
        <v>299.78199999999998</v>
      </c>
      <c r="Q576" t="s">
        <v>47</v>
      </c>
      <c r="R576">
        <v>1</v>
      </c>
      <c r="S576" t="str">
        <f t="shared" si="44"/>
        <v>Very Poor</v>
      </c>
    </row>
    <row r="577" spans="1:19" x14ac:dyDescent="0.25">
      <c r="A577" t="s">
        <v>931</v>
      </c>
      <c r="B577">
        <v>67</v>
      </c>
      <c r="C577" t="s">
        <v>29</v>
      </c>
      <c r="D577" t="s">
        <v>2545</v>
      </c>
      <c r="E577" t="s">
        <v>55</v>
      </c>
      <c r="F577" t="s">
        <v>100</v>
      </c>
      <c r="G577" t="s">
        <v>467</v>
      </c>
      <c r="H577" t="str">
        <f>TEXT(walmart[[#This Row],[Purchase_Date]],"DDD")</f>
        <v>Fri</v>
      </c>
      <c r="I577" t="str">
        <f>TEXT(walmart[[#This Row],[Purchase_Date]],"MMM")</f>
        <v>Apr</v>
      </c>
      <c r="J577" t="str">
        <f>TEXT(walmart[[#This Row],[Purchase_Date]],"YYY")</f>
        <v>2024</v>
      </c>
      <c r="K577" s="3">
        <v>592.26</v>
      </c>
      <c r="L577" t="str">
        <f t="shared" si="40"/>
        <v>10% off</v>
      </c>
      <c r="M577" s="3">
        <f t="shared" si="41"/>
        <v>59.225999999999999</v>
      </c>
      <c r="N577" t="str">
        <f t="shared" si="42"/>
        <v>Yes</v>
      </c>
      <c r="O577" t="s">
        <v>21</v>
      </c>
      <c r="P577" s="3">
        <f t="shared" si="43"/>
        <v>533.03399999999999</v>
      </c>
      <c r="Q577" t="s">
        <v>47</v>
      </c>
      <c r="R577">
        <v>2</v>
      </c>
      <c r="S577" t="str">
        <f t="shared" si="44"/>
        <v>Poor</v>
      </c>
    </row>
    <row r="578" spans="1:19" x14ac:dyDescent="0.25">
      <c r="A578" t="s">
        <v>932</v>
      </c>
      <c r="B578">
        <v>51</v>
      </c>
      <c r="C578" t="s">
        <v>29</v>
      </c>
      <c r="D578" t="s">
        <v>2546</v>
      </c>
      <c r="E578" t="s">
        <v>24</v>
      </c>
      <c r="F578" t="s">
        <v>162</v>
      </c>
      <c r="G578" t="s">
        <v>476</v>
      </c>
      <c r="H578" t="str">
        <f>TEXT(walmart[[#This Row],[Purchase_Date]],"DDD")</f>
        <v>Fri</v>
      </c>
      <c r="I578" t="str">
        <f>TEXT(walmart[[#This Row],[Purchase_Date]],"MMM")</f>
        <v>Mar</v>
      </c>
      <c r="J578" t="str">
        <f>TEXT(walmart[[#This Row],[Purchase_Date]],"YYY")</f>
        <v>2025</v>
      </c>
      <c r="K578" s="3">
        <v>362.55</v>
      </c>
      <c r="L578" t="str">
        <f t="shared" si="40"/>
        <v>5% off</v>
      </c>
      <c r="M578" s="3">
        <f t="shared" si="41"/>
        <v>18.127500000000001</v>
      </c>
      <c r="N578" t="str">
        <f t="shared" si="42"/>
        <v>Yes</v>
      </c>
      <c r="O578" t="s">
        <v>34</v>
      </c>
      <c r="P578" s="3">
        <f t="shared" si="43"/>
        <v>344.42250000000001</v>
      </c>
      <c r="Q578" t="s">
        <v>22</v>
      </c>
      <c r="R578">
        <v>3</v>
      </c>
      <c r="S578" t="str">
        <f t="shared" si="44"/>
        <v>Average</v>
      </c>
    </row>
    <row r="579" spans="1:19" x14ac:dyDescent="0.25">
      <c r="A579" t="s">
        <v>933</v>
      </c>
      <c r="B579">
        <v>58</v>
      </c>
      <c r="C579" t="s">
        <v>16</v>
      </c>
      <c r="D579" t="s">
        <v>2547</v>
      </c>
      <c r="E579" t="s">
        <v>73</v>
      </c>
      <c r="F579" t="s">
        <v>91</v>
      </c>
      <c r="G579" t="s">
        <v>597</v>
      </c>
      <c r="H579" t="str">
        <f>TEXT(walmart[[#This Row],[Purchase_Date]],"DDD")</f>
        <v>Tue</v>
      </c>
      <c r="I579" t="str">
        <f>TEXT(walmart[[#This Row],[Purchase_Date]],"MMM")</f>
        <v>Oct</v>
      </c>
      <c r="J579" t="str">
        <f>TEXT(walmart[[#This Row],[Purchase_Date]],"YYY")</f>
        <v>2024</v>
      </c>
      <c r="K579" s="3">
        <v>418.55</v>
      </c>
      <c r="L579" t="str">
        <f t="shared" ref="L579:L642" si="45">IF(K579&lt;150,"0% off",IF(K579&lt;500,"5% off",IF(K579&lt;700,"10% off",IF(K579&lt;900,"15% off","20% off"))))</f>
        <v>5% off</v>
      </c>
      <c r="M579" s="3">
        <f t="shared" ref="M579:M642" si="46">K579 * (LEFT(L579, LEN(L579)-5) / 100)</f>
        <v>20.927500000000002</v>
      </c>
      <c r="N579" t="str">
        <f t="shared" ref="N579:N642" si="47">IF(L579="0% off", "No", "Yes")</f>
        <v>Yes</v>
      </c>
      <c r="O579" t="s">
        <v>34</v>
      </c>
      <c r="P579" s="3">
        <f t="shared" ref="P579:P642" si="48">K579-M579</f>
        <v>397.6225</v>
      </c>
      <c r="Q579" t="s">
        <v>27</v>
      </c>
      <c r="R579">
        <v>5</v>
      </c>
      <c r="S579" t="str">
        <f t="shared" ref="S579:S642" si="49">IF(R579=5, "Excellent", IF(R579=4, "Good", IF(R579=3, "Average", IF(R579=2, "Poor", IF(R579=1, "Very Poor", "Invalid Rating")))))</f>
        <v>Excellent</v>
      </c>
    </row>
    <row r="580" spans="1:19" x14ac:dyDescent="0.25">
      <c r="A580" t="s">
        <v>934</v>
      </c>
      <c r="B580">
        <v>59</v>
      </c>
      <c r="C580" t="s">
        <v>16</v>
      </c>
      <c r="D580" t="s">
        <v>2548</v>
      </c>
      <c r="E580" t="s">
        <v>18</v>
      </c>
      <c r="F580" t="s">
        <v>59</v>
      </c>
      <c r="G580" t="s">
        <v>279</v>
      </c>
      <c r="H580" t="str">
        <f>TEXT(walmart[[#This Row],[Purchase_Date]],"DDD")</f>
        <v>Thu</v>
      </c>
      <c r="I580" t="str">
        <f>TEXT(walmart[[#This Row],[Purchase_Date]],"MMM")</f>
        <v>Jul</v>
      </c>
      <c r="J580" t="str">
        <f>TEXT(walmart[[#This Row],[Purchase_Date]],"YYY")</f>
        <v>2024</v>
      </c>
      <c r="K580" s="3">
        <v>78.349999999999994</v>
      </c>
      <c r="L580" t="str">
        <f t="shared" si="45"/>
        <v>0% off</v>
      </c>
      <c r="M580" s="3">
        <f t="shared" si="46"/>
        <v>0</v>
      </c>
      <c r="N580" t="str">
        <f t="shared" si="47"/>
        <v>No</v>
      </c>
      <c r="O580" t="s">
        <v>21</v>
      </c>
      <c r="P580" s="3">
        <f t="shared" si="48"/>
        <v>78.349999999999994</v>
      </c>
      <c r="Q580" t="s">
        <v>22</v>
      </c>
      <c r="R580">
        <v>4</v>
      </c>
      <c r="S580" t="str">
        <f t="shared" si="49"/>
        <v>Good</v>
      </c>
    </row>
    <row r="581" spans="1:19" x14ac:dyDescent="0.25">
      <c r="A581" t="s">
        <v>935</v>
      </c>
      <c r="B581">
        <v>70</v>
      </c>
      <c r="C581" t="s">
        <v>29</v>
      </c>
      <c r="D581" t="s">
        <v>2549</v>
      </c>
      <c r="E581" t="s">
        <v>42</v>
      </c>
      <c r="F581" t="s">
        <v>103</v>
      </c>
      <c r="G581" t="s">
        <v>393</v>
      </c>
      <c r="H581" t="str">
        <f>TEXT(walmart[[#This Row],[Purchase_Date]],"DDD")</f>
        <v>Mon</v>
      </c>
      <c r="I581" t="str">
        <f>TEXT(walmart[[#This Row],[Purchase_Date]],"MMM")</f>
        <v>Oct</v>
      </c>
      <c r="J581" t="str">
        <f>TEXT(walmart[[#This Row],[Purchase_Date]],"YYY")</f>
        <v>2024</v>
      </c>
      <c r="K581" s="3">
        <v>315.56</v>
      </c>
      <c r="L581" t="str">
        <f t="shared" si="45"/>
        <v>5% off</v>
      </c>
      <c r="M581" s="3">
        <f t="shared" si="46"/>
        <v>15.778</v>
      </c>
      <c r="N581" t="str">
        <f t="shared" si="47"/>
        <v>Yes</v>
      </c>
      <c r="O581" t="s">
        <v>34</v>
      </c>
      <c r="P581" s="3">
        <f t="shared" si="48"/>
        <v>299.78199999999998</v>
      </c>
      <c r="Q581" t="s">
        <v>22</v>
      </c>
      <c r="R581">
        <v>2</v>
      </c>
      <c r="S581" t="str">
        <f t="shared" si="49"/>
        <v>Poor</v>
      </c>
    </row>
    <row r="582" spans="1:19" x14ac:dyDescent="0.25">
      <c r="A582" t="s">
        <v>936</v>
      </c>
      <c r="B582">
        <v>25</v>
      </c>
      <c r="C582" t="s">
        <v>16</v>
      </c>
      <c r="D582" t="s">
        <v>2550</v>
      </c>
      <c r="E582" t="s">
        <v>31</v>
      </c>
      <c r="F582" t="s">
        <v>32</v>
      </c>
      <c r="G582" t="s">
        <v>399</v>
      </c>
      <c r="H582" t="str">
        <f>TEXT(walmart[[#This Row],[Purchase_Date]],"DDD")</f>
        <v>Wed</v>
      </c>
      <c r="I582" t="str">
        <f>TEXT(walmart[[#This Row],[Purchase_Date]],"MMM")</f>
        <v>Feb</v>
      </c>
      <c r="J582" t="str">
        <f>TEXT(walmart[[#This Row],[Purchase_Date]],"YYY")</f>
        <v>2025</v>
      </c>
      <c r="K582" s="3">
        <v>493.96</v>
      </c>
      <c r="L582" t="str">
        <f t="shared" si="45"/>
        <v>5% off</v>
      </c>
      <c r="M582" s="3">
        <f t="shared" si="46"/>
        <v>24.698</v>
      </c>
      <c r="N582" t="str">
        <f t="shared" si="47"/>
        <v>Yes</v>
      </c>
      <c r="O582" t="s">
        <v>34</v>
      </c>
      <c r="P582" s="3">
        <f t="shared" si="48"/>
        <v>469.262</v>
      </c>
      <c r="Q582" t="s">
        <v>47</v>
      </c>
      <c r="R582">
        <v>4</v>
      </c>
      <c r="S582" t="str">
        <f t="shared" si="49"/>
        <v>Good</v>
      </c>
    </row>
    <row r="583" spans="1:19" x14ac:dyDescent="0.25">
      <c r="A583" t="s">
        <v>937</v>
      </c>
      <c r="B583">
        <v>50</v>
      </c>
      <c r="C583" t="s">
        <v>16</v>
      </c>
      <c r="D583" t="s">
        <v>2551</v>
      </c>
      <c r="E583" t="s">
        <v>73</v>
      </c>
      <c r="F583" t="s">
        <v>94</v>
      </c>
      <c r="G583" t="s">
        <v>342</v>
      </c>
      <c r="H583" t="str">
        <f>TEXT(walmart[[#This Row],[Purchase_Date]],"DDD")</f>
        <v>Mon</v>
      </c>
      <c r="I583" t="str">
        <f>TEXT(walmart[[#This Row],[Purchase_Date]],"MMM")</f>
        <v>Apr</v>
      </c>
      <c r="J583" t="str">
        <f>TEXT(walmart[[#This Row],[Purchase_Date]],"YYY")</f>
        <v>2024</v>
      </c>
      <c r="K583" s="3">
        <v>965.09</v>
      </c>
      <c r="L583" t="str">
        <f t="shared" si="45"/>
        <v>20% off</v>
      </c>
      <c r="M583" s="3">
        <f t="shared" si="46"/>
        <v>193.01800000000003</v>
      </c>
      <c r="N583" t="str">
        <f t="shared" si="47"/>
        <v>Yes</v>
      </c>
      <c r="O583" t="s">
        <v>34</v>
      </c>
      <c r="P583" s="3">
        <f t="shared" si="48"/>
        <v>772.072</v>
      </c>
      <c r="Q583" t="s">
        <v>22</v>
      </c>
      <c r="R583">
        <v>3</v>
      </c>
      <c r="S583" t="str">
        <f t="shared" si="49"/>
        <v>Average</v>
      </c>
    </row>
    <row r="584" spans="1:19" x14ac:dyDescent="0.25">
      <c r="A584" t="s">
        <v>938</v>
      </c>
      <c r="B584">
        <v>46</v>
      </c>
      <c r="C584" t="s">
        <v>29</v>
      </c>
      <c r="D584" t="s">
        <v>2552</v>
      </c>
      <c r="E584" t="s">
        <v>31</v>
      </c>
      <c r="F584" t="s">
        <v>169</v>
      </c>
      <c r="G584" t="s">
        <v>338</v>
      </c>
      <c r="H584" t="str">
        <f>TEXT(walmart[[#This Row],[Purchase_Date]],"DDD")</f>
        <v>Tue</v>
      </c>
      <c r="I584" t="str">
        <f>TEXT(walmart[[#This Row],[Purchase_Date]],"MMM")</f>
        <v>Oct</v>
      </c>
      <c r="J584" t="str">
        <f>TEXT(walmart[[#This Row],[Purchase_Date]],"YYY")</f>
        <v>2024</v>
      </c>
      <c r="K584" s="3">
        <v>52.44</v>
      </c>
      <c r="L584" t="str">
        <f t="shared" si="45"/>
        <v>0% off</v>
      </c>
      <c r="M584" s="3">
        <f t="shared" si="46"/>
        <v>0</v>
      </c>
      <c r="N584" t="str">
        <f t="shared" si="47"/>
        <v>No</v>
      </c>
      <c r="O584" t="s">
        <v>34</v>
      </c>
      <c r="P584" s="3">
        <f t="shared" si="48"/>
        <v>52.44</v>
      </c>
      <c r="Q584" t="s">
        <v>27</v>
      </c>
      <c r="R584">
        <v>3</v>
      </c>
      <c r="S584" t="str">
        <f t="shared" si="49"/>
        <v>Average</v>
      </c>
    </row>
    <row r="585" spans="1:19" x14ac:dyDescent="0.25">
      <c r="A585" t="s">
        <v>939</v>
      </c>
      <c r="B585">
        <v>61</v>
      </c>
      <c r="C585" t="s">
        <v>16</v>
      </c>
      <c r="D585" t="s">
        <v>2553</v>
      </c>
      <c r="E585" t="s">
        <v>42</v>
      </c>
      <c r="F585" t="s">
        <v>103</v>
      </c>
      <c r="G585" t="s">
        <v>794</v>
      </c>
      <c r="H585" t="str">
        <f>TEXT(walmart[[#This Row],[Purchase_Date]],"DDD")</f>
        <v>Wed</v>
      </c>
      <c r="I585" t="str">
        <f>TEXT(walmart[[#This Row],[Purchase_Date]],"MMM")</f>
        <v>Jan</v>
      </c>
      <c r="J585" t="str">
        <f>TEXT(walmart[[#This Row],[Purchase_Date]],"YYY")</f>
        <v>2025</v>
      </c>
      <c r="K585" s="3">
        <v>315.56</v>
      </c>
      <c r="L585" t="str">
        <f t="shared" si="45"/>
        <v>5% off</v>
      </c>
      <c r="M585" s="3">
        <f t="shared" si="46"/>
        <v>15.778</v>
      </c>
      <c r="N585" t="str">
        <f t="shared" si="47"/>
        <v>Yes</v>
      </c>
      <c r="O585" t="s">
        <v>34</v>
      </c>
      <c r="P585" s="3">
        <f t="shared" si="48"/>
        <v>299.78199999999998</v>
      </c>
      <c r="Q585" t="s">
        <v>35</v>
      </c>
      <c r="R585">
        <v>5</v>
      </c>
      <c r="S585" t="str">
        <f t="shared" si="49"/>
        <v>Excellent</v>
      </c>
    </row>
    <row r="586" spans="1:19" x14ac:dyDescent="0.25">
      <c r="A586" t="s">
        <v>940</v>
      </c>
      <c r="B586">
        <v>27</v>
      </c>
      <c r="C586" t="s">
        <v>29</v>
      </c>
      <c r="D586" t="s">
        <v>2554</v>
      </c>
      <c r="E586" t="s">
        <v>37</v>
      </c>
      <c r="F586" t="s">
        <v>82</v>
      </c>
      <c r="G586" t="s">
        <v>531</v>
      </c>
      <c r="H586" t="str">
        <f>TEXT(walmart[[#This Row],[Purchase_Date]],"DDD")</f>
        <v>Thu</v>
      </c>
      <c r="I586" t="str">
        <f>TEXT(walmart[[#This Row],[Purchase_Date]],"MMM")</f>
        <v>Nov</v>
      </c>
      <c r="J586" t="str">
        <f>TEXT(walmart[[#This Row],[Purchase_Date]],"YYY")</f>
        <v>2024</v>
      </c>
      <c r="K586" s="3">
        <v>270.41000000000003</v>
      </c>
      <c r="L586" t="str">
        <f t="shared" si="45"/>
        <v>5% off</v>
      </c>
      <c r="M586" s="3">
        <f t="shared" si="46"/>
        <v>13.520500000000002</v>
      </c>
      <c r="N586" t="str">
        <f t="shared" si="47"/>
        <v>Yes</v>
      </c>
      <c r="O586" t="s">
        <v>21</v>
      </c>
      <c r="P586" s="3">
        <f t="shared" si="48"/>
        <v>256.8895</v>
      </c>
      <c r="Q586" t="s">
        <v>27</v>
      </c>
      <c r="R586">
        <v>2</v>
      </c>
      <c r="S586" t="str">
        <f t="shared" si="49"/>
        <v>Poor</v>
      </c>
    </row>
    <row r="587" spans="1:19" x14ac:dyDescent="0.25">
      <c r="A587" t="s">
        <v>941</v>
      </c>
      <c r="B587">
        <v>19</v>
      </c>
      <c r="C587" t="s">
        <v>29</v>
      </c>
      <c r="D587" t="s">
        <v>2555</v>
      </c>
      <c r="E587" t="s">
        <v>31</v>
      </c>
      <c r="F587" t="s">
        <v>32</v>
      </c>
      <c r="G587" t="s">
        <v>242</v>
      </c>
      <c r="H587" t="str">
        <f>TEXT(walmart[[#This Row],[Purchase_Date]],"DDD")</f>
        <v>Fri</v>
      </c>
      <c r="I587" t="str">
        <f>TEXT(walmart[[#This Row],[Purchase_Date]],"MMM")</f>
        <v>Nov</v>
      </c>
      <c r="J587" t="str">
        <f>TEXT(walmart[[#This Row],[Purchase_Date]],"YYY")</f>
        <v>2024</v>
      </c>
      <c r="K587" s="3">
        <v>493.96</v>
      </c>
      <c r="L587" t="str">
        <f t="shared" si="45"/>
        <v>5% off</v>
      </c>
      <c r="M587" s="3">
        <f t="shared" si="46"/>
        <v>24.698</v>
      </c>
      <c r="N587" t="str">
        <f t="shared" si="47"/>
        <v>Yes</v>
      </c>
      <c r="O587" t="s">
        <v>21</v>
      </c>
      <c r="P587" s="3">
        <f t="shared" si="48"/>
        <v>469.262</v>
      </c>
      <c r="Q587" t="s">
        <v>27</v>
      </c>
      <c r="R587">
        <v>2</v>
      </c>
      <c r="S587" t="str">
        <f t="shared" si="49"/>
        <v>Poor</v>
      </c>
    </row>
    <row r="588" spans="1:19" x14ac:dyDescent="0.25">
      <c r="A588" t="s">
        <v>942</v>
      </c>
      <c r="B588">
        <v>43</v>
      </c>
      <c r="C588" t="s">
        <v>16</v>
      </c>
      <c r="D588" t="s">
        <v>2556</v>
      </c>
      <c r="E588" t="s">
        <v>31</v>
      </c>
      <c r="F588" t="s">
        <v>300</v>
      </c>
      <c r="G588" t="s">
        <v>157</v>
      </c>
      <c r="H588" t="str">
        <f>TEXT(walmart[[#This Row],[Purchase_Date]],"DDD")</f>
        <v>Mon</v>
      </c>
      <c r="I588" t="str">
        <f>TEXT(walmart[[#This Row],[Purchase_Date]],"MMM")</f>
        <v>Jun</v>
      </c>
      <c r="J588" t="str">
        <f>TEXT(walmart[[#This Row],[Purchase_Date]],"YYY")</f>
        <v>2024</v>
      </c>
      <c r="K588" s="3">
        <v>340.04</v>
      </c>
      <c r="L588" t="str">
        <f t="shared" si="45"/>
        <v>5% off</v>
      </c>
      <c r="M588" s="3">
        <f t="shared" si="46"/>
        <v>17.002000000000002</v>
      </c>
      <c r="N588" t="str">
        <f t="shared" si="47"/>
        <v>Yes</v>
      </c>
      <c r="O588" t="s">
        <v>34</v>
      </c>
      <c r="P588" s="3">
        <f t="shared" si="48"/>
        <v>323.03800000000001</v>
      </c>
      <c r="Q588" t="s">
        <v>35</v>
      </c>
      <c r="R588">
        <v>3</v>
      </c>
      <c r="S588" t="str">
        <f t="shared" si="49"/>
        <v>Average</v>
      </c>
    </row>
    <row r="589" spans="1:19" x14ac:dyDescent="0.25">
      <c r="A589" t="s">
        <v>943</v>
      </c>
      <c r="B589">
        <v>30</v>
      </c>
      <c r="C589" t="s">
        <v>16</v>
      </c>
      <c r="D589" t="s">
        <v>2557</v>
      </c>
      <c r="E589" t="s">
        <v>24</v>
      </c>
      <c r="F589" t="s">
        <v>162</v>
      </c>
      <c r="G589" t="s">
        <v>373</v>
      </c>
      <c r="H589" t="str">
        <f>TEXT(walmart[[#This Row],[Purchase_Date]],"DDD")</f>
        <v>Sat</v>
      </c>
      <c r="I589" t="str">
        <f>TEXT(walmart[[#This Row],[Purchase_Date]],"MMM")</f>
        <v>Dec</v>
      </c>
      <c r="J589" t="str">
        <f>TEXT(walmart[[#This Row],[Purchase_Date]],"YYY")</f>
        <v>2024</v>
      </c>
      <c r="K589" s="3">
        <v>362.55</v>
      </c>
      <c r="L589" t="str">
        <f t="shared" si="45"/>
        <v>5% off</v>
      </c>
      <c r="M589" s="3">
        <f t="shared" si="46"/>
        <v>18.127500000000001</v>
      </c>
      <c r="N589" t="str">
        <f t="shared" si="47"/>
        <v>Yes</v>
      </c>
      <c r="O589" t="s">
        <v>34</v>
      </c>
      <c r="P589" s="3">
        <f t="shared" si="48"/>
        <v>344.42250000000001</v>
      </c>
      <c r="Q589" t="s">
        <v>47</v>
      </c>
      <c r="R589">
        <v>5</v>
      </c>
      <c r="S589" t="str">
        <f t="shared" si="49"/>
        <v>Excellent</v>
      </c>
    </row>
    <row r="590" spans="1:19" x14ac:dyDescent="0.25">
      <c r="A590" t="s">
        <v>944</v>
      </c>
      <c r="B590">
        <v>24</v>
      </c>
      <c r="C590" t="s">
        <v>16</v>
      </c>
      <c r="D590" t="s">
        <v>2558</v>
      </c>
      <c r="E590" t="s">
        <v>73</v>
      </c>
      <c r="F590" t="s">
        <v>91</v>
      </c>
      <c r="G590" t="s">
        <v>520</v>
      </c>
      <c r="H590" t="str">
        <f>TEXT(walmart[[#This Row],[Purchase_Date]],"DDD")</f>
        <v>Fri</v>
      </c>
      <c r="I590" t="str">
        <f>TEXT(walmart[[#This Row],[Purchase_Date]],"MMM")</f>
        <v>Mar</v>
      </c>
      <c r="J590" t="str">
        <f>TEXT(walmart[[#This Row],[Purchase_Date]],"YYY")</f>
        <v>2025</v>
      </c>
      <c r="K590" s="3">
        <v>418.55</v>
      </c>
      <c r="L590" t="str">
        <f t="shared" si="45"/>
        <v>5% off</v>
      </c>
      <c r="M590" s="3">
        <f t="shared" si="46"/>
        <v>20.927500000000002</v>
      </c>
      <c r="N590" t="str">
        <f t="shared" si="47"/>
        <v>Yes</v>
      </c>
      <c r="O590" t="s">
        <v>21</v>
      </c>
      <c r="P590" s="3">
        <f t="shared" si="48"/>
        <v>397.6225</v>
      </c>
      <c r="Q590" t="s">
        <v>35</v>
      </c>
      <c r="R590">
        <v>4</v>
      </c>
      <c r="S590" t="str">
        <f t="shared" si="49"/>
        <v>Good</v>
      </c>
    </row>
    <row r="591" spans="1:19" x14ac:dyDescent="0.25">
      <c r="A591" t="s">
        <v>945</v>
      </c>
      <c r="B591">
        <v>34</v>
      </c>
      <c r="C591" t="s">
        <v>16</v>
      </c>
      <c r="D591" t="s">
        <v>2559</v>
      </c>
      <c r="E591" t="s">
        <v>37</v>
      </c>
      <c r="F591" t="s">
        <v>38</v>
      </c>
      <c r="G591" t="s">
        <v>160</v>
      </c>
      <c r="H591" t="str">
        <f>TEXT(walmart[[#This Row],[Purchase_Date]],"DDD")</f>
        <v>Tue</v>
      </c>
      <c r="I591" t="str">
        <f>TEXT(walmart[[#This Row],[Purchase_Date]],"MMM")</f>
        <v>Oct</v>
      </c>
      <c r="J591" t="str">
        <f>TEXT(walmart[[#This Row],[Purchase_Date]],"YYY")</f>
        <v>2024</v>
      </c>
      <c r="K591" s="3">
        <v>211.46</v>
      </c>
      <c r="L591" t="str">
        <f t="shared" si="45"/>
        <v>5% off</v>
      </c>
      <c r="M591" s="3">
        <f t="shared" si="46"/>
        <v>10.573</v>
      </c>
      <c r="N591" t="str">
        <f t="shared" si="47"/>
        <v>Yes</v>
      </c>
      <c r="O591" t="s">
        <v>21</v>
      </c>
      <c r="P591" s="3">
        <f t="shared" si="48"/>
        <v>200.887</v>
      </c>
      <c r="Q591" t="s">
        <v>27</v>
      </c>
      <c r="R591">
        <v>1</v>
      </c>
      <c r="S591" t="str">
        <f t="shared" si="49"/>
        <v>Very Poor</v>
      </c>
    </row>
    <row r="592" spans="1:19" x14ac:dyDescent="0.25">
      <c r="A592" t="s">
        <v>946</v>
      </c>
      <c r="B592">
        <v>35</v>
      </c>
      <c r="C592" t="s">
        <v>29</v>
      </c>
      <c r="D592" t="s">
        <v>2560</v>
      </c>
      <c r="E592" t="s">
        <v>73</v>
      </c>
      <c r="F592" t="s">
        <v>91</v>
      </c>
      <c r="G592" t="s">
        <v>947</v>
      </c>
      <c r="H592" t="str">
        <f>TEXT(walmart[[#This Row],[Purchase_Date]],"DDD")</f>
        <v>Sat</v>
      </c>
      <c r="I592" t="str">
        <f>TEXT(walmart[[#This Row],[Purchase_Date]],"MMM")</f>
        <v>May</v>
      </c>
      <c r="J592" t="str">
        <f>TEXT(walmart[[#This Row],[Purchase_Date]],"YYY")</f>
        <v>2024</v>
      </c>
      <c r="K592" s="3">
        <v>418.55</v>
      </c>
      <c r="L592" t="str">
        <f t="shared" si="45"/>
        <v>5% off</v>
      </c>
      <c r="M592" s="3">
        <f t="shared" si="46"/>
        <v>20.927500000000002</v>
      </c>
      <c r="N592" t="str">
        <f t="shared" si="47"/>
        <v>Yes</v>
      </c>
      <c r="O592" t="s">
        <v>34</v>
      </c>
      <c r="P592" s="3">
        <f t="shared" si="48"/>
        <v>397.6225</v>
      </c>
      <c r="Q592" t="s">
        <v>47</v>
      </c>
      <c r="R592">
        <v>5</v>
      </c>
      <c r="S592" t="str">
        <f t="shared" si="49"/>
        <v>Excellent</v>
      </c>
    </row>
    <row r="593" spans="1:19" x14ac:dyDescent="0.25">
      <c r="A593" t="s">
        <v>948</v>
      </c>
      <c r="B593">
        <v>32</v>
      </c>
      <c r="C593" t="s">
        <v>29</v>
      </c>
      <c r="D593" t="s">
        <v>2561</v>
      </c>
      <c r="E593" t="s">
        <v>73</v>
      </c>
      <c r="F593" t="s">
        <v>138</v>
      </c>
      <c r="G593" t="s">
        <v>287</v>
      </c>
      <c r="H593" t="str">
        <f>TEXT(walmart[[#This Row],[Purchase_Date]],"DDD")</f>
        <v>Sun</v>
      </c>
      <c r="I593" t="str">
        <f>TEXT(walmart[[#This Row],[Purchase_Date]],"MMM")</f>
        <v>Jul</v>
      </c>
      <c r="J593" t="str">
        <f>TEXT(walmart[[#This Row],[Purchase_Date]],"YYY")</f>
        <v>2024</v>
      </c>
      <c r="K593" s="3">
        <v>461.81</v>
      </c>
      <c r="L593" t="str">
        <f t="shared" si="45"/>
        <v>5% off</v>
      </c>
      <c r="M593" s="3">
        <f t="shared" si="46"/>
        <v>23.090500000000002</v>
      </c>
      <c r="N593" t="str">
        <f t="shared" si="47"/>
        <v>Yes</v>
      </c>
      <c r="O593" t="s">
        <v>21</v>
      </c>
      <c r="P593" s="3">
        <f t="shared" si="48"/>
        <v>438.71949999999998</v>
      </c>
      <c r="Q593" t="s">
        <v>22</v>
      </c>
      <c r="R593">
        <v>4</v>
      </c>
      <c r="S593" t="str">
        <f t="shared" si="49"/>
        <v>Good</v>
      </c>
    </row>
    <row r="594" spans="1:19" x14ac:dyDescent="0.25">
      <c r="A594" t="s">
        <v>949</v>
      </c>
      <c r="B594">
        <v>37</v>
      </c>
      <c r="C594" t="s">
        <v>16</v>
      </c>
      <c r="D594" t="s">
        <v>2501</v>
      </c>
      <c r="E594" t="s">
        <v>55</v>
      </c>
      <c r="F594" t="s">
        <v>56</v>
      </c>
      <c r="G594" t="s">
        <v>950</v>
      </c>
      <c r="H594" t="str">
        <f>TEXT(walmart[[#This Row],[Purchase_Date]],"DDD")</f>
        <v>Tue</v>
      </c>
      <c r="I594" t="str">
        <f>TEXT(walmart[[#This Row],[Purchase_Date]],"MMM")</f>
        <v>May</v>
      </c>
      <c r="J594" t="str">
        <f>TEXT(walmart[[#This Row],[Purchase_Date]],"YYY")</f>
        <v>2024</v>
      </c>
      <c r="K594" s="3">
        <v>76.81</v>
      </c>
      <c r="L594" t="str">
        <f t="shared" si="45"/>
        <v>0% off</v>
      </c>
      <c r="M594" s="3">
        <f t="shared" si="46"/>
        <v>0</v>
      </c>
      <c r="N594" t="str">
        <f t="shared" si="47"/>
        <v>No</v>
      </c>
      <c r="O594" t="s">
        <v>34</v>
      </c>
      <c r="P594" s="3">
        <f t="shared" si="48"/>
        <v>76.81</v>
      </c>
      <c r="Q594" t="s">
        <v>27</v>
      </c>
      <c r="R594">
        <v>2</v>
      </c>
      <c r="S594" t="str">
        <f t="shared" si="49"/>
        <v>Poor</v>
      </c>
    </row>
    <row r="595" spans="1:19" x14ac:dyDescent="0.25">
      <c r="A595" t="s">
        <v>951</v>
      </c>
      <c r="B595">
        <v>53</v>
      </c>
      <c r="C595" t="s">
        <v>16</v>
      </c>
      <c r="D595" t="s">
        <v>2504</v>
      </c>
      <c r="E595" t="s">
        <v>55</v>
      </c>
      <c r="F595" t="s">
        <v>56</v>
      </c>
      <c r="G595" t="s">
        <v>952</v>
      </c>
      <c r="H595" t="str">
        <f>TEXT(walmart[[#This Row],[Purchase_Date]],"DDD")</f>
        <v>Sun</v>
      </c>
      <c r="I595" t="str">
        <f>TEXT(walmart[[#This Row],[Purchase_Date]],"MMM")</f>
        <v>Sep</v>
      </c>
      <c r="J595" t="str">
        <f>TEXT(walmart[[#This Row],[Purchase_Date]],"YYY")</f>
        <v>2024</v>
      </c>
      <c r="K595" s="3">
        <v>76.81</v>
      </c>
      <c r="L595" t="str">
        <f t="shared" si="45"/>
        <v>0% off</v>
      </c>
      <c r="M595" s="3">
        <f t="shared" si="46"/>
        <v>0</v>
      </c>
      <c r="N595" t="str">
        <f t="shared" si="47"/>
        <v>No</v>
      </c>
      <c r="O595" t="s">
        <v>34</v>
      </c>
      <c r="P595" s="3">
        <f t="shared" si="48"/>
        <v>76.81</v>
      </c>
      <c r="Q595" t="s">
        <v>47</v>
      </c>
      <c r="R595">
        <v>3</v>
      </c>
      <c r="S595" t="str">
        <f t="shared" si="49"/>
        <v>Average</v>
      </c>
    </row>
    <row r="596" spans="1:19" x14ac:dyDescent="0.25">
      <c r="A596" t="s">
        <v>953</v>
      </c>
      <c r="B596">
        <v>68</v>
      </c>
      <c r="C596" t="s">
        <v>29</v>
      </c>
      <c r="D596" t="s">
        <v>2505</v>
      </c>
      <c r="E596" t="s">
        <v>18</v>
      </c>
      <c r="F596" t="s">
        <v>19</v>
      </c>
      <c r="G596" t="s">
        <v>514</v>
      </c>
      <c r="H596" t="str">
        <f>TEXT(walmart[[#This Row],[Purchase_Date]],"DDD")</f>
        <v>Sat</v>
      </c>
      <c r="I596" t="str">
        <f>TEXT(walmart[[#This Row],[Purchase_Date]],"MMM")</f>
        <v>Feb</v>
      </c>
      <c r="J596" t="str">
        <f>TEXT(walmart[[#This Row],[Purchase_Date]],"YYY")</f>
        <v>2025</v>
      </c>
      <c r="K596" s="3">
        <v>697.86</v>
      </c>
      <c r="L596" t="str">
        <f t="shared" si="45"/>
        <v>10% off</v>
      </c>
      <c r="M596" s="3">
        <f t="shared" si="46"/>
        <v>69.786000000000001</v>
      </c>
      <c r="N596" t="str">
        <f t="shared" si="47"/>
        <v>Yes</v>
      </c>
      <c r="O596" t="s">
        <v>21</v>
      </c>
      <c r="P596" s="3">
        <f t="shared" si="48"/>
        <v>628.07400000000007</v>
      </c>
      <c r="Q596" t="s">
        <v>47</v>
      </c>
      <c r="R596">
        <v>2</v>
      </c>
      <c r="S596" t="str">
        <f t="shared" si="49"/>
        <v>Poor</v>
      </c>
    </row>
    <row r="597" spans="1:19" x14ac:dyDescent="0.25">
      <c r="A597" t="s">
        <v>954</v>
      </c>
      <c r="B597">
        <v>18</v>
      </c>
      <c r="C597" t="s">
        <v>29</v>
      </c>
      <c r="D597" t="s">
        <v>2562</v>
      </c>
      <c r="E597" t="s">
        <v>37</v>
      </c>
      <c r="F597" t="s">
        <v>82</v>
      </c>
      <c r="G597" t="s">
        <v>955</v>
      </c>
      <c r="H597" t="str">
        <f>TEXT(walmart[[#This Row],[Purchase_Date]],"DDD")</f>
        <v>Sun</v>
      </c>
      <c r="I597" t="str">
        <f>TEXT(walmart[[#This Row],[Purchase_Date]],"MMM")</f>
        <v>Jun</v>
      </c>
      <c r="J597" t="str">
        <f>TEXT(walmart[[#This Row],[Purchase_Date]],"YYY")</f>
        <v>2024</v>
      </c>
      <c r="K597" s="3">
        <v>270.41000000000003</v>
      </c>
      <c r="L597" t="str">
        <f t="shared" si="45"/>
        <v>5% off</v>
      </c>
      <c r="M597" s="3">
        <f t="shared" si="46"/>
        <v>13.520500000000002</v>
      </c>
      <c r="N597" t="str">
        <f t="shared" si="47"/>
        <v>Yes</v>
      </c>
      <c r="O597" t="s">
        <v>34</v>
      </c>
      <c r="P597" s="3">
        <f t="shared" si="48"/>
        <v>256.8895</v>
      </c>
      <c r="Q597" t="s">
        <v>35</v>
      </c>
      <c r="R597">
        <v>4</v>
      </c>
      <c r="S597" t="str">
        <f t="shared" si="49"/>
        <v>Good</v>
      </c>
    </row>
    <row r="598" spans="1:19" x14ac:dyDescent="0.25">
      <c r="A598" t="s">
        <v>956</v>
      </c>
      <c r="B598">
        <v>30</v>
      </c>
      <c r="C598" t="s">
        <v>16</v>
      </c>
      <c r="D598" t="s">
        <v>2563</v>
      </c>
      <c r="E598" t="s">
        <v>37</v>
      </c>
      <c r="F598" t="s">
        <v>97</v>
      </c>
      <c r="G598" t="s">
        <v>457</v>
      </c>
      <c r="H598" t="str">
        <f>TEXT(walmart[[#This Row],[Purchase_Date]],"DDD")</f>
        <v>Thu</v>
      </c>
      <c r="I598" t="str">
        <f>TEXT(walmart[[#This Row],[Purchase_Date]],"MMM")</f>
        <v>Apr</v>
      </c>
      <c r="J598" t="str">
        <f>TEXT(walmart[[#This Row],[Purchase_Date]],"YYY")</f>
        <v>2024</v>
      </c>
      <c r="K598" s="3">
        <v>855.21</v>
      </c>
      <c r="L598" t="str">
        <f t="shared" si="45"/>
        <v>15% off</v>
      </c>
      <c r="M598" s="3">
        <f t="shared" si="46"/>
        <v>128.28149999999999</v>
      </c>
      <c r="N598" t="str">
        <f t="shared" si="47"/>
        <v>Yes</v>
      </c>
      <c r="O598" t="s">
        <v>34</v>
      </c>
      <c r="P598" s="3">
        <f t="shared" si="48"/>
        <v>726.92849999999999</v>
      </c>
      <c r="Q598" t="s">
        <v>27</v>
      </c>
      <c r="R598">
        <v>3</v>
      </c>
      <c r="S598" t="str">
        <f t="shared" si="49"/>
        <v>Average</v>
      </c>
    </row>
    <row r="599" spans="1:19" x14ac:dyDescent="0.25">
      <c r="A599" t="s">
        <v>957</v>
      </c>
      <c r="B599">
        <v>24</v>
      </c>
      <c r="C599" t="s">
        <v>16</v>
      </c>
      <c r="D599" t="s">
        <v>2564</v>
      </c>
      <c r="E599" t="s">
        <v>31</v>
      </c>
      <c r="F599" t="s">
        <v>169</v>
      </c>
      <c r="G599" t="s">
        <v>545</v>
      </c>
      <c r="H599" t="str">
        <f>TEXT(walmart[[#This Row],[Purchase_Date]],"DDD")</f>
        <v>Wed</v>
      </c>
      <c r="I599" t="str">
        <f>TEXT(walmart[[#This Row],[Purchase_Date]],"MMM")</f>
        <v>Feb</v>
      </c>
      <c r="J599" t="str">
        <f>TEXT(walmart[[#This Row],[Purchase_Date]],"YYY")</f>
        <v>2025</v>
      </c>
      <c r="K599" s="3">
        <v>52.44</v>
      </c>
      <c r="L599" t="str">
        <f t="shared" si="45"/>
        <v>0% off</v>
      </c>
      <c r="M599" s="3">
        <f t="shared" si="46"/>
        <v>0</v>
      </c>
      <c r="N599" t="str">
        <f t="shared" si="47"/>
        <v>No</v>
      </c>
      <c r="O599" t="s">
        <v>34</v>
      </c>
      <c r="P599" s="3">
        <f t="shared" si="48"/>
        <v>52.44</v>
      </c>
      <c r="Q599" t="s">
        <v>22</v>
      </c>
      <c r="R599">
        <v>2</v>
      </c>
      <c r="S599" t="str">
        <f t="shared" si="49"/>
        <v>Poor</v>
      </c>
    </row>
    <row r="600" spans="1:19" x14ac:dyDescent="0.25">
      <c r="A600" t="s">
        <v>958</v>
      </c>
      <c r="B600">
        <v>41</v>
      </c>
      <c r="C600" t="s">
        <v>29</v>
      </c>
      <c r="D600" t="s">
        <v>2565</v>
      </c>
      <c r="E600" t="s">
        <v>73</v>
      </c>
      <c r="F600" t="s">
        <v>74</v>
      </c>
      <c r="G600" t="s">
        <v>959</v>
      </c>
      <c r="H600" t="str">
        <f>TEXT(walmart[[#This Row],[Purchase_Date]],"DDD")</f>
        <v>Mon</v>
      </c>
      <c r="I600" t="str">
        <f>TEXT(walmart[[#This Row],[Purchase_Date]],"MMM")</f>
        <v>Dec</v>
      </c>
      <c r="J600" t="str">
        <f>TEXT(walmart[[#This Row],[Purchase_Date]],"YYY")</f>
        <v>2024</v>
      </c>
      <c r="K600" s="3">
        <v>782.29</v>
      </c>
      <c r="L600" t="str">
        <f t="shared" si="45"/>
        <v>15% off</v>
      </c>
      <c r="M600" s="3">
        <f t="shared" si="46"/>
        <v>117.34349999999999</v>
      </c>
      <c r="N600" t="str">
        <f t="shared" si="47"/>
        <v>Yes</v>
      </c>
      <c r="O600" t="s">
        <v>21</v>
      </c>
      <c r="P600" s="3">
        <f t="shared" si="48"/>
        <v>664.94650000000001</v>
      </c>
      <c r="Q600" t="s">
        <v>27</v>
      </c>
      <c r="R600">
        <v>5</v>
      </c>
      <c r="S600" t="str">
        <f t="shared" si="49"/>
        <v>Excellent</v>
      </c>
    </row>
    <row r="601" spans="1:19" x14ac:dyDescent="0.25">
      <c r="A601" t="s">
        <v>960</v>
      </c>
      <c r="B601">
        <v>59</v>
      </c>
      <c r="C601" t="s">
        <v>29</v>
      </c>
      <c r="D601" t="s">
        <v>2566</v>
      </c>
      <c r="E601" t="s">
        <v>37</v>
      </c>
      <c r="F601" t="s">
        <v>38</v>
      </c>
      <c r="G601" t="s">
        <v>961</v>
      </c>
      <c r="H601" t="str">
        <f>TEXT(walmart[[#This Row],[Purchase_Date]],"DDD")</f>
        <v>Sun</v>
      </c>
      <c r="I601" t="str">
        <f>TEXT(walmart[[#This Row],[Purchase_Date]],"MMM")</f>
        <v>Jul</v>
      </c>
      <c r="J601" t="str">
        <f>TEXT(walmart[[#This Row],[Purchase_Date]],"YYY")</f>
        <v>2024</v>
      </c>
      <c r="K601" s="3">
        <v>211.46</v>
      </c>
      <c r="L601" t="str">
        <f t="shared" si="45"/>
        <v>5% off</v>
      </c>
      <c r="M601" s="3">
        <f t="shared" si="46"/>
        <v>10.573</v>
      </c>
      <c r="N601" t="str">
        <f t="shared" si="47"/>
        <v>Yes</v>
      </c>
      <c r="O601" t="s">
        <v>21</v>
      </c>
      <c r="P601" s="3">
        <f t="shared" si="48"/>
        <v>200.887</v>
      </c>
      <c r="Q601" t="s">
        <v>47</v>
      </c>
      <c r="R601">
        <v>1</v>
      </c>
      <c r="S601" t="str">
        <f t="shared" si="49"/>
        <v>Very Poor</v>
      </c>
    </row>
    <row r="602" spans="1:19" x14ac:dyDescent="0.25">
      <c r="A602" t="s">
        <v>962</v>
      </c>
      <c r="B602">
        <v>63</v>
      </c>
      <c r="C602" t="s">
        <v>29</v>
      </c>
      <c r="D602" t="s">
        <v>2433</v>
      </c>
      <c r="E602" t="s">
        <v>24</v>
      </c>
      <c r="F602" t="s">
        <v>209</v>
      </c>
      <c r="G602" t="s">
        <v>605</v>
      </c>
      <c r="H602" t="str">
        <f>TEXT(walmart[[#This Row],[Purchase_Date]],"DDD")</f>
        <v>Sun</v>
      </c>
      <c r="I602" t="str">
        <f>TEXT(walmart[[#This Row],[Purchase_Date]],"MMM")</f>
        <v>Mar</v>
      </c>
      <c r="J602" t="str">
        <f>TEXT(walmart[[#This Row],[Purchase_Date]],"YYY")</f>
        <v>2025</v>
      </c>
      <c r="K602" s="3">
        <v>775.75</v>
      </c>
      <c r="L602" t="str">
        <f t="shared" si="45"/>
        <v>15% off</v>
      </c>
      <c r="M602" s="3">
        <f t="shared" si="46"/>
        <v>116.3625</v>
      </c>
      <c r="N602" t="str">
        <f t="shared" si="47"/>
        <v>Yes</v>
      </c>
      <c r="O602" t="s">
        <v>34</v>
      </c>
      <c r="P602" s="3">
        <f t="shared" si="48"/>
        <v>659.38750000000005</v>
      </c>
      <c r="Q602" t="s">
        <v>22</v>
      </c>
      <c r="R602">
        <v>5</v>
      </c>
      <c r="S602" t="str">
        <f t="shared" si="49"/>
        <v>Excellent</v>
      </c>
    </row>
    <row r="603" spans="1:19" x14ac:dyDescent="0.25">
      <c r="A603" t="s">
        <v>963</v>
      </c>
      <c r="B603">
        <v>30</v>
      </c>
      <c r="C603" t="s">
        <v>29</v>
      </c>
      <c r="D603" t="s">
        <v>49</v>
      </c>
      <c r="E603" t="s">
        <v>55</v>
      </c>
      <c r="F603" t="s">
        <v>67</v>
      </c>
      <c r="G603" t="s">
        <v>888</v>
      </c>
      <c r="H603" t="str">
        <f>TEXT(walmart[[#This Row],[Purchase_Date]],"DDD")</f>
        <v>Tue</v>
      </c>
      <c r="I603" t="str">
        <f>TEXT(walmart[[#This Row],[Purchase_Date]],"MMM")</f>
        <v>Sep</v>
      </c>
      <c r="J603" t="str">
        <f>TEXT(walmart[[#This Row],[Purchase_Date]],"YYY")</f>
        <v>2024</v>
      </c>
      <c r="K603" s="3">
        <v>452.97</v>
      </c>
      <c r="L603" t="str">
        <f t="shared" si="45"/>
        <v>5% off</v>
      </c>
      <c r="M603" s="3">
        <f t="shared" si="46"/>
        <v>22.648500000000002</v>
      </c>
      <c r="N603" t="str">
        <f t="shared" si="47"/>
        <v>Yes</v>
      </c>
      <c r="O603" t="s">
        <v>21</v>
      </c>
      <c r="P603" s="3">
        <f t="shared" si="48"/>
        <v>430.32150000000001</v>
      </c>
      <c r="Q603" t="s">
        <v>47</v>
      </c>
      <c r="R603">
        <v>4</v>
      </c>
      <c r="S603" t="str">
        <f t="shared" si="49"/>
        <v>Good</v>
      </c>
    </row>
    <row r="604" spans="1:19" x14ac:dyDescent="0.25">
      <c r="A604" t="s">
        <v>964</v>
      </c>
      <c r="B604">
        <v>52</v>
      </c>
      <c r="C604" t="s">
        <v>29</v>
      </c>
      <c r="D604" t="s">
        <v>30</v>
      </c>
      <c r="E604" t="s">
        <v>37</v>
      </c>
      <c r="F604" t="s">
        <v>117</v>
      </c>
      <c r="G604" t="s">
        <v>584</v>
      </c>
      <c r="H604" t="str">
        <f>TEXT(walmart[[#This Row],[Purchase_Date]],"DDD")</f>
        <v>Sat</v>
      </c>
      <c r="I604" t="str">
        <f>TEXT(walmart[[#This Row],[Purchase_Date]],"MMM")</f>
        <v>Mar</v>
      </c>
      <c r="J604" t="str">
        <f>TEXT(walmart[[#This Row],[Purchase_Date]],"YYY")</f>
        <v>2025</v>
      </c>
      <c r="K604" s="3">
        <v>165.68</v>
      </c>
      <c r="L604" t="str">
        <f t="shared" si="45"/>
        <v>5% off</v>
      </c>
      <c r="M604" s="3">
        <f t="shared" si="46"/>
        <v>8.2840000000000007</v>
      </c>
      <c r="N604" t="str">
        <f t="shared" si="47"/>
        <v>Yes</v>
      </c>
      <c r="O604" t="s">
        <v>34</v>
      </c>
      <c r="P604" s="3">
        <f t="shared" si="48"/>
        <v>157.39600000000002</v>
      </c>
      <c r="Q604" t="s">
        <v>35</v>
      </c>
      <c r="R604">
        <v>3</v>
      </c>
      <c r="S604" t="str">
        <f t="shared" si="49"/>
        <v>Average</v>
      </c>
    </row>
    <row r="605" spans="1:19" x14ac:dyDescent="0.25">
      <c r="A605" t="s">
        <v>965</v>
      </c>
      <c r="B605">
        <v>49</v>
      </c>
      <c r="C605" t="s">
        <v>29</v>
      </c>
      <c r="D605" t="s">
        <v>41</v>
      </c>
      <c r="E605" t="s">
        <v>24</v>
      </c>
      <c r="F605" t="s">
        <v>186</v>
      </c>
      <c r="G605" t="s">
        <v>231</v>
      </c>
      <c r="H605" t="str">
        <f>TEXT(walmart[[#This Row],[Purchase_Date]],"DDD")</f>
        <v>Thu</v>
      </c>
      <c r="I605" t="str">
        <f>TEXT(walmart[[#This Row],[Purchase_Date]],"MMM")</f>
        <v>Oct</v>
      </c>
      <c r="J605" t="str">
        <f>TEXT(walmart[[#This Row],[Purchase_Date]],"YYY")</f>
        <v>2024</v>
      </c>
      <c r="K605" s="3">
        <v>527.16999999999996</v>
      </c>
      <c r="L605" t="str">
        <f t="shared" si="45"/>
        <v>10% off</v>
      </c>
      <c r="M605" s="3">
        <f t="shared" si="46"/>
        <v>52.716999999999999</v>
      </c>
      <c r="N605" t="str">
        <f t="shared" si="47"/>
        <v>Yes</v>
      </c>
      <c r="O605" t="s">
        <v>34</v>
      </c>
      <c r="P605" s="3">
        <f t="shared" si="48"/>
        <v>474.45299999999997</v>
      </c>
      <c r="Q605" t="s">
        <v>47</v>
      </c>
      <c r="R605">
        <v>3</v>
      </c>
      <c r="S605" t="str">
        <f t="shared" si="49"/>
        <v>Average</v>
      </c>
    </row>
    <row r="606" spans="1:19" x14ac:dyDescent="0.25">
      <c r="A606" t="s">
        <v>966</v>
      </c>
      <c r="B606">
        <v>49</v>
      </c>
      <c r="C606" t="s">
        <v>29</v>
      </c>
      <c r="D606" t="s">
        <v>2434</v>
      </c>
      <c r="E606" t="s">
        <v>73</v>
      </c>
      <c r="F606" t="s">
        <v>74</v>
      </c>
      <c r="G606" t="s">
        <v>558</v>
      </c>
      <c r="H606" t="str">
        <f>TEXT(walmart[[#This Row],[Purchase_Date]],"DDD")</f>
        <v>Tue</v>
      </c>
      <c r="I606" t="str">
        <f>TEXT(walmart[[#This Row],[Purchase_Date]],"MMM")</f>
        <v>Dec</v>
      </c>
      <c r="J606" t="str">
        <f>TEXT(walmart[[#This Row],[Purchase_Date]],"YYY")</f>
        <v>2024</v>
      </c>
      <c r="K606" s="3">
        <v>782.29</v>
      </c>
      <c r="L606" t="str">
        <f t="shared" si="45"/>
        <v>15% off</v>
      </c>
      <c r="M606" s="3">
        <f t="shared" si="46"/>
        <v>117.34349999999999</v>
      </c>
      <c r="N606" t="str">
        <f t="shared" si="47"/>
        <v>Yes</v>
      </c>
      <c r="O606" t="s">
        <v>21</v>
      </c>
      <c r="P606" s="3">
        <f t="shared" si="48"/>
        <v>664.94650000000001</v>
      </c>
      <c r="Q606" t="s">
        <v>22</v>
      </c>
      <c r="R606">
        <v>5</v>
      </c>
      <c r="S606" t="str">
        <f t="shared" si="49"/>
        <v>Excellent</v>
      </c>
    </row>
    <row r="607" spans="1:19" x14ac:dyDescent="0.25">
      <c r="A607" t="s">
        <v>967</v>
      </c>
      <c r="B607">
        <v>32</v>
      </c>
      <c r="C607" t="s">
        <v>29</v>
      </c>
      <c r="D607" t="s">
        <v>2435</v>
      </c>
      <c r="E607" t="s">
        <v>24</v>
      </c>
      <c r="F607" t="s">
        <v>25</v>
      </c>
      <c r="G607" t="s">
        <v>968</v>
      </c>
      <c r="H607" t="str">
        <f>TEXT(walmart[[#This Row],[Purchase_Date]],"DDD")</f>
        <v>Sat</v>
      </c>
      <c r="I607" t="str">
        <f>TEXT(walmart[[#This Row],[Purchase_Date]],"MMM")</f>
        <v>Jan</v>
      </c>
      <c r="J607" t="str">
        <f>TEXT(walmart[[#This Row],[Purchase_Date]],"YYY")</f>
        <v>2025</v>
      </c>
      <c r="K607" s="3">
        <v>67.040000000000006</v>
      </c>
      <c r="L607" t="str">
        <f t="shared" si="45"/>
        <v>0% off</v>
      </c>
      <c r="M607" s="3">
        <f t="shared" si="46"/>
        <v>0</v>
      </c>
      <c r="N607" t="str">
        <f t="shared" si="47"/>
        <v>No</v>
      </c>
      <c r="O607" t="s">
        <v>21</v>
      </c>
      <c r="P607" s="3">
        <f t="shared" si="48"/>
        <v>67.040000000000006</v>
      </c>
      <c r="Q607" t="s">
        <v>27</v>
      </c>
      <c r="R607">
        <v>1</v>
      </c>
      <c r="S607" t="str">
        <f t="shared" si="49"/>
        <v>Very Poor</v>
      </c>
    </row>
    <row r="608" spans="1:19" x14ac:dyDescent="0.25">
      <c r="A608" t="s">
        <v>969</v>
      </c>
      <c r="B608">
        <v>30</v>
      </c>
      <c r="C608" t="s">
        <v>29</v>
      </c>
      <c r="D608" t="s">
        <v>2436</v>
      </c>
      <c r="E608" t="s">
        <v>55</v>
      </c>
      <c r="F608" t="s">
        <v>64</v>
      </c>
      <c r="G608" t="s">
        <v>181</v>
      </c>
      <c r="H608" t="str">
        <f>TEXT(walmart[[#This Row],[Purchase_Date]],"DDD")</f>
        <v>Sat</v>
      </c>
      <c r="I608" t="str">
        <f>TEXT(walmart[[#This Row],[Purchase_Date]],"MMM")</f>
        <v>Oct</v>
      </c>
      <c r="J608" t="str">
        <f>TEXT(walmart[[#This Row],[Purchase_Date]],"YYY")</f>
        <v>2024</v>
      </c>
      <c r="K608" s="3">
        <v>374.92</v>
      </c>
      <c r="L608" t="str">
        <f t="shared" si="45"/>
        <v>5% off</v>
      </c>
      <c r="M608" s="3">
        <f t="shared" si="46"/>
        <v>18.746000000000002</v>
      </c>
      <c r="N608" t="str">
        <f t="shared" si="47"/>
        <v>Yes</v>
      </c>
      <c r="O608" t="s">
        <v>34</v>
      </c>
      <c r="P608" s="3">
        <f t="shared" si="48"/>
        <v>356.17400000000004</v>
      </c>
      <c r="Q608" t="s">
        <v>35</v>
      </c>
      <c r="R608">
        <v>1</v>
      </c>
      <c r="S608" t="str">
        <f t="shared" si="49"/>
        <v>Very Poor</v>
      </c>
    </row>
    <row r="609" spans="1:19" x14ac:dyDescent="0.25">
      <c r="A609" t="s">
        <v>970</v>
      </c>
      <c r="B609">
        <v>44</v>
      </c>
      <c r="C609" t="s">
        <v>29</v>
      </c>
      <c r="D609" t="s">
        <v>2437</v>
      </c>
      <c r="E609" t="s">
        <v>37</v>
      </c>
      <c r="F609" t="s">
        <v>38</v>
      </c>
      <c r="G609" t="s">
        <v>584</v>
      </c>
      <c r="H609" t="str">
        <f>TEXT(walmart[[#This Row],[Purchase_Date]],"DDD")</f>
        <v>Sat</v>
      </c>
      <c r="I609" t="str">
        <f>TEXT(walmart[[#This Row],[Purchase_Date]],"MMM")</f>
        <v>Mar</v>
      </c>
      <c r="J609" t="str">
        <f>TEXT(walmart[[#This Row],[Purchase_Date]],"YYY")</f>
        <v>2025</v>
      </c>
      <c r="K609" s="3">
        <v>211.46</v>
      </c>
      <c r="L609" t="str">
        <f t="shared" si="45"/>
        <v>5% off</v>
      </c>
      <c r="M609" s="3">
        <f t="shared" si="46"/>
        <v>10.573</v>
      </c>
      <c r="N609" t="str">
        <f t="shared" si="47"/>
        <v>Yes</v>
      </c>
      <c r="O609" t="s">
        <v>21</v>
      </c>
      <c r="P609" s="3">
        <f t="shared" si="48"/>
        <v>200.887</v>
      </c>
      <c r="Q609" t="s">
        <v>27</v>
      </c>
      <c r="R609">
        <v>2</v>
      </c>
      <c r="S609" t="str">
        <f t="shared" si="49"/>
        <v>Poor</v>
      </c>
    </row>
    <row r="610" spans="1:19" x14ac:dyDescent="0.25">
      <c r="A610" t="s">
        <v>971</v>
      </c>
      <c r="B610">
        <v>48</v>
      </c>
      <c r="C610" t="s">
        <v>29</v>
      </c>
      <c r="D610" t="s">
        <v>2438</v>
      </c>
      <c r="E610" t="s">
        <v>24</v>
      </c>
      <c r="F610" t="s">
        <v>25</v>
      </c>
      <c r="G610" t="s">
        <v>573</v>
      </c>
      <c r="H610" t="str">
        <f>TEXT(walmart[[#This Row],[Purchase_Date]],"DDD")</f>
        <v>Mon</v>
      </c>
      <c r="I610" t="str">
        <f>TEXT(walmart[[#This Row],[Purchase_Date]],"MMM")</f>
        <v>Oct</v>
      </c>
      <c r="J610" t="str">
        <f>TEXT(walmart[[#This Row],[Purchase_Date]],"YYY")</f>
        <v>2024</v>
      </c>
      <c r="K610" s="3">
        <v>67.040000000000006</v>
      </c>
      <c r="L610" t="str">
        <f t="shared" si="45"/>
        <v>0% off</v>
      </c>
      <c r="M610" s="3">
        <f t="shared" si="46"/>
        <v>0</v>
      </c>
      <c r="N610" t="str">
        <f t="shared" si="47"/>
        <v>No</v>
      </c>
      <c r="O610" t="s">
        <v>34</v>
      </c>
      <c r="P610" s="3">
        <f t="shared" si="48"/>
        <v>67.040000000000006</v>
      </c>
      <c r="Q610" t="s">
        <v>47</v>
      </c>
      <c r="R610">
        <v>2</v>
      </c>
      <c r="S610" t="str">
        <f t="shared" si="49"/>
        <v>Poor</v>
      </c>
    </row>
    <row r="611" spans="1:19" x14ac:dyDescent="0.25">
      <c r="A611" t="s">
        <v>972</v>
      </c>
      <c r="B611">
        <v>62</v>
      </c>
      <c r="C611" t="s">
        <v>16</v>
      </c>
      <c r="D611" t="s">
        <v>2439</v>
      </c>
      <c r="E611" t="s">
        <v>73</v>
      </c>
      <c r="F611" t="s">
        <v>91</v>
      </c>
      <c r="G611" t="s">
        <v>369</v>
      </c>
      <c r="H611" t="str">
        <f>TEXT(walmart[[#This Row],[Purchase_Date]],"DDD")</f>
        <v>Fri</v>
      </c>
      <c r="I611" t="str">
        <f>TEXT(walmart[[#This Row],[Purchase_Date]],"MMM")</f>
        <v>Aug</v>
      </c>
      <c r="J611" t="str">
        <f>TEXT(walmart[[#This Row],[Purchase_Date]],"YYY")</f>
        <v>2024</v>
      </c>
      <c r="K611" s="3">
        <v>418.55</v>
      </c>
      <c r="L611" t="str">
        <f t="shared" si="45"/>
        <v>5% off</v>
      </c>
      <c r="M611" s="3">
        <f t="shared" si="46"/>
        <v>20.927500000000002</v>
      </c>
      <c r="N611" t="str">
        <f t="shared" si="47"/>
        <v>Yes</v>
      </c>
      <c r="O611" t="s">
        <v>34</v>
      </c>
      <c r="P611" s="3">
        <f t="shared" si="48"/>
        <v>397.6225</v>
      </c>
      <c r="Q611" t="s">
        <v>35</v>
      </c>
      <c r="R611">
        <v>3</v>
      </c>
      <c r="S611" t="str">
        <f t="shared" si="49"/>
        <v>Average</v>
      </c>
    </row>
    <row r="612" spans="1:19" x14ac:dyDescent="0.25">
      <c r="A612" t="s">
        <v>973</v>
      </c>
      <c r="B612">
        <v>28</v>
      </c>
      <c r="C612" t="s">
        <v>16</v>
      </c>
      <c r="D612" t="s">
        <v>2440</v>
      </c>
      <c r="E612" t="s">
        <v>31</v>
      </c>
      <c r="F612" t="s">
        <v>169</v>
      </c>
      <c r="G612" t="s">
        <v>459</v>
      </c>
      <c r="H612" t="str">
        <f>TEXT(walmart[[#This Row],[Purchase_Date]],"DDD")</f>
        <v>Tue</v>
      </c>
      <c r="I612" t="str">
        <f>TEXT(walmart[[#This Row],[Purchase_Date]],"MMM")</f>
        <v>Aug</v>
      </c>
      <c r="J612" t="str">
        <f>TEXT(walmart[[#This Row],[Purchase_Date]],"YYY")</f>
        <v>2024</v>
      </c>
      <c r="K612" s="3">
        <v>52.44</v>
      </c>
      <c r="L612" t="str">
        <f t="shared" si="45"/>
        <v>0% off</v>
      </c>
      <c r="M612" s="3">
        <f t="shared" si="46"/>
        <v>0</v>
      </c>
      <c r="N612" t="str">
        <f t="shared" si="47"/>
        <v>No</v>
      </c>
      <c r="O612" t="s">
        <v>34</v>
      </c>
      <c r="P612" s="3">
        <f t="shared" si="48"/>
        <v>52.44</v>
      </c>
      <c r="Q612" t="s">
        <v>35</v>
      </c>
      <c r="R612">
        <v>4</v>
      </c>
      <c r="S612" t="str">
        <f t="shared" si="49"/>
        <v>Good</v>
      </c>
    </row>
    <row r="613" spans="1:19" x14ac:dyDescent="0.25">
      <c r="A613" t="s">
        <v>974</v>
      </c>
      <c r="B613">
        <v>55</v>
      </c>
      <c r="C613" t="s">
        <v>16</v>
      </c>
      <c r="D613" t="s">
        <v>2441</v>
      </c>
      <c r="E613" t="s">
        <v>55</v>
      </c>
      <c r="F613" t="s">
        <v>56</v>
      </c>
      <c r="G613" t="s">
        <v>181</v>
      </c>
      <c r="H613" t="str">
        <f>TEXT(walmart[[#This Row],[Purchase_Date]],"DDD")</f>
        <v>Sat</v>
      </c>
      <c r="I613" t="str">
        <f>TEXT(walmart[[#This Row],[Purchase_Date]],"MMM")</f>
        <v>Oct</v>
      </c>
      <c r="J613" t="str">
        <f>TEXT(walmart[[#This Row],[Purchase_Date]],"YYY")</f>
        <v>2024</v>
      </c>
      <c r="K613" s="3">
        <v>76.81</v>
      </c>
      <c r="L613" t="str">
        <f t="shared" si="45"/>
        <v>0% off</v>
      </c>
      <c r="M613" s="3">
        <f t="shared" si="46"/>
        <v>0</v>
      </c>
      <c r="N613" t="str">
        <f t="shared" si="47"/>
        <v>No</v>
      </c>
      <c r="O613" t="s">
        <v>21</v>
      </c>
      <c r="P613" s="3">
        <f t="shared" si="48"/>
        <v>76.81</v>
      </c>
      <c r="Q613" t="s">
        <v>47</v>
      </c>
      <c r="R613">
        <v>3</v>
      </c>
      <c r="S613" t="str">
        <f t="shared" si="49"/>
        <v>Average</v>
      </c>
    </row>
    <row r="614" spans="1:19" x14ac:dyDescent="0.25">
      <c r="A614" t="s">
        <v>975</v>
      </c>
      <c r="B614">
        <v>64</v>
      </c>
      <c r="C614" t="s">
        <v>16</v>
      </c>
      <c r="D614" t="s">
        <v>17</v>
      </c>
      <c r="E614" t="s">
        <v>55</v>
      </c>
      <c r="F614" t="s">
        <v>56</v>
      </c>
      <c r="G614" t="s">
        <v>803</v>
      </c>
      <c r="H614" t="str">
        <f>TEXT(walmart[[#This Row],[Purchase_Date]],"DDD")</f>
        <v>Fri</v>
      </c>
      <c r="I614" t="str">
        <f>TEXT(walmart[[#This Row],[Purchase_Date]],"MMM")</f>
        <v>May</v>
      </c>
      <c r="J614" t="str">
        <f>TEXT(walmart[[#This Row],[Purchase_Date]],"YYY")</f>
        <v>2024</v>
      </c>
      <c r="K614" s="3">
        <v>76.81</v>
      </c>
      <c r="L614" t="str">
        <f t="shared" si="45"/>
        <v>0% off</v>
      </c>
      <c r="M614" s="3">
        <f t="shared" si="46"/>
        <v>0</v>
      </c>
      <c r="N614" t="str">
        <f t="shared" si="47"/>
        <v>No</v>
      </c>
      <c r="O614" t="s">
        <v>34</v>
      </c>
      <c r="P614" s="3">
        <f t="shared" si="48"/>
        <v>76.81</v>
      </c>
      <c r="Q614" t="s">
        <v>35</v>
      </c>
      <c r="R614">
        <v>5</v>
      </c>
      <c r="S614" t="str">
        <f t="shared" si="49"/>
        <v>Excellent</v>
      </c>
    </row>
    <row r="615" spans="1:19" x14ac:dyDescent="0.25">
      <c r="A615" t="s">
        <v>976</v>
      </c>
      <c r="B615">
        <v>67</v>
      </c>
      <c r="C615" t="s">
        <v>29</v>
      </c>
      <c r="D615" t="s">
        <v>2442</v>
      </c>
      <c r="E615" t="s">
        <v>31</v>
      </c>
      <c r="F615" t="s">
        <v>169</v>
      </c>
      <c r="G615" t="s">
        <v>407</v>
      </c>
      <c r="H615" t="str">
        <f>TEXT(walmart[[#This Row],[Purchase_Date]],"DDD")</f>
        <v>Tue</v>
      </c>
      <c r="I615" t="str">
        <f>TEXT(walmart[[#This Row],[Purchase_Date]],"MMM")</f>
        <v>Jul</v>
      </c>
      <c r="J615" t="str">
        <f>TEXT(walmart[[#This Row],[Purchase_Date]],"YYY")</f>
        <v>2024</v>
      </c>
      <c r="K615" s="3">
        <v>52.44</v>
      </c>
      <c r="L615" t="str">
        <f t="shared" si="45"/>
        <v>0% off</v>
      </c>
      <c r="M615" s="3">
        <f t="shared" si="46"/>
        <v>0</v>
      </c>
      <c r="N615" t="str">
        <f t="shared" si="47"/>
        <v>No</v>
      </c>
      <c r="O615" t="s">
        <v>21</v>
      </c>
      <c r="P615" s="3">
        <f t="shared" si="48"/>
        <v>52.44</v>
      </c>
      <c r="Q615" t="s">
        <v>35</v>
      </c>
      <c r="R615">
        <v>1</v>
      </c>
      <c r="S615" t="str">
        <f t="shared" si="49"/>
        <v>Very Poor</v>
      </c>
    </row>
    <row r="616" spans="1:19" x14ac:dyDescent="0.25">
      <c r="A616" t="s">
        <v>977</v>
      </c>
      <c r="B616">
        <v>25</v>
      </c>
      <c r="C616" t="s">
        <v>29</v>
      </c>
      <c r="D616" t="s">
        <v>2443</v>
      </c>
      <c r="E616" t="s">
        <v>31</v>
      </c>
      <c r="F616" t="s">
        <v>169</v>
      </c>
      <c r="G616" t="s">
        <v>978</v>
      </c>
      <c r="H616" t="str">
        <f>TEXT(walmart[[#This Row],[Purchase_Date]],"DDD")</f>
        <v>Sun</v>
      </c>
      <c r="I616" t="str">
        <f>TEXT(walmart[[#This Row],[Purchase_Date]],"MMM")</f>
        <v>Jun</v>
      </c>
      <c r="J616" t="str">
        <f>TEXT(walmart[[#This Row],[Purchase_Date]],"YYY")</f>
        <v>2024</v>
      </c>
      <c r="K616" s="3">
        <v>52.44</v>
      </c>
      <c r="L616" t="str">
        <f t="shared" si="45"/>
        <v>0% off</v>
      </c>
      <c r="M616" s="3">
        <f t="shared" si="46"/>
        <v>0</v>
      </c>
      <c r="N616" t="str">
        <f t="shared" si="47"/>
        <v>No</v>
      </c>
      <c r="O616" t="s">
        <v>21</v>
      </c>
      <c r="P616" s="3">
        <f t="shared" si="48"/>
        <v>52.44</v>
      </c>
      <c r="Q616" t="s">
        <v>27</v>
      </c>
      <c r="R616">
        <v>3</v>
      </c>
      <c r="S616" t="str">
        <f t="shared" si="49"/>
        <v>Average</v>
      </c>
    </row>
    <row r="617" spans="1:19" x14ac:dyDescent="0.25">
      <c r="A617" t="s">
        <v>979</v>
      </c>
      <c r="B617">
        <v>31</v>
      </c>
      <c r="C617" t="s">
        <v>29</v>
      </c>
      <c r="D617" t="s">
        <v>2444</v>
      </c>
      <c r="E617" t="s">
        <v>42</v>
      </c>
      <c r="F617" t="s">
        <v>43</v>
      </c>
      <c r="G617" t="s">
        <v>171</v>
      </c>
      <c r="H617" t="str">
        <f>TEXT(walmart[[#This Row],[Purchase_Date]],"DDD")</f>
        <v>Tue</v>
      </c>
      <c r="I617" t="str">
        <f>TEXT(walmart[[#This Row],[Purchase_Date]],"MMM")</f>
        <v>Nov</v>
      </c>
      <c r="J617" t="str">
        <f>TEXT(walmart[[#This Row],[Purchase_Date]],"YYY")</f>
        <v>2024</v>
      </c>
      <c r="K617" s="3">
        <v>512.94000000000005</v>
      </c>
      <c r="L617" t="str">
        <f t="shared" si="45"/>
        <v>10% off</v>
      </c>
      <c r="M617" s="3">
        <f t="shared" si="46"/>
        <v>51.294000000000011</v>
      </c>
      <c r="N617" t="str">
        <f t="shared" si="47"/>
        <v>Yes</v>
      </c>
      <c r="O617" t="s">
        <v>21</v>
      </c>
      <c r="P617" s="3">
        <f t="shared" si="48"/>
        <v>461.64600000000007</v>
      </c>
      <c r="Q617" t="s">
        <v>47</v>
      </c>
      <c r="R617">
        <v>5</v>
      </c>
      <c r="S617" t="str">
        <f t="shared" si="49"/>
        <v>Excellent</v>
      </c>
    </row>
    <row r="618" spans="1:19" x14ac:dyDescent="0.25">
      <c r="A618" t="s">
        <v>980</v>
      </c>
      <c r="B618">
        <v>29</v>
      </c>
      <c r="C618" t="s">
        <v>29</v>
      </c>
      <c r="D618" t="s">
        <v>2445</v>
      </c>
      <c r="E618" t="s">
        <v>73</v>
      </c>
      <c r="F618" t="s">
        <v>74</v>
      </c>
      <c r="G618" t="s">
        <v>981</v>
      </c>
      <c r="H618" t="str">
        <f>TEXT(walmart[[#This Row],[Purchase_Date]],"DDD")</f>
        <v>Sat</v>
      </c>
      <c r="I618" t="str">
        <f>TEXT(walmart[[#This Row],[Purchase_Date]],"MMM")</f>
        <v>Mar</v>
      </c>
      <c r="J618" t="str">
        <f>TEXT(walmart[[#This Row],[Purchase_Date]],"YYY")</f>
        <v>2025</v>
      </c>
      <c r="K618" s="3">
        <v>782.29</v>
      </c>
      <c r="L618" t="str">
        <f t="shared" si="45"/>
        <v>15% off</v>
      </c>
      <c r="M618" s="3">
        <f t="shared" si="46"/>
        <v>117.34349999999999</v>
      </c>
      <c r="N618" t="str">
        <f t="shared" si="47"/>
        <v>Yes</v>
      </c>
      <c r="O618" t="s">
        <v>21</v>
      </c>
      <c r="P618" s="3">
        <f t="shared" si="48"/>
        <v>664.94650000000001</v>
      </c>
      <c r="Q618" t="s">
        <v>27</v>
      </c>
      <c r="R618">
        <v>4</v>
      </c>
      <c r="S618" t="str">
        <f t="shared" si="49"/>
        <v>Good</v>
      </c>
    </row>
    <row r="619" spans="1:19" x14ac:dyDescent="0.25">
      <c r="A619" t="s">
        <v>982</v>
      </c>
      <c r="B619">
        <v>66</v>
      </c>
      <c r="C619" t="s">
        <v>29</v>
      </c>
      <c r="D619" t="s">
        <v>2446</v>
      </c>
      <c r="E619" t="s">
        <v>55</v>
      </c>
      <c r="F619" t="s">
        <v>100</v>
      </c>
      <c r="G619" t="s">
        <v>983</v>
      </c>
      <c r="H619" t="str">
        <f>TEXT(walmart[[#This Row],[Purchase_Date]],"DDD")</f>
        <v>Wed</v>
      </c>
      <c r="I619" t="str">
        <f>TEXT(walmart[[#This Row],[Purchase_Date]],"MMM")</f>
        <v>Jan</v>
      </c>
      <c r="J619" t="str">
        <f>TEXT(walmart[[#This Row],[Purchase_Date]],"YYY")</f>
        <v>2025</v>
      </c>
      <c r="K619" s="3">
        <v>592.26</v>
      </c>
      <c r="L619" t="str">
        <f t="shared" si="45"/>
        <v>10% off</v>
      </c>
      <c r="M619" s="3">
        <f t="shared" si="46"/>
        <v>59.225999999999999</v>
      </c>
      <c r="N619" t="str">
        <f t="shared" si="47"/>
        <v>Yes</v>
      </c>
      <c r="O619" t="s">
        <v>34</v>
      </c>
      <c r="P619" s="3">
        <f t="shared" si="48"/>
        <v>533.03399999999999</v>
      </c>
      <c r="Q619" t="s">
        <v>35</v>
      </c>
      <c r="R619">
        <v>1</v>
      </c>
      <c r="S619" t="str">
        <f t="shared" si="49"/>
        <v>Very Poor</v>
      </c>
    </row>
    <row r="620" spans="1:19" x14ac:dyDescent="0.25">
      <c r="A620" t="s">
        <v>984</v>
      </c>
      <c r="B620">
        <v>53</v>
      </c>
      <c r="C620" t="s">
        <v>16</v>
      </c>
      <c r="D620" t="s">
        <v>2447</v>
      </c>
      <c r="E620" t="s">
        <v>24</v>
      </c>
      <c r="F620" t="s">
        <v>186</v>
      </c>
      <c r="G620" t="s">
        <v>547</v>
      </c>
      <c r="H620" t="str">
        <f>TEXT(walmart[[#This Row],[Purchase_Date]],"DDD")</f>
        <v>Fri</v>
      </c>
      <c r="I620" t="str">
        <f>TEXT(walmart[[#This Row],[Purchase_Date]],"MMM")</f>
        <v>May</v>
      </c>
      <c r="J620" t="str">
        <f>TEXT(walmart[[#This Row],[Purchase_Date]],"YYY")</f>
        <v>2024</v>
      </c>
      <c r="K620" s="3">
        <v>527.16999999999996</v>
      </c>
      <c r="L620" t="str">
        <f t="shared" si="45"/>
        <v>10% off</v>
      </c>
      <c r="M620" s="3">
        <f t="shared" si="46"/>
        <v>52.716999999999999</v>
      </c>
      <c r="N620" t="str">
        <f t="shared" si="47"/>
        <v>Yes</v>
      </c>
      <c r="O620" t="s">
        <v>21</v>
      </c>
      <c r="P620" s="3">
        <f t="shared" si="48"/>
        <v>474.45299999999997</v>
      </c>
      <c r="Q620" t="s">
        <v>47</v>
      </c>
      <c r="R620">
        <v>5</v>
      </c>
      <c r="S620" t="str">
        <f t="shared" si="49"/>
        <v>Excellent</v>
      </c>
    </row>
    <row r="621" spans="1:19" x14ac:dyDescent="0.25">
      <c r="A621" t="s">
        <v>985</v>
      </c>
      <c r="B621">
        <v>34</v>
      </c>
      <c r="C621" t="s">
        <v>16</v>
      </c>
      <c r="D621" t="s">
        <v>2448</v>
      </c>
      <c r="E621" t="s">
        <v>31</v>
      </c>
      <c r="F621" t="s">
        <v>300</v>
      </c>
      <c r="G621" t="s">
        <v>193</v>
      </c>
      <c r="H621" t="str">
        <f>TEXT(walmart[[#This Row],[Purchase_Date]],"DDD")</f>
        <v>Thu</v>
      </c>
      <c r="I621" t="str">
        <f>TEXT(walmart[[#This Row],[Purchase_Date]],"MMM")</f>
        <v>May</v>
      </c>
      <c r="J621" t="str">
        <f>TEXT(walmart[[#This Row],[Purchase_Date]],"YYY")</f>
        <v>2024</v>
      </c>
      <c r="K621" s="3">
        <v>340.04</v>
      </c>
      <c r="L621" t="str">
        <f t="shared" si="45"/>
        <v>5% off</v>
      </c>
      <c r="M621" s="3">
        <f t="shared" si="46"/>
        <v>17.002000000000002</v>
      </c>
      <c r="N621" t="str">
        <f t="shared" si="47"/>
        <v>Yes</v>
      </c>
      <c r="O621" t="s">
        <v>34</v>
      </c>
      <c r="P621" s="3">
        <f t="shared" si="48"/>
        <v>323.03800000000001</v>
      </c>
      <c r="Q621" t="s">
        <v>27</v>
      </c>
      <c r="R621">
        <v>5</v>
      </c>
      <c r="S621" t="str">
        <f t="shared" si="49"/>
        <v>Excellent</v>
      </c>
    </row>
    <row r="622" spans="1:19" x14ac:dyDescent="0.25">
      <c r="A622" t="s">
        <v>986</v>
      </c>
      <c r="B622">
        <v>47</v>
      </c>
      <c r="C622" t="s">
        <v>29</v>
      </c>
      <c r="D622" t="s">
        <v>2449</v>
      </c>
      <c r="E622" t="s">
        <v>24</v>
      </c>
      <c r="F622" t="s">
        <v>25</v>
      </c>
      <c r="G622" t="s">
        <v>397</v>
      </c>
      <c r="H622" t="str">
        <f>TEXT(walmart[[#This Row],[Purchase_Date]],"DDD")</f>
        <v>Wed</v>
      </c>
      <c r="I622" t="str">
        <f>TEXT(walmart[[#This Row],[Purchase_Date]],"MMM")</f>
        <v>May</v>
      </c>
      <c r="J622" t="str">
        <f>TEXT(walmart[[#This Row],[Purchase_Date]],"YYY")</f>
        <v>2024</v>
      </c>
      <c r="K622" s="3">
        <v>67.040000000000006</v>
      </c>
      <c r="L622" t="str">
        <f t="shared" si="45"/>
        <v>0% off</v>
      </c>
      <c r="M622" s="3">
        <f t="shared" si="46"/>
        <v>0</v>
      </c>
      <c r="N622" t="str">
        <f t="shared" si="47"/>
        <v>No</v>
      </c>
      <c r="O622" t="s">
        <v>21</v>
      </c>
      <c r="P622" s="3">
        <f t="shared" si="48"/>
        <v>67.040000000000006</v>
      </c>
      <c r="Q622" t="s">
        <v>35</v>
      </c>
      <c r="R622">
        <v>2</v>
      </c>
      <c r="S622" t="str">
        <f t="shared" si="49"/>
        <v>Poor</v>
      </c>
    </row>
    <row r="623" spans="1:19" x14ac:dyDescent="0.25">
      <c r="A623" t="s">
        <v>987</v>
      </c>
      <c r="B623">
        <v>34</v>
      </c>
      <c r="C623" t="s">
        <v>16</v>
      </c>
      <c r="D623" t="s">
        <v>2450</v>
      </c>
      <c r="E623" t="s">
        <v>37</v>
      </c>
      <c r="F623" t="s">
        <v>38</v>
      </c>
      <c r="G623" t="s">
        <v>215</v>
      </c>
      <c r="H623" t="str">
        <f>TEXT(walmart[[#This Row],[Purchase_Date]],"DDD")</f>
        <v>Mon</v>
      </c>
      <c r="I623" t="str">
        <f>TEXT(walmart[[#This Row],[Purchase_Date]],"MMM")</f>
        <v>Feb</v>
      </c>
      <c r="J623" t="str">
        <f>TEXT(walmart[[#This Row],[Purchase_Date]],"YYY")</f>
        <v>2025</v>
      </c>
      <c r="K623" s="3">
        <v>211.46</v>
      </c>
      <c r="L623" t="str">
        <f t="shared" si="45"/>
        <v>5% off</v>
      </c>
      <c r="M623" s="3">
        <f t="shared" si="46"/>
        <v>10.573</v>
      </c>
      <c r="N623" t="str">
        <f t="shared" si="47"/>
        <v>Yes</v>
      </c>
      <c r="O623" t="s">
        <v>21</v>
      </c>
      <c r="P623" s="3">
        <f t="shared" si="48"/>
        <v>200.887</v>
      </c>
      <c r="Q623" t="s">
        <v>22</v>
      </c>
      <c r="R623">
        <v>5</v>
      </c>
      <c r="S623" t="str">
        <f t="shared" si="49"/>
        <v>Excellent</v>
      </c>
    </row>
    <row r="624" spans="1:19" x14ac:dyDescent="0.25">
      <c r="A624" t="s">
        <v>988</v>
      </c>
      <c r="B624">
        <v>44</v>
      </c>
      <c r="C624" t="s">
        <v>16</v>
      </c>
      <c r="D624" t="s">
        <v>2451</v>
      </c>
      <c r="E624" t="s">
        <v>24</v>
      </c>
      <c r="F624" t="s">
        <v>186</v>
      </c>
      <c r="G624" t="s">
        <v>488</v>
      </c>
      <c r="H624" t="str">
        <f>TEXT(walmart[[#This Row],[Purchase_Date]],"DDD")</f>
        <v>Wed</v>
      </c>
      <c r="I624" t="str">
        <f>TEXT(walmart[[#This Row],[Purchase_Date]],"MMM")</f>
        <v>Mar</v>
      </c>
      <c r="J624" t="str">
        <f>TEXT(walmart[[#This Row],[Purchase_Date]],"YYY")</f>
        <v>2025</v>
      </c>
      <c r="K624" s="3">
        <v>527.16999999999996</v>
      </c>
      <c r="L624" t="str">
        <f t="shared" si="45"/>
        <v>10% off</v>
      </c>
      <c r="M624" s="3">
        <f t="shared" si="46"/>
        <v>52.716999999999999</v>
      </c>
      <c r="N624" t="str">
        <f t="shared" si="47"/>
        <v>Yes</v>
      </c>
      <c r="O624" t="s">
        <v>21</v>
      </c>
      <c r="P624" s="3">
        <f t="shared" si="48"/>
        <v>474.45299999999997</v>
      </c>
      <c r="Q624" t="s">
        <v>27</v>
      </c>
      <c r="R624">
        <v>5</v>
      </c>
      <c r="S624" t="str">
        <f t="shared" si="49"/>
        <v>Excellent</v>
      </c>
    </row>
    <row r="625" spans="1:19" x14ac:dyDescent="0.25">
      <c r="A625" t="s">
        <v>989</v>
      </c>
      <c r="B625">
        <v>21</v>
      </c>
      <c r="C625" t="s">
        <v>16</v>
      </c>
      <c r="D625" t="s">
        <v>2452</v>
      </c>
      <c r="E625" t="s">
        <v>55</v>
      </c>
      <c r="F625" t="s">
        <v>64</v>
      </c>
      <c r="G625" t="s">
        <v>260</v>
      </c>
      <c r="H625" t="str">
        <f>TEXT(walmart[[#This Row],[Purchase_Date]],"DDD")</f>
        <v>Thu</v>
      </c>
      <c r="I625" t="str">
        <f>TEXT(walmart[[#This Row],[Purchase_Date]],"MMM")</f>
        <v>Mar</v>
      </c>
      <c r="J625" t="str">
        <f>TEXT(walmart[[#This Row],[Purchase_Date]],"YYY")</f>
        <v>2025</v>
      </c>
      <c r="K625" s="3">
        <v>374.92</v>
      </c>
      <c r="L625" t="str">
        <f t="shared" si="45"/>
        <v>5% off</v>
      </c>
      <c r="M625" s="3">
        <f t="shared" si="46"/>
        <v>18.746000000000002</v>
      </c>
      <c r="N625" t="str">
        <f t="shared" si="47"/>
        <v>Yes</v>
      </c>
      <c r="O625" t="s">
        <v>34</v>
      </c>
      <c r="P625" s="3">
        <f t="shared" si="48"/>
        <v>356.17400000000004</v>
      </c>
      <c r="Q625" t="s">
        <v>35</v>
      </c>
      <c r="R625">
        <v>4</v>
      </c>
      <c r="S625" t="str">
        <f t="shared" si="49"/>
        <v>Good</v>
      </c>
    </row>
    <row r="626" spans="1:19" x14ac:dyDescent="0.25">
      <c r="A626" t="s">
        <v>990</v>
      </c>
      <c r="B626">
        <v>24</v>
      </c>
      <c r="C626" t="s">
        <v>29</v>
      </c>
      <c r="D626" t="s">
        <v>2453</v>
      </c>
      <c r="E626" t="s">
        <v>55</v>
      </c>
      <c r="F626" t="s">
        <v>56</v>
      </c>
      <c r="G626" t="s">
        <v>399</v>
      </c>
      <c r="H626" t="str">
        <f>TEXT(walmart[[#This Row],[Purchase_Date]],"DDD")</f>
        <v>Wed</v>
      </c>
      <c r="I626" t="str">
        <f>TEXT(walmart[[#This Row],[Purchase_Date]],"MMM")</f>
        <v>Feb</v>
      </c>
      <c r="J626" t="str">
        <f>TEXT(walmart[[#This Row],[Purchase_Date]],"YYY")</f>
        <v>2025</v>
      </c>
      <c r="K626" s="3">
        <v>76.81</v>
      </c>
      <c r="L626" t="str">
        <f t="shared" si="45"/>
        <v>0% off</v>
      </c>
      <c r="M626" s="3">
        <f t="shared" si="46"/>
        <v>0</v>
      </c>
      <c r="N626" t="str">
        <f t="shared" si="47"/>
        <v>No</v>
      </c>
      <c r="O626" t="s">
        <v>34</v>
      </c>
      <c r="P626" s="3">
        <f t="shared" si="48"/>
        <v>76.81</v>
      </c>
      <c r="Q626" t="s">
        <v>22</v>
      </c>
      <c r="R626">
        <v>1</v>
      </c>
      <c r="S626" t="str">
        <f t="shared" si="49"/>
        <v>Very Poor</v>
      </c>
    </row>
    <row r="627" spans="1:19" x14ac:dyDescent="0.25">
      <c r="A627" t="s">
        <v>991</v>
      </c>
      <c r="B627">
        <v>30</v>
      </c>
      <c r="C627" t="s">
        <v>29</v>
      </c>
      <c r="D627" t="s">
        <v>2454</v>
      </c>
      <c r="E627" t="s">
        <v>18</v>
      </c>
      <c r="F627" t="s">
        <v>77</v>
      </c>
      <c r="G627" t="s">
        <v>476</v>
      </c>
      <c r="H627" t="str">
        <f>TEXT(walmart[[#This Row],[Purchase_Date]],"DDD")</f>
        <v>Fri</v>
      </c>
      <c r="I627" t="str">
        <f>TEXT(walmart[[#This Row],[Purchase_Date]],"MMM")</f>
        <v>Mar</v>
      </c>
      <c r="J627" t="str">
        <f>TEXT(walmart[[#This Row],[Purchase_Date]],"YYY")</f>
        <v>2025</v>
      </c>
      <c r="K627" s="3">
        <v>116.78</v>
      </c>
      <c r="L627" t="str">
        <f t="shared" si="45"/>
        <v>0% off</v>
      </c>
      <c r="M627" s="3">
        <f t="shared" si="46"/>
        <v>0</v>
      </c>
      <c r="N627" t="str">
        <f t="shared" si="47"/>
        <v>No</v>
      </c>
      <c r="O627" t="s">
        <v>21</v>
      </c>
      <c r="P627" s="3">
        <f t="shared" si="48"/>
        <v>116.78</v>
      </c>
      <c r="Q627" t="s">
        <v>47</v>
      </c>
      <c r="R627">
        <v>4</v>
      </c>
      <c r="S627" t="str">
        <f t="shared" si="49"/>
        <v>Good</v>
      </c>
    </row>
    <row r="628" spans="1:19" x14ac:dyDescent="0.25">
      <c r="A628" t="s">
        <v>992</v>
      </c>
      <c r="B628">
        <v>60</v>
      </c>
      <c r="C628" t="s">
        <v>16</v>
      </c>
      <c r="D628" t="s">
        <v>2455</v>
      </c>
      <c r="E628" t="s">
        <v>73</v>
      </c>
      <c r="F628" t="s">
        <v>74</v>
      </c>
      <c r="G628" t="s">
        <v>151</v>
      </c>
      <c r="H628" t="str">
        <f>TEXT(walmart[[#This Row],[Purchase_Date]],"DDD")</f>
        <v>Mon</v>
      </c>
      <c r="I628" t="str">
        <f>TEXT(walmart[[#This Row],[Purchase_Date]],"MMM")</f>
        <v>May</v>
      </c>
      <c r="J628" t="str">
        <f>TEXT(walmart[[#This Row],[Purchase_Date]],"YYY")</f>
        <v>2024</v>
      </c>
      <c r="K628" s="3">
        <v>782.29</v>
      </c>
      <c r="L628" t="str">
        <f t="shared" si="45"/>
        <v>15% off</v>
      </c>
      <c r="M628" s="3">
        <f t="shared" si="46"/>
        <v>117.34349999999999</v>
      </c>
      <c r="N628" t="str">
        <f t="shared" si="47"/>
        <v>Yes</v>
      </c>
      <c r="O628" t="s">
        <v>34</v>
      </c>
      <c r="P628" s="3">
        <f t="shared" si="48"/>
        <v>664.94650000000001</v>
      </c>
      <c r="Q628" t="s">
        <v>47</v>
      </c>
      <c r="R628">
        <v>4</v>
      </c>
      <c r="S628" t="str">
        <f t="shared" si="49"/>
        <v>Good</v>
      </c>
    </row>
    <row r="629" spans="1:19" x14ac:dyDescent="0.25">
      <c r="A629" t="s">
        <v>993</v>
      </c>
      <c r="B629">
        <v>43</v>
      </c>
      <c r="C629" t="s">
        <v>29</v>
      </c>
      <c r="D629" t="s">
        <v>2456</v>
      </c>
      <c r="E629" t="s">
        <v>24</v>
      </c>
      <c r="F629" t="s">
        <v>25</v>
      </c>
      <c r="G629" t="s">
        <v>710</v>
      </c>
      <c r="H629" t="str">
        <f>TEXT(walmart[[#This Row],[Purchase_Date]],"DDD")</f>
        <v>Sun</v>
      </c>
      <c r="I629" t="str">
        <f>TEXT(walmart[[#This Row],[Purchase_Date]],"MMM")</f>
        <v>Aug</v>
      </c>
      <c r="J629" t="str">
        <f>TEXT(walmart[[#This Row],[Purchase_Date]],"YYY")</f>
        <v>2024</v>
      </c>
      <c r="K629" s="3">
        <v>67.040000000000006</v>
      </c>
      <c r="L629" t="str">
        <f t="shared" si="45"/>
        <v>0% off</v>
      </c>
      <c r="M629" s="3">
        <f t="shared" si="46"/>
        <v>0</v>
      </c>
      <c r="N629" t="str">
        <f t="shared" si="47"/>
        <v>No</v>
      </c>
      <c r="O629" t="s">
        <v>21</v>
      </c>
      <c r="P629" s="3">
        <f t="shared" si="48"/>
        <v>67.040000000000006</v>
      </c>
      <c r="Q629" t="s">
        <v>27</v>
      </c>
      <c r="R629">
        <v>4</v>
      </c>
      <c r="S629" t="str">
        <f t="shared" si="49"/>
        <v>Good</v>
      </c>
    </row>
    <row r="630" spans="1:19" x14ac:dyDescent="0.25">
      <c r="A630" t="s">
        <v>994</v>
      </c>
      <c r="B630">
        <v>19</v>
      </c>
      <c r="C630" t="s">
        <v>29</v>
      </c>
      <c r="D630" t="s">
        <v>2457</v>
      </c>
      <c r="E630" t="s">
        <v>24</v>
      </c>
      <c r="F630" t="s">
        <v>25</v>
      </c>
      <c r="G630" t="s">
        <v>995</v>
      </c>
      <c r="H630" t="str">
        <f>TEXT(walmart[[#This Row],[Purchase_Date]],"DDD")</f>
        <v>Fri</v>
      </c>
      <c r="I630" t="str">
        <f>TEXT(walmart[[#This Row],[Purchase_Date]],"MMM")</f>
        <v>Jul</v>
      </c>
      <c r="J630" t="str">
        <f>TEXT(walmart[[#This Row],[Purchase_Date]],"YYY")</f>
        <v>2024</v>
      </c>
      <c r="K630" s="3">
        <v>67.040000000000006</v>
      </c>
      <c r="L630" t="str">
        <f t="shared" si="45"/>
        <v>0% off</v>
      </c>
      <c r="M630" s="3">
        <f t="shared" si="46"/>
        <v>0</v>
      </c>
      <c r="N630" t="str">
        <f t="shared" si="47"/>
        <v>No</v>
      </c>
      <c r="O630" t="s">
        <v>34</v>
      </c>
      <c r="P630" s="3">
        <f t="shared" si="48"/>
        <v>67.040000000000006</v>
      </c>
      <c r="Q630" t="s">
        <v>47</v>
      </c>
      <c r="R630">
        <v>5</v>
      </c>
      <c r="S630" t="str">
        <f t="shared" si="49"/>
        <v>Excellent</v>
      </c>
    </row>
    <row r="631" spans="1:19" x14ac:dyDescent="0.25">
      <c r="A631" t="s">
        <v>996</v>
      </c>
      <c r="B631">
        <v>32</v>
      </c>
      <c r="C631" t="s">
        <v>16</v>
      </c>
      <c r="D631" t="s">
        <v>2458</v>
      </c>
      <c r="E631" t="s">
        <v>73</v>
      </c>
      <c r="F631" t="s">
        <v>94</v>
      </c>
      <c r="G631" t="s">
        <v>132</v>
      </c>
      <c r="H631" t="str">
        <f>TEXT(walmart[[#This Row],[Purchase_Date]],"DDD")</f>
        <v>Fri</v>
      </c>
      <c r="I631" t="str">
        <f>TEXT(walmart[[#This Row],[Purchase_Date]],"MMM")</f>
        <v>Jul</v>
      </c>
      <c r="J631" t="str">
        <f>TEXT(walmart[[#This Row],[Purchase_Date]],"YYY")</f>
        <v>2024</v>
      </c>
      <c r="K631" s="3">
        <v>965.09</v>
      </c>
      <c r="L631" t="str">
        <f t="shared" si="45"/>
        <v>20% off</v>
      </c>
      <c r="M631" s="3">
        <f t="shared" si="46"/>
        <v>193.01800000000003</v>
      </c>
      <c r="N631" t="str">
        <f t="shared" si="47"/>
        <v>Yes</v>
      </c>
      <c r="O631" t="s">
        <v>34</v>
      </c>
      <c r="P631" s="3">
        <f t="shared" si="48"/>
        <v>772.072</v>
      </c>
      <c r="Q631" t="s">
        <v>35</v>
      </c>
      <c r="R631">
        <v>2</v>
      </c>
      <c r="S631" t="str">
        <f t="shared" si="49"/>
        <v>Poor</v>
      </c>
    </row>
    <row r="632" spans="1:19" x14ac:dyDescent="0.25">
      <c r="A632" t="s">
        <v>997</v>
      </c>
      <c r="B632">
        <v>25</v>
      </c>
      <c r="C632" t="s">
        <v>16</v>
      </c>
      <c r="D632" t="s">
        <v>2459</v>
      </c>
      <c r="E632" t="s">
        <v>42</v>
      </c>
      <c r="F632" t="s">
        <v>43</v>
      </c>
      <c r="G632" t="s">
        <v>336</v>
      </c>
      <c r="H632" t="str">
        <f>TEXT(walmart[[#This Row],[Purchase_Date]],"DDD")</f>
        <v>Mon</v>
      </c>
      <c r="I632" t="str">
        <f>TEXT(walmart[[#This Row],[Purchase_Date]],"MMM")</f>
        <v>Jul</v>
      </c>
      <c r="J632" t="str">
        <f>TEXT(walmart[[#This Row],[Purchase_Date]],"YYY")</f>
        <v>2024</v>
      </c>
      <c r="K632" s="3">
        <v>512.94000000000005</v>
      </c>
      <c r="L632" t="str">
        <f t="shared" si="45"/>
        <v>10% off</v>
      </c>
      <c r="M632" s="3">
        <f t="shared" si="46"/>
        <v>51.294000000000011</v>
      </c>
      <c r="N632" t="str">
        <f t="shared" si="47"/>
        <v>Yes</v>
      </c>
      <c r="O632" t="s">
        <v>34</v>
      </c>
      <c r="P632" s="3">
        <f t="shared" si="48"/>
        <v>461.64600000000007</v>
      </c>
      <c r="Q632" t="s">
        <v>47</v>
      </c>
      <c r="R632">
        <v>5</v>
      </c>
      <c r="S632" t="str">
        <f t="shared" si="49"/>
        <v>Excellent</v>
      </c>
    </row>
    <row r="633" spans="1:19" x14ac:dyDescent="0.25">
      <c r="A633" t="s">
        <v>998</v>
      </c>
      <c r="B633">
        <v>27</v>
      </c>
      <c r="C633" t="s">
        <v>16</v>
      </c>
      <c r="D633" t="s">
        <v>2460</v>
      </c>
      <c r="E633" t="s">
        <v>42</v>
      </c>
      <c r="F633" t="s">
        <v>103</v>
      </c>
      <c r="G633" t="s">
        <v>882</v>
      </c>
      <c r="H633" t="str">
        <f>TEXT(walmart[[#This Row],[Purchase_Date]],"DDD")</f>
        <v>Sat</v>
      </c>
      <c r="I633" t="str">
        <f>TEXT(walmart[[#This Row],[Purchase_Date]],"MMM")</f>
        <v>Sep</v>
      </c>
      <c r="J633" t="str">
        <f>TEXT(walmart[[#This Row],[Purchase_Date]],"YYY")</f>
        <v>2024</v>
      </c>
      <c r="K633" s="3">
        <v>315.56</v>
      </c>
      <c r="L633" t="str">
        <f t="shared" si="45"/>
        <v>5% off</v>
      </c>
      <c r="M633" s="3">
        <f t="shared" si="46"/>
        <v>15.778</v>
      </c>
      <c r="N633" t="str">
        <f t="shared" si="47"/>
        <v>Yes</v>
      </c>
      <c r="O633" t="s">
        <v>34</v>
      </c>
      <c r="P633" s="3">
        <f t="shared" si="48"/>
        <v>299.78199999999998</v>
      </c>
      <c r="Q633" t="s">
        <v>22</v>
      </c>
      <c r="R633">
        <v>2</v>
      </c>
      <c r="S633" t="str">
        <f t="shared" si="49"/>
        <v>Poor</v>
      </c>
    </row>
    <row r="634" spans="1:19" x14ac:dyDescent="0.25">
      <c r="A634" t="s">
        <v>999</v>
      </c>
      <c r="B634">
        <v>22</v>
      </c>
      <c r="C634" t="s">
        <v>16</v>
      </c>
      <c r="D634" t="s">
        <v>2461</v>
      </c>
      <c r="E634" t="s">
        <v>31</v>
      </c>
      <c r="F634" t="s">
        <v>32</v>
      </c>
      <c r="G634" t="s">
        <v>87</v>
      </c>
      <c r="H634" t="str">
        <f>TEXT(walmart[[#This Row],[Purchase_Date]],"DDD")</f>
        <v>Thu</v>
      </c>
      <c r="I634" t="str">
        <f>TEXT(walmart[[#This Row],[Purchase_Date]],"MMM")</f>
        <v>Sep</v>
      </c>
      <c r="J634" t="str">
        <f>TEXT(walmart[[#This Row],[Purchase_Date]],"YYY")</f>
        <v>2024</v>
      </c>
      <c r="K634" s="3">
        <v>493.96</v>
      </c>
      <c r="L634" t="str">
        <f t="shared" si="45"/>
        <v>5% off</v>
      </c>
      <c r="M634" s="3">
        <f t="shared" si="46"/>
        <v>24.698</v>
      </c>
      <c r="N634" t="str">
        <f t="shared" si="47"/>
        <v>Yes</v>
      </c>
      <c r="O634" t="s">
        <v>21</v>
      </c>
      <c r="P634" s="3">
        <f t="shared" si="48"/>
        <v>469.262</v>
      </c>
      <c r="Q634" t="s">
        <v>47</v>
      </c>
      <c r="R634">
        <v>4</v>
      </c>
      <c r="S634" t="str">
        <f t="shared" si="49"/>
        <v>Good</v>
      </c>
    </row>
    <row r="635" spans="1:19" x14ac:dyDescent="0.25">
      <c r="A635" t="s">
        <v>1000</v>
      </c>
      <c r="B635">
        <v>25</v>
      </c>
      <c r="C635" t="s">
        <v>16</v>
      </c>
      <c r="D635" t="s">
        <v>2462</v>
      </c>
      <c r="E635" t="s">
        <v>55</v>
      </c>
      <c r="F635" t="s">
        <v>100</v>
      </c>
      <c r="G635" t="s">
        <v>1001</v>
      </c>
      <c r="H635" t="str">
        <f>TEXT(walmart[[#This Row],[Purchase_Date]],"DDD")</f>
        <v>Thu</v>
      </c>
      <c r="I635" t="str">
        <f>TEXT(walmart[[#This Row],[Purchase_Date]],"MMM")</f>
        <v>Aug</v>
      </c>
      <c r="J635" t="str">
        <f>TEXT(walmart[[#This Row],[Purchase_Date]],"YYY")</f>
        <v>2024</v>
      </c>
      <c r="K635" s="3">
        <v>592.26</v>
      </c>
      <c r="L635" t="str">
        <f t="shared" si="45"/>
        <v>10% off</v>
      </c>
      <c r="M635" s="3">
        <f t="shared" si="46"/>
        <v>59.225999999999999</v>
      </c>
      <c r="N635" t="str">
        <f t="shared" si="47"/>
        <v>Yes</v>
      </c>
      <c r="O635" t="s">
        <v>34</v>
      </c>
      <c r="P635" s="3">
        <f t="shared" si="48"/>
        <v>533.03399999999999</v>
      </c>
      <c r="Q635" t="s">
        <v>35</v>
      </c>
      <c r="R635">
        <v>1</v>
      </c>
      <c r="S635" t="str">
        <f t="shared" si="49"/>
        <v>Very Poor</v>
      </c>
    </row>
    <row r="636" spans="1:19" x14ac:dyDescent="0.25">
      <c r="A636" t="s">
        <v>1002</v>
      </c>
      <c r="B636">
        <v>59</v>
      </c>
      <c r="C636" t="s">
        <v>16</v>
      </c>
      <c r="D636" t="s">
        <v>2463</v>
      </c>
      <c r="E636" t="s">
        <v>24</v>
      </c>
      <c r="F636" t="s">
        <v>162</v>
      </c>
      <c r="G636" t="s">
        <v>181</v>
      </c>
      <c r="H636" t="str">
        <f>TEXT(walmart[[#This Row],[Purchase_Date]],"DDD")</f>
        <v>Sat</v>
      </c>
      <c r="I636" t="str">
        <f>TEXT(walmart[[#This Row],[Purchase_Date]],"MMM")</f>
        <v>Oct</v>
      </c>
      <c r="J636" t="str">
        <f>TEXT(walmart[[#This Row],[Purchase_Date]],"YYY")</f>
        <v>2024</v>
      </c>
      <c r="K636" s="3">
        <v>362.55</v>
      </c>
      <c r="L636" t="str">
        <f t="shared" si="45"/>
        <v>5% off</v>
      </c>
      <c r="M636" s="3">
        <f t="shared" si="46"/>
        <v>18.127500000000001</v>
      </c>
      <c r="N636" t="str">
        <f t="shared" si="47"/>
        <v>Yes</v>
      </c>
      <c r="O636" t="s">
        <v>34</v>
      </c>
      <c r="P636" s="3">
        <f t="shared" si="48"/>
        <v>344.42250000000001</v>
      </c>
      <c r="Q636" t="s">
        <v>47</v>
      </c>
      <c r="R636">
        <v>5</v>
      </c>
      <c r="S636" t="str">
        <f t="shared" si="49"/>
        <v>Excellent</v>
      </c>
    </row>
    <row r="637" spans="1:19" x14ac:dyDescent="0.25">
      <c r="A637" t="s">
        <v>1003</v>
      </c>
      <c r="B637">
        <v>33</v>
      </c>
      <c r="C637" t="s">
        <v>29</v>
      </c>
      <c r="D637" t="s">
        <v>2464</v>
      </c>
      <c r="E637" t="s">
        <v>31</v>
      </c>
      <c r="F637" t="s">
        <v>169</v>
      </c>
      <c r="G637" t="s">
        <v>459</v>
      </c>
      <c r="H637" t="str">
        <f>TEXT(walmart[[#This Row],[Purchase_Date]],"DDD")</f>
        <v>Tue</v>
      </c>
      <c r="I637" t="str">
        <f>TEXT(walmart[[#This Row],[Purchase_Date]],"MMM")</f>
        <v>Aug</v>
      </c>
      <c r="J637" t="str">
        <f>TEXT(walmart[[#This Row],[Purchase_Date]],"YYY")</f>
        <v>2024</v>
      </c>
      <c r="K637" s="3">
        <v>52.44</v>
      </c>
      <c r="L637" t="str">
        <f t="shared" si="45"/>
        <v>0% off</v>
      </c>
      <c r="M637" s="3">
        <f t="shared" si="46"/>
        <v>0</v>
      </c>
      <c r="N637" t="str">
        <f t="shared" si="47"/>
        <v>No</v>
      </c>
      <c r="O637" t="s">
        <v>34</v>
      </c>
      <c r="P637" s="3">
        <f t="shared" si="48"/>
        <v>52.44</v>
      </c>
      <c r="Q637" t="s">
        <v>22</v>
      </c>
      <c r="R637">
        <v>1</v>
      </c>
      <c r="S637" t="str">
        <f t="shared" si="49"/>
        <v>Very Poor</v>
      </c>
    </row>
    <row r="638" spans="1:19" x14ac:dyDescent="0.25">
      <c r="A638" t="s">
        <v>1004</v>
      </c>
      <c r="B638">
        <v>55</v>
      </c>
      <c r="C638" t="s">
        <v>16</v>
      </c>
      <c r="D638" t="s">
        <v>2465</v>
      </c>
      <c r="E638" t="s">
        <v>18</v>
      </c>
      <c r="F638" t="s">
        <v>142</v>
      </c>
      <c r="G638" t="s">
        <v>293</v>
      </c>
      <c r="H638" t="str">
        <f>TEXT(walmart[[#This Row],[Purchase_Date]],"DDD")</f>
        <v>Wed</v>
      </c>
      <c r="I638" t="str">
        <f>TEXT(walmart[[#This Row],[Purchase_Date]],"MMM")</f>
        <v>May</v>
      </c>
      <c r="J638" t="str">
        <f>TEXT(walmart[[#This Row],[Purchase_Date]],"YYY")</f>
        <v>2024</v>
      </c>
      <c r="K638" s="3">
        <v>485.26</v>
      </c>
      <c r="L638" t="str">
        <f t="shared" si="45"/>
        <v>5% off</v>
      </c>
      <c r="M638" s="3">
        <f t="shared" si="46"/>
        <v>24.263000000000002</v>
      </c>
      <c r="N638" t="str">
        <f t="shared" si="47"/>
        <v>Yes</v>
      </c>
      <c r="O638" t="s">
        <v>21</v>
      </c>
      <c r="P638" s="3">
        <f t="shared" si="48"/>
        <v>460.99700000000001</v>
      </c>
      <c r="Q638" t="s">
        <v>35</v>
      </c>
      <c r="R638">
        <v>3</v>
      </c>
      <c r="S638" t="str">
        <f t="shared" si="49"/>
        <v>Average</v>
      </c>
    </row>
    <row r="639" spans="1:19" x14ac:dyDescent="0.25">
      <c r="A639" t="s">
        <v>1005</v>
      </c>
      <c r="B639">
        <v>53</v>
      </c>
      <c r="C639" t="s">
        <v>16</v>
      </c>
      <c r="D639" t="s">
        <v>2466</v>
      </c>
      <c r="E639" t="s">
        <v>55</v>
      </c>
      <c r="F639" t="s">
        <v>100</v>
      </c>
      <c r="G639" t="s">
        <v>423</v>
      </c>
      <c r="H639" t="str">
        <f>TEXT(walmart[[#This Row],[Purchase_Date]],"DDD")</f>
        <v>Sun</v>
      </c>
      <c r="I639" t="str">
        <f>TEXT(walmart[[#This Row],[Purchase_Date]],"MMM")</f>
        <v>Jun</v>
      </c>
      <c r="J639" t="str">
        <f>TEXT(walmart[[#This Row],[Purchase_Date]],"YYY")</f>
        <v>2024</v>
      </c>
      <c r="K639" s="3">
        <v>592.26</v>
      </c>
      <c r="L639" t="str">
        <f t="shared" si="45"/>
        <v>10% off</v>
      </c>
      <c r="M639" s="3">
        <f t="shared" si="46"/>
        <v>59.225999999999999</v>
      </c>
      <c r="N639" t="str">
        <f t="shared" si="47"/>
        <v>Yes</v>
      </c>
      <c r="O639" t="s">
        <v>21</v>
      </c>
      <c r="P639" s="3">
        <f t="shared" si="48"/>
        <v>533.03399999999999</v>
      </c>
      <c r="Q639" t="s">
        <v>22</v>
      </c>
      <c r="R639">
        <v>4</v>
      </c>
      <c r="S639" t="str">
        <f t="shared" si="49"/>
        <v>Good</v>
      </c>
    </row>
    <row r="640" spans="1:19" x14ac:dyDescent="0.25">
      <c r="A640" t="s">
        <v>1006</v>
      </c>
      <c r="B640">
        <v>29</v>
      </c>
      <c r="C640" t="s">
        <v>16</v>
      </c>
      <c r="D640" t="s">
        <v>2467</v>
      </c>
      <c r="E640" t="s">
        <v>42</v>
      </c>
      <c r="F640" t="s">
        <v>52</v>
      </c>
      <c r="G640" t="s">
        <v>995</v>
      </c>
      <c r="H640" t="str">
        <f>TEXT(walmart[[#This Row],[Purchase_Date]],"DDD")</f>
        <v>Fri</v>
      </c>
      <c r="I640" t="str">
        <f>TEXT(walmart[[#This Row],[Purchase_Date]],"MMM")</f>
        <v>Jul</v>
      </c>
      <c r="J640" t="str">
        <f>TEXT(walmart[[#This Row],[Purchase_Date]],"YYY")</f>
        <v>2024</v>
      </c>
      <c r="K640" s="3">
        <v>988.77</v>
      </c>
      <c r="L640" t="str">
        <f t="shared" si="45"/>
        <v>20% off</v>
      </c>
      <c r="M640" s="3">
        <f t="shared" si="46"/>
        <v>197.75400000000002</v>
      </c>
      <c r="N640" t="str">
        <f t="shared" si="47"/>
        <v>Yes</v>
      </c>
      <c r="O640" t="s">
        <v>34</v>
      </c>
      <c r="P640" s="3">
        <f t="shared" si="48"/>
        <v>791.01599999999996</v>
      </c>
      <c r="Q640" t="s">
        <v>47</v>
      </c>
      <c r="R640">
        <v>5</v>
      </c>
      <c r="S640" t="str">
        <f t="shared" si="49"/>
        <v>Excellent</v>
      </c>
    </row>
    <row r="641" spans="1:19" x14ac:dyDescent="0.25">
      <c r="A641" t="s">
        <v>1007</v>
      </c>
      <c r="B641">
        <v>65</v>
      </c>
      <c r="C641" t="s">
        <v>16</v>
      </c>
      <c r="D641" t="s">
        <v>2468</v>
      </c>
      <c r="E641" t="s">
        <v>55</v>
      </c>
      <c r="F641" t="s">
        <v>67</v>
      </c>
      <c r="G641" t="s">
        <v>393</v>
      </c>
      <c r="H641" t="str">
        <f>TEXT(walmart[[#This Row],[Purchase_Date]],"DDD")</f>
        <v>Mon</v>
      </c>
      <c r="I641" t="str">
        <f>TEXT(walmart[[#This Row],[Purchase_Date]],"MMM")</f>
        <v>Oct</v>
      </c>
      <c r="J641" t="str">
        <f>TEXT(walmart[[#This Row],[Purchase_Date]],"YYY")</f>
        <v>2024</v>
      </c>
      <c r="K641" s="3">
        <v>452.97</v>
      </c>
      <c r="L641" t="str">
        <f t="shared" si="45"/>
        <v>5% off</v>
      </c>
      <c r="M641" s="3">
        <f t="shared" si="46"/>
        <v>22.648500000000002</v>
      </c>
      <c r="N641" t="str">
        <f t="shared" si="47"/>
        <v>Yes</v>
      </c>
      <c r="O641" t="s">
        <v>21</v>
      </c>
      <c r="P641" s="3">
        <f t="shared" si="48"/>
        <v>430.32150000000001</v>
      </c>
      <c r="Q641" t="s">
        <v>47</v>
      </c>
      <c r="R641">
        <v>2</v>
      </c>
      <c r="S641" t="str">
        <f t="shared" si="49"/>
        <v>Poor</v>
      </c>
    </row>
    <row r="642" spans="1:19" x14ac:dyDescent="0.25">
      <c r="A642" t="s">
        <v>1008</v>
      </c>
      <c r="B642">
        <v>54</v>
      </c>
      <c r="C642" t="s">
        <v>29</v>
      </c>
      <c r="D642" t="s">
        <v>2469</v>
      </c>
      <c r="E642" t="s">
        <v>55</v>
      </c>
      <c r="F642" t="s">
        <v>56</v>
      </c>
      <c r="G642" t="s">
        <v>342</v>
      </c>
      <c r="H642" t="str">
        <f>TEXT(walmart[[#This Row],[Purchase_Date]],"DDD")</f>
        <v>Mon</v>
      </c>
      <c r="I642" t="str">
        <f>TEXT(walmart[[#This Row],[Purchase_Date]],"MMM")</f>
        <v>Apr</v>
      </c>
      <c r="J642" t="str">
        <f>TEXT(walmart[[#This Row],[Purchase_Date]],"YYY")</f>
        <v>2024</v>
      </c>
      <c r="K642" s="3">
        <v>76.81</v>
      </c>
      <c r="L642" t="str">
        <f t="shared" si="45"/>
        <v>0% off</v>
      </c>
      <c r="M642" s="3">
        <f t="shared" si="46"/>
        <v>0</v>
      </c>
      <c r="N642" t="str">
        <f t="shared" si="47"/>
        <v>No</v>
      </c>
      <c r="O642" t="s">
        <v>34</v>
      </c>
      <c r="P642" s="3">
        <f t="shared" si="48"/>
        <v>76.81</v>
      </c>
      <c r="Q642" t="s">
        <v>47</v>
      </c>
      <c r="R642">
        <v>4</v>
      </c>
      <c r="S642" t="str">
        <f t="shared" si="49"/>
        <v>Good</v>
      </c>
    </row>
    <row r="643" spans="1:19" x14ac:dyDescent="0.25">
      <c r="A643" t="s">
        <v>1009</v>
      </c>
      <c r="B643">
        <v>32</v>
      </c>
      <c r="C643" t="s">
        <v>29</v>
      </c>
      <c r="D643" t="s">
        <v>2470</v>
      </c>
      <c r="E643" t="s">
        <v>55</v>
      </c>
      <c r="F643" t="s">
        <v>64</v>
      </c>
      <c r="G643" t="s">
        <v>1010</v>
      </c>
      <c r="H643" t="str">
        <f>TEXT(walmart[[#This Row],[Purchase_Date]],"DDD")</f>
        <v>Mon</v>
      </c>
      <c r="I643" t="str">
        <f>TEXT(walmart[[#This Row],[Purchase_Date]],"MMM")</f>
        <v>Aug</v>
      </c>
      <c r="J643" t="str">
        <f>TEXT(walmart[[#This Row],[Purchase_Date]],"YYY")</f>
        <v>2024</v>
      </c>
      <c r="K643" s="3">
        <v>374.92</v>
      </c>
      <c r="L643" t="str">
        <f t="shared" ref="L643:L706" si="50">IF(K643&lt;150,"0% off",IF(K643&lt;500,"5% off",IF(K643&lt;700,"10% off",IF(K643&lt;900,"15% off","20% off"))))</f>
        <v>5% off</v>
      </c>
      <c r="M643" s="3">
        <f t="shared" ref="M643:M706" si="51">K643 * (LEFT(L643, LEN(L643)-5) / 100)</f>
        <v>18.746000000000002</v>
      </c>
      <c r="N643" t="str">
        <f t="shared" ref="N643:N706" si="52">IF(L643="0% off", "No", "Yes")</f>
        <v>Yes</v>
      </c>
      <c r="O643" t="s">
        <v>34</v>
      </c>
      <c r="P643" s="3">
        <f t="shared" ref="P643:P706" si="53">K643-M643</f>
        <v>356.17400000000004</v>
      </c>
      <c r="Q643" t="s">
        <v>35</v>
      </c>
      <c r="R643">
        <v>2</v>
      </c>
      <c r="S643" t="str">
        <f t="shared" ref="S643:S706" si="54">IF(R643=5, "Excellent", IF(R643=4, "Good", IF(R643=3, "Average", IF(R643=2, "Poor", IF(R643=1, "Very Poor", "Invalid Rating")))))</f>
        <v>Poor</v>
      </c>
    </row>
    <row r="644" spans="1:19" x14ac:dyDescent="0.25">
      <c r="A644" t="s">
        <v>1011</v>
      </c>
      <c r="B644">
        <v>42</v>
      </c>
      <c r="C644" t="s">
        <v>16</v>
      </c>
      <c r="D644" t="s">
        <v>2471</v>
      </c>
      <c r="E644" t="s">
        <v>31</v>
      </c>
      <c r="F644" t="s">
        <v>300</v>
      </c>
      <c r="G644" t="s">
        <v>20</v>
      </c>
      <c r="H644" t="str">
        <f>TEXT(walmart[[#This Row],[Purchase_Date]],"DDD")</f>
        <v>Fri</v>
      </c>
      <c r="I644" t="str">
        <f>TEXT(walmart[[#This Row],[Purchase_Date]],"MMM")</f>
        <v>Apr</v>
      </c>
      <c r="J644" t="str">
        <f>TEXT(walmart[[#This Row],[Purchase_Date]],"YYY")</f>
        <v>2024</v>
      </c>
      <c r="K644" s="3">
        <v>340.04</v>
      </c>
      <c r="L644" t="str">
        <f t="shared" si="50"/>
        <v>5% off</v>
      </c>
      <c r="M644" s="3">
        <f t="shared" si="51"/>
        <v>17.002000000000002</v>
      </c>
      <c r="N644" t="str">
        <f t="shared" si="52"/>
        <v>Yes</v>
      </c>
      <c r="O644" t="s">
        <v>21</v>
      </c>
      <c r="P644" s="3">
        <f t="shared" si="53"/>
        <v>323.03800000000001</v>
      </c>
      <c r="Q644" t="s">
        <v>35</v>
      </c>
      <c r="R644">
        <v>3</v>
      </c>
      <c r="S644" t="str">
        <f t="shared" si="54"/>
        <v>Average</v>
      </c>
    </row>
    <row r="645" spans="1:19" x14ac:dyDescent="0.25">
      <c r="A645" t="s">
        <v>1012</v>
      </c>
      <c r="B645">
        <v>61</v>
      </c>
      <c r="C645" t="s">
        <v>16</v>
      </c>
      <c r="D645" t="s">
        <v>2472</v>
      </c>
      <c r="E645" t="s">
        <v>18</v>
      </c>
      <c r="F645" t="s">
        <v>77</v>
      </c>
      <c r="G645" t="s">
        <v>749</v>
      </c>
      <c r="H645" t="str">
        <f>TEXT(walmart[[#This Row],[Purchase_Date]],"DDD")</f>
        <v>Fri</v>
      </c>
      <c r="I645" t="str">
        <f>TEXT(walmart[[#This Row],[Purchase_Date]],"MMM")</f>
        <v>Sep</v>
      </c>
      <c r="J645" t="str">
        <f>TEXT(walmart[[#This Row],[Purchase_Date]],"YYY")</f>
        <v>2024</v>
      </c>
      <c r="K645" s="3">
        <v>116.78</v>
      </c>
      <c r="L645" t="str">
        <f t="shared" si="50"/>
        <v>0% off</v>
      </c>
      <c r="M645" s="3">
        <f t="shared" si="51"/>
        <v>0</v>
      </c>
      <c r="N645" t="str">
        <f t="shared" si="52"/>
        <v>No</v>
      </c>
      <c r="O645" t="s">
        <v>21</v>
      </c>
      <c r="P645" s="3">
        <f t="shared" si="53"/>
        <v>116.78</v>
      </c>
      <c r="Q645" t="s">
        <v>22</v>
      </c>
      <c r="R645">
        <v>2</v>
      </c>
      <c r="S645" t="str">
        <f t="shared" si="54"/>
        <v>Poor</v>
      </c>
    </row>
    <row r="646" spans="1:19" x14ac:dyDescent="0.25">
      <c r="A646" t="s">
        <v>1013</v>
      </c>
      <c r="B646">
        <v>35</v>
      </c>
      <c r="C646" t="s">
        <v>29</v>
      </c>
      <c r="D646" t="s">
        <v>2473</v>
      </c>
      <c r="E646" t="s">
        <v>55</v>
      </c>
      <c r="F646" t="s">
        <v>64</v>
      </c>
      <c r="G646" t="s">
        <v>108</v>
      </c>
      <c r="H646" t="str">
        <f>TEXT(walmart[[#This Row],[Purchase_Date]],"DDD")</f>
        <v>Wed</v>
      </c>
      <c r="I646" t="str">
        <f>TEXT(walmart[[#This Row],[Purchase_Date]],"MMM")</f>
        <v>Aug</v>
      </c>
      <c r="J646" t="str">
        <f>TEXT(walmart[[#This Row],[Purchase_Date]],"YYY")</f>
        <v>2024</v>
      </c>
      <c r="K646" s="3">
        <v>374.92</v>
      </c>
      <c r="L646" t="str">
        <f t="shared" si="50"/>
        <v>5% off</v>
      </c>
      <c r="M646" s="3">
        <f t="shared" si="51"/>
        <v>18.746000000000002</v>
      </c>
      <c r="N646" t="str">
        <f t="shared" si="52"/>
        <v>Yes</v>
      </c>
      <c r="O646" t="s">
        <v>34</v>
      </c>
      <c r="P646" s="3">
        <f t="shared" si="53"/>
        <v>356.17400000000004</v>
      </c>
      <c r="Q646" t="s">
        <v>47</v>
      </c>
      <c r="R646">
        <v>2</v>
      </c>
      <c r="S646" t="str">
        <f t="shared" si="54"/>
        <v>Poor</v>
      </c>
    </row>
    <row r="647" spans="1:19" x14ac:dyDescent="0.25">
      <c r="A647" t="s">
        <v>1014</v>
      </c>
      <c r="B647">
        <v>23</v>
      </c>
      <c r="C647" t="s">
        <v>16</v>
      </c>
      <c r="D647" t="s">
        <v>2474</v>
      </c>
      <c r="E647" t="s">
        <v>73</v>
      </c>
      <c r="F647" t="s">
        <v>138</v>
      </c>
      <c r="G647" t="s">
        <v>523</v>
      </c>
      <c r="H647" t="str">
        <f>TEXT(walmart[[#This Row],[Purchase_Date]],"DDD")</f>
        <v>Fri</v>
      </c>
      <c r="I647" t="str">
        <f>TEXT(walmart[[#This Row],[Purchase_Date]],"MMM")</f>
        <v>Oct</v>
      </c>
      <c r="J647" t="str">
        <f>TEXT(walmart[[#This Row],[Purchase_Date]],"YYY")</f>
        <v>2024</v>
      </c>
      <c r="K647" s="3">
        <v>461.81</v>
      </c>
      <c r="L647" t="str">
        <f t="shared" si="50"/>
        <v>5% off</v>
      </c>
      <c r="M647" s="3">
        <f t="shared" si="51"/>
        <v>23.090500000000002</v>
      </c>
      <c r="N647" t="str">
        <f t="shared" si="52"/>
        <v>Yes</v>
      </c>
      <c r="O647" t="s">
        <v>34</v>
      </c>
      <c r="P647" s="3">
        <f t="shared" si="53"/>
        <v>438.71949999999998</v>
      </c>
      <c r="Q647" t="s">
        <v>35</v>
      </c>
      <c r="R647">
        <v>4</v>
      </c>
      <c r="S647" t="str">
        <f t="shared" si="54"/>
        <v>Good</v>
      </c>
    </row>
    <row r="648" spans="1:19" x14ac:dyDescent="0.25">
      <c r="A648" t="s">
        <v>1015</v>
      </c>
      <c r="B648">
        <v>68</v>
      </c>
      <c r="C648" t="s">
        <v>29</v>
      </c>
      <c r="D648" t="s">
        <v>2475</v>
      </c>
      <c r="E648" t="s">
        <v>37</v>
      </c>
      <c r="F648" t="s">
        <v>38</v>
      </c>
      <c r="G648" t="s">
        <v>149</v>
      </c>
      <c r="H648" t="str">
        <f>TEXT(walmart[[#This Row],[Purchase_Date]],"DDD")</f>
        <v>Thu</v>
      </c>
      <c r="I648" t="str">
        <f>TEXT(walmart[[#This Row],[Purchase_Date]],"MMM")</f>
        <v>Oct</v>
      </c>
      <c r="J648" t="str">
        <f>TEXT(walmart[[#This Row],[Purchase_Date]],"YYY")</f>
        <v>2024</v>
      </c>
      <c r="K648" s="3">
        <v>211.46</v>
      </c>
      <c r="L648" t="str">
        <f t="shared" si="50"/>
        <v>5% off</v>
      </c>
      <c r="M648" s="3">
        <f t="shared" si="51"/>
        <v>10.573</v>
      </c>
      <c r="N648" t="str">
        <f t="shared" si="52"/>
        <v>Yes</v>
      </c>
      <c r="O648" t="s">
        <v>21</v>
      </c>
      <c r="P648" s="3">
        <f t="shared" si="53"/>
        <v>200.887</v>
      </c>
      <c r="Q648" t="s">
        <v>27</v>
      </c>
      <c r="R648">
        <v>1</v>
      </c>
      <c r="S648" t="str">
        <f t="shared" si="54"/>
        <v>Very Poor</v>
      </c>
    </row>
    <row r="649" spans="1:19" x14ac:dyDescent="0.25">
      <c r="A649" t="s">
        <v>1016</v>
      </c>
      <c r="B649">
        <v>64</v>
      </c>
      <c r="C649" t="s">
        <v>29</v>
      </c>
      <c r="D649" t="s">
        <v>2476</v>
      </c>
      <c r="E649" t="s">
        <v>18</v>
      </c>
      <c r="F649" t="s">
        <v>77</v>
      </c>
      <c r="G649" t="s">
        <v>39</v>
      </c>
      <c r="H649" t="str">
        <f>TEXT(walmart[[#This Row],[Purchase_Date]],"DDD")</f>
        <v>Sat</v>
      </c>
      <c r="I649" t="str">
        <f>TEXT(walmart[[#This Row],[Purchase_Date]],"MMM")</f>
        <v>Nov</v>
      </c>
      <c r="J649" t="str">
        <f>TEXT(walmart[[#This Row],[Purchase_Date]],"YYY")</f>
        <v>2024</v>
      </c>
      <c r="K649" s="3">
        <v>116.78</v>
      </c>
      <c r="L649" t="str">
        <f t="shared" si="50"/>
        <v>0% off</v>
      </c>
      <c r="M649" s="3">
        <f t="shared" si="51"/>
        <v>0</v>
      </c>
      <c r="N649" t="str">
        <f t="shared" si="52"/>
        <v>No</v>
      </c>
      <c r="O649" t="s">
        <v>21</v>
      </c>
      <c r="P649" s="3">
        <f t="shared" si="53"/>
        <v>116.78</v>
      </c>
      <c r="Q649" t="s">
        <v>22</v>
      </c>
      <c r="R649">
        <v>3</v>
      </c>
      <c r="S649" t="str">
        <f t="shared" si="54"/>
        <v>Average</v>
      </c>
    </row>
    <row r="650" spans="1:19" x14ac:dyDescent="0.25">
      <c r="A650" t="s">
        <v>1017</v>
      </c>
      <c r="B650">
        <v>33</v>
      </c>
      <c r="C650" t="s">
        <v>16</v>
      </c>
      <c r="D650" t="s">
        <v>2477</v>
      </c>
      <c r="E650" t="s">
        <v>37</v>
      </c>
      <c r="F650" t="s">
        <v>82</v>
      </c>
      <c r="G650" t="s">
        <v>423</v>
      </c>
      <c r="H650" t="str">
        <f>TEXT(walmart[[#This Row],[Purchase_Date]],"DDD")</f>
        <v>Sun</v>
      </c>
      <c r="I650" t="str">
        <f>TEXT(walmart[[#This Row],[Purchase_Date]],"MMM")</f>
        <v>Jun</v>
      </c>
      <c r="J650" t="str">
        <f>TEXT(walmart[[#This Row],[Purchase_Date]],"YYY")</f>
        <v>2024</v>
      </c>
      <c r="K650" s="3">
        <v>270.41000000000003</v>
      </c>
      <c r="L650" t="str">
        <f t="shared" si="50"/>
        <v>5% off</v>
      </c>
      <c r="M650" s="3">
        <f t="shared" si="51"/>
        <v>13.520500000000002</v>
      </c>
      <c r="N650" t="str">
        <f t="shared" si="52"/>
        <v>Yes</v>
      </c>
      <c r="O650" t="s">
        <v>21</v>
      </c>
      <c r="P650" s="3">
        <f t="shared" si="53"/>
        <v>256.8895</v>
      </c>
      <c r="Q650" t="s">
        <v>47</v>
      </c>
      <c r="R650">
        <v>5</v>
      </c>
      <c r="S650" t="str">
        <f t="shared" si="54"/>
        <v>Excellent</v>
      </c>
    </row>
    <row r="651" spans="1:19" x14ac:dyDescent="0.25">
      <c r="A651" t="s">
        <v>1018</v>
      </c>
      <c r="B651">
        <v>34</v>
      </c>
      <c r="C651" t="s">
        <v>29</v>
      </c>
      <c r="D651" t="s">
        <v>2478</v>
      </c>
      <c r="E651" t="s">
        <v>24</v>
      </c>
      <c r="F651" t="s">
        <v>186</v>
      </c>
      <c r="G651" t="s">
        <v>260</v>
      </c>
      <c r="H651" t="str">
        <f>TEXT(walmart[[#This Row],[Purchase_Date]],"DDD")</f>
        <v>Thu</v>
      </c>
      <c r="I651" t="str">
        <f>TEXT(walmart[[#This Row],[Purchase_Date]],"MMM")</f>
        <v>Mar</v>
      </c>
      <c r="J651" t="str">
        <f>TEXT(walmart[[#This Row],[Purchase_Date]],"YYY")</f>
        <v>2025</v>
      </c>
      <c r="K651" s="3">
        <v>527.16999999999996</v>
      </c>
      <c r="L651" t="str">
        <f t="shared" si="50"/>
        <v>10% off</v>
      </c>
      <c r="M651" s="3">
        <f t="shared" si="51"/>
        <v>52.716999999999999</v>
      </c>
      <c r="N651" t="str">
        <f t="shared" si="52"/>
        <v>Yes</v>
      </c>
      <c r="O651" t="s">
        <v>34</v>
      </c>
      <c r="P651" s="3">
        <f t="shared" si="53"/>
        <v>474.45299999999997</v>
      </c>
      <c r="Q651" t="s">
        <v>47</v>
      </c>
      <c r="R651">
        <v>4</v>
      </c>
      <c r="S651" t="str">
        <f t="shared" si="54"/>
        <v>Good</v>
      </c>
    </row>
    <row r="652" spans="1:19" x14ac:dyDescent="0.25">
      <c r="A652" t="s">
        <v>1019</v>
      </c>
      <c r="B652">
        <v>51</v>
      </c>
      <c r="C652" t="s">
        <v>16</v>
      </c>
      <c r="D652" t="s">
        <v>2479</v>
      </c>
      <c r="E652" t="s">
        <v>24</v>
      </c>
      <c r="F652" t="s">
        <v>186</v>
      </c>
      <c r="G652" t="s">
        <v>950</v>
      </c>
      <c r="H652" t="str">
        <f>TEXT(walmart[[#This Row],[Purchase_Date]],"DDD")</f>
        <v>Tue</v>
      </c>
      <c r="I652" t="str">
        <f>TEXT(walmart[[#This Row],[Purchase_Date]],"MMM")</f>
        <v>May</v>
      </c>
      <c r="J652" t="str">
        <f>TEXT(walmart[[#This Row],[Purchase_Date]],"YYY")</f>
        <v>2024</v>
      </c>
      <c r="K652" s="3">
        <v>527.16999999999996</v>
      </c>
      <c r="L652" t="str">
        <f t="shared" si="50"/>
        <v>10% off</v>
      </c>
      <c r="M652" s="3">
        <f t="shared" si="51"/>
        <v>52.716999999999999</v>
      </c>
      <c r="N652" t="str">
        <f t="shared" si="52"/>
        <v>Yes</v>
      </c>
      <c r="O652" t="s">
        <v>21</v>
      </c>
      <c r="P652" s="3">
        <f t="shared" si="53"/>
        <v>474.45299999999997</v>
      </c>
      <c r="Q652" t="s">
        <v>27</v>
      </c>
      <c r="R652">
        <v>4</v>
      </c>
      <c r="S652" t="str">
        <f t="shared" si="54"/>
        <v>Good</v>
      </c>
    </row>
    <row r="653" spans="1:19" x14ac:dyDescent="0.25">
      <c r="A653" t="s">
        <v>1020</v>
      </c>
      <c r="B653">
        <v>28</v>
      </c>
      <c r="C653" t="s">
        <v>29</v>
      </c>
      <c r="D653" t="s">
        <v>2480</v>
      </c>
      <c r="E653" t="s">
        <v>55</v>
      </c>
      <c r="F653" t="s">
        <v>56</v>
      </c>
      <c r="G653" t="s">
        <v>1021</v>
      </c>
      <c r="H653" t="str">
        <f>TEXT(walmart[[#This Row],[Purchase_Date]],"DDD")</f>
        <v>Wed</v>
      </c>
      <c r="I653" t="str">
        <f>TEXT(walmart[[#This Row],[Purchase_Date]],"MMM")</f>
        <v>Apr</v>
      </c>
      <c r="J653" t="str">
        <f>TEXT(walmart[[#This Row],[Purchase_Date]],"YYY")</f>
        <v>2024</v>
      </c>
      <c r="K653" s="3">
        <v>76.81</v>
      </c>
      <c r="L653" t="str">
        <f t="shared" si="50"/>
        <v>0% off</v>
      </c>
      <c r="M653" s="3">
        <f t="shared" si="51"/>
        <v>0</v>
      </c>
      <c r="N653" t="str">
        <f t="shared" si="52"/>
        <v>No</v>
      </c>
      <c r="O653" t="s">
        <v>34</v>
      </c>
      <c r="P653" s="3">
        <f t="shared" si="53"/>
        <v>76.81</v>
      </c>
      <c r="Q653" t="s">
        <v>22</v>
      </c>
      <c r="R653">
        <v>5</v>
      </c>
      <c r="S653" t="str">
        <f t="shared" si="54"/>
        <v>Excellent</v>
      </c>
    </row>
    <row r="654" spans="1:19" x14ac:dyDescent="0.25">
      <c r="A654" t="s">
        <v>1022</v>
      </c>
      <c r="B654">
        <v>20</v>
      </c>
      <c r="C654" t="s">
        <v>16</v>
      </c>
      <c r="D654" t="s">
        <v>2481</v>
      </c>
      <c r="E654" t="s">
        <v>24</v>
      </c>
      <c r="F654" t="s">
        <v>25</v>
      </c>
      <c r="G654" t="s">
        <v>62</v>
      </c>
      <c r="H654" t="str">
        <f>TEXT(walmart[[#This Row],[Purchase_Date]],"DDD")</f>
        <v>Sun</v>
      </c>
      <c r="I654" t="str">
        <f>TEXT(walmart[[#This Row],[Purchase_Date]],"MMM")</f>
        <v>Aug</v>
      </c>
      <c r="J654" t="str">
        <f>TEXT(walmart[[#This Row],[Purchase_Date]],"YYY")</f>
        <v>2024</v>
      </c>
      <c r="K654" s="3">
        <v>67.040000000000006</v>
      </c>
      <c r="L654" t="str">
        <f t="shared" si="50"/>
        <v>0% off</v>
      </c>
      <c r="M654" s="3">
        <f t="shared" si="51"/>
        <v>0</v>
      </c>
      <c r="N654" t="str">
        <f t="shared" si="52"/>
        <v>No</v>
      </c>
      <c r="O654" t="s">
        <v>34</v>
      </c>
      <c r="P654" s="3">
        <f t="shared" si="53"/>
        <v>67.040000000000006</v>
      </c>
      <c r="Q654" t="s">
        <v>35</v>
      </c>
      <c r="R654">
        <v>1</v>
      </c>
      <c r="S654" t="str">
        <f t="shared" si="54"/>
        <v>Very Poor</v>
      </c>
    </row>
    <row r="655" spans="1:19" x14ac:dyDescent="0.25">
      <c r="A655" t="s">
        <v>1023</v>
      </c>
      <c r="B655">
        <v>56</v>
      </c>
      <c r="C655" t="s">
        <v>29</v>
      </c>
      <c r="D655" t="s">
        <v>2482</v>
      </c>
      <c r="E655" t="s">
        <v>55</v>
      </c>
      <c r="F655" t="s">
        <v>64</v>
      </c>
      <c r="G655" t="s">
        <v>1024</v>
      </c>
      <c r="H655" t="str">
        <f>TEXT(walmart[[#This Row],[Purchase_Date]],"DDD")</f>
        <v>Wed</v>
      </c>
      <c r="I655" t="str">
        <f>TEXT(walmart[[#This Row],[Purchase_Date]],"MMM")</f>
        <v>May</v>
      </c>
      <c r="J655" t="str">
        <f>TEXT(walmart[[#This Row],[Purchase_Date]],"YYY")</f>
        <v>2024</v>
      </c>
      <c r="K655" s="3">
        <v>374.92</v>
      </c>
      <c r="L655" t="str">
        <f t="shared" si="50"/>
        <v>5% off</v>
      </c>
      <c r="M655" s="3">
        <f t="shared" si="51"/>
        <v>18.746000000000002</v>
      </c>
      <c r="N655" t="str">
        <f t="shared" si="52"/>
        <v>Yes</v>
      </c>
      <c r="O655" t="s">
        <v>34</v>
      </c>
      <c r="P655" s="3">
        <f t="shared" si="53"/>
        <v>356.17400000000004</v>
      </c>
      <c r="Q655" t="s">
        <v>47</v>
      </c>
      <c r="R655">
        <v>2</v>
      </c>
      <c r="S655" t="str">
        <f t="shared" si="54"/>
        <v>Poor</v>
      </c>
    </row>
    <row r="656" spans="1:19" x14ac:dyDescent="0.25">
      <c r="A656" t="s">
        <v>1025</v>
      </c>
      <c r="B656">
        <v>54</v>
      </c>
      <c r="C656" t="s">
        <v>16</v>
      </c>
      <c r="D656" t="s">
        <v>2462</v>
      </c>
      <c r="E656" t="s">
        <v>37</v>
      </c>
      <c r="F656" t="s">
        <v>38</v>
      </c>
      <c r="G656" t="s">
        <v>363</v>
      </c>
      <c r="H656" t="str">
        <f>TEXT(walmart[[#This Row],[Purchase_Date]],"DDD")</f>
        <v>Tue</v>
      </c>
      <c r="I656" t="str">
        <f>TEXT(walmart[[#This Row],[Purchase_Date]],"MMM")</f>
        <v>Aug</v>
      </c>
      <c r="J656" t="str">
        <f>TEXT(walmart[[#This Row],[Purchase_Date]],"YYY")</f>
        <v>2024</v>
      </c>
      <c r="K656" s="3">
        <v>211.46</v>
      </c>
      <c r="L656" t="str">
        <f t="shared" si="50"/>
        <v>5% off</v>
      </c>
      <c r="M656" s="3">
        <f t="shared" si="51"/>
        <v>10.573</v>
      </c>
      <c r="N656" t="str">
        <f t="shared" si="52"/>
        <v>Yes</v>
      </c>
      <c r="O656" t="s">
        <v>21</v>
      </c>
      <c r="P656" s="3">
        <f t="shared" si="53"/>
        <v>200.887</v>
      </c>
      <c r="Q656" t="s">
        <v>35</v>
      </c>
      <c r="R656">
        <v>1</v>
      </c>
      <c r="S656" t="str">
        <f t="shared" si="54"/>
        <v>Very Poor</v>
      </c>
    </row>
    <row r="657" spans="1:19" x14ac:dyDescent="0.25">
      <c r="A657" t="s">
        <v>1026</v>
      </c>
      <c r="B657">
        <v>69</v>
      </c>
      <c r="C657" t="s">
        <v>29</v>
      </c>
      <c r="D657" t="s">
        <v>2483</v>
      </c>
      <c r="E657" t="s">
        <v>55</v>
      </c>
      <c r="F657" t="s">
        <v>64</v>
      </c>
      <c r="G657" t="s">
        <v>353</v>
      </c>
      <c r="H657" t="str">
        <f>TEXT(walmart[[#This Row],[Purchase_Date]],"DDD")</f>
        <v>Tue</v>
      </c>
      <c r="I657" t="str">
        <f>TEXT(walmart[[#This Row],[Purchase_Date]],"MMM")</f>
        <v>Jul</v>
      </c>
      <c r="J657" t="str">
        <f>TEXT(walmart[[#This Row],[Purchase_Date]],"YYY")</f>
        <v>2024</v>
      </c>
      <c r="K657" s="3">
        <v>374.92</v>
      </c>
      <c r="L657" t="str">
        <f t="shared" si="50"/>
        <v>5% off</v>
      </c>
      <c r="M657" s="3">
        <f t="shared" si="51"/>
        <v>18.746000000000002</v>
      </c>
      <c r="N657" t="str">
        <f t="shared" si="52"/>
        <v>Yes</v>
      </c>
      <c r="O657" t="s">
        <v>21</v>
      </c>
      <c r="P657" s="3">
        <f t="shared" si="53"/>
        <v>356.17400000000004</v>
      </c>
      <c r="Q657" t="s">
        <v>22</v>
      </c>
      <c r="R657">
        <v>2</v>
      </c>
      <c r="S657" t="str">
        <f t="shared" si="54"/>
        <v>Poor</v>
      </c>
    </row>
    <row r="658" spans="1:19" x14ac:dyDescent="0.25">
      <c r="A658" t="s">
        <v>1027</v>
      </c>
      <c r="B658">
        <v>43</v>
      </c>
      <c r="C658" t="s">
        <v>16</v>
      </c>
      <c r="D658" t="s">
        <v>2484</v>
      </c>
      <c r="E658" t="s">
        <v>24</v>
      </c>
      <c r="F658" t="s">
        <v>162</v>
      </c>
      <c r="G658" t="s">
        <v>414</v>
      </c>
      <c r="H658" t="str">
        <f>TEXT(walmart[[#This Row],[Purchase_Date]],"DDD")</f>
        <v>Thu</v>
      </c>
      <c r="I658" t="str">
        <f>TEXT(walmart[[#This Row],[Purchase_Date]],"MMM")</f>
        <v>Jun</v>
      </c>
      <c r="J658" t="str">
        <f>TEXT(walmart[[#This Row],[Purchase_Date]],"YYY")</f>
        <v>2024</v>
      </c>
      <c r="K658" s="3">
        <v>362.55</v>
      </c>
      <c r="L658" t="str">
        <f t="shared" si="50"/>
        <v>5% off</v>
      </c>
      <c r="M658" s="3">
        <f t="shared" si="51"/>
        <v>18.127500000000001</v>
      </c>
      <c r="N658" t="str">
        <f t="shared" si="52"/>
        <v>Yes</v>
      </c>
      <c r="O658" t="s">
        <v>34</v>
      </c>
      <c r="P658" s="3">
        <f t="shared" si="53"/>
        <v>344.42250000000001</v>
      </c>
      <c r="Q658" t="s">
        <v>22</v>
      </c>
      <c r="R658">
        <v>4</v>
      </c>
      <c r="S658" t="str">
        <f t="shared" si="54"/>
        <v>Good</v>
      </c>
    </row>
    <row r="659" spans="1:19" x14ac:dyDescent="0.25">
      <c r="A659" t="s">
        <v>1028</v>
      </c>
      <c r="B659">
        <v>40</v>
      </c>
      <c r="C659" t="s">
        <v>16</v>
      </c>
      <c r="D659" t="s">
        <v>2485</v>
      </c>
      <c r="E659" t="s">
        <v>55</v>
      </c>
      <c r="F659" t="s">
        <v>64</v>
      </c>
      <c r="G659" t="s">
        <v>395</v>
      </c>
      <c r="H659" t="str">
        <f>TEXT(walmart[[#This Row],[Purchase_Date]],"DDD")</f>
        <v>Sun</v>
      </c>
      <c r="I659" t="str">
        <f>TEXT(walmart[[#This Row],[Purchase_Date]],"MMM")</f>
        <v>Feb</v>
      </c>
      <c r="J659" t="str">
        <f>TEXT(walmart[[#This Row],[Purchase_Date]],"YYY")</f>
        <v>2025</v>
      </c>
      <c r="K659" s="3">
        <v>374.92</v>
      </c>
      <c r="L659" t="str">
        <f t="shared" si="50"/>
        <v>5% off</v>
      </c>
      <c r="M659" s="3">
        <f t="shared" si="51"/>
        <v>18.746000000000002</v>
      </c>
      <c r="N659" t="str">
        <f t="shared" si="52"/>
        <v>Yes</v>
      </c>
      <c r="O659" t="s">
        <v>34</v>
      </c>
      <c r="P659" s="3">
        <f t="shared" si="53"/>
        <v>356.17400000000004</v>
      </c>
      <c r="Q659" t="s">
        <v>35</v>
      </c>
      <c r="R659">
        <v>2</v>
      </c>
      <c r="S659" t="str">
        <f t="shared" si="54"/>
        <v>Poor</v>
      </c>
    </row>
    <row r="660" spans="1:19" x14ac:dyDescent="0.25">
      <c r="A660" t="s">
        <v>1029</v>
      </c>
      <c r="B660">
        <v>22</v>
      </c>
      <c r="C660" t="s">
        <v>29</v>
      </c>
      <c r="D660" t="s">
        <v>2486</v>
      </c>
      <c r="E660" t="s">
        <v>73</v>
      </c>
      <c r="F660" t="s">
        <v>74</v>
      </c>
      <c r="G660" t="s">
        <v>508</v>
      </c>
      <c r="H660" t="str">
        <f>TEXT(walmart[[#This Row],[Purchase_Date]],"DDD")</f>
        <v>Thu</v>
      </c>
      <c r="I660" t="str">
        <f>TEXT(walmart[[#This Row],[Purchase_Date]],"MMM")</f>
        <v>Jul</v>
      </c>
      <c r="J660" t="str">
        <f>TEXT(walmart[[#This Row],[Purchase_Date]],"YYY")</f>
        <v>2024</v>
      </c>
      <c r="K660" s="3">
        <v>782.29</v>
      </c>
      <c r="L660" t="str">
        <f t="shared" si="50"/>
        <v>15% off</v>
      </c>
      <c r="M660" s="3">
        <f t="shared" si="51"/>
        <v>117.34349999999999</v>
      </c>
      <c r="N660" t="str">
        <f t="shared" si="52"/>
        <v>Yes</v>
      </c>
      <c r="O660" t="s">
        <v>34</v>
      </c>
      <c r="P660" s="3">
        <f t="shared" si="53"/>
        <v>664.94650000000001</v>
      </c>
      <c r="Q660" t="s">
        <v>22</v>
      </c>
      <c r="R660">
        <v>1</v>
      </c>
      <c r="S660" t="str">
        <f t="shared" si="54"/>
        <v>Very Poor</v>
      </c>
    </row>
    <row r="661" spans="1:19" x14ac:dyDescent="0.25">
      <c r="A661" t="s">
        <v>1030</v>
      </c>
      <c r="B661">
        <v>65</v>
      </c>
      <c r="C661" t="s">
        <v>16</v>
      </c>
      <c r="D661" t="s">
        <v>2487</v>
      </c>
      <c r="E661" t="s">
        <v>31</v>
      </c>
      <c r="F661" t="s">
        <v>32</v>
      </c>
      <c r="G661" t="s">
        <v>357</v>
      </c>
      <c r="H661" t="str">
        <f>TEXT(walmart[[#This Row],[Purchase_Date]],"DDD")</f>
        <v>Fri</v>
      </c>
      <c r="I661" t="str">
        <f>TEXT(walmart[[#This Row],[Purchase_Date]],"MMM")</f>
        <v>Nov</v>
      </c>
      <c r="J661" t="str">
        <f>TEXT(walmart[[#This Row],[Purchase_Date]],"YYY")</f>
        <v>2024</v>
      </c>
      <c r="K661" s="3">
        <v>493.96</v>
      </c>
      <c r="L661" t="str">
        <f t="shared" si="50"/>
        <v>5% off</v>
      </c>
      <c r="M661" s="3">
        <f t="shared" si="51"/>
        <v>24.698</v>
      </c>
      <c r="N661" t="str">
        <f t="shared" si="52"/>
        <v>Yes</v>
      </c>
      <c r="O661" t="s">
        <v>34</v>
      </c>
      <c r="P661" s="3">
        <f t="shared" si="53"/>
        <v>469.262</v>
      </c>
      <c r="Q661" t="s">
        <v>35</v>
      </c>
      <c r="R661">
        <v>3</v>
      </c>
      <c r="S661" t="str">
        <f t="shared" si="54"/>
        <v>Average</v>
      </c>
    </row>
    <row r="662" spans="1:19" x14ac:dyDescent="0.25">
      <c r="A662" t="s">
        <v>1031</v>
      </c>
      <c r="B662">
        <v>40</v>
      </c>
      <c r="C662" t="s">
        <v>16</v>
      </c>
      <c r="D662" t="s">
        <v>2488</v>
      </c>
      <c r="E662" t="s">
        <v>37</v>
      </c>
      <c r="F662" t="s">
        <v>97</v>
      </c>
      <c r="G662" t="s">
        <v>959</v>
      </c>
      <c r="H662" t="str">
        <f>TEXT(walmart[[#This Row],[Purchase_Date]],"DDD")</f>
        <v>Mon</v>
      </c>
      <c r="I662" t="str">
        <f>TEXT(walmart[[#This Row],[Purchase_Date]],"MMM")</f>
        <v>Dec</v>
      </c>
      <c r="J662" t="str">
        <f>TEXT(walmart[[#This Row],[Purchase_Date]],"YYY")</f>
        <v>2024</v>
      </c>
      <c r="K662" s="3">
        <v>855.21</v>
      </c>
      <c r="L662" t="str">
        <f t="shared" si="50"/>
        <v>15% off</v>
      </c>
      <c r="M662" s="3">
        <f t="shared" si="51"/>
        <v>128.28149999999999</v>
      </c>
      <c r="N662" t="str">
        <f t="shared" si="52"/>
        <v>Yes</v>
      </c>
      <c r="O662" t="s">
        <v>34</v>
      </c>
      <c r="P662" s="3">
        <f t="shared" si="53"/>
        <v>726.92849999999999</v>
      </c>
      <c r="Q662" t="s">
        <v>27</v>
      </c>
      <c r="R662">
        <v>5</v>
      </c>
      <c r="S662" t="str">
        <f t="shared" si="54"/>
        <v>Excellent</v>
      </c>
    </row>
    <row r="663" spans="1:19" x14ac:dyDescent="0.25">
      <c r="A663" t="s">
        <v>1032</v>
      </c>
      <c r="B663">
        <v>29</v>
      </c>
      <c r="C663" t="s">
        <v>16</v>
      </c>
      <c r="D663" t="s">
        <v>2489</v>
      </c>
      <c r="E663" t="s">
        <v>37</v>
      </c>
      <c r="F663" t="s">
        <v>82</v>
      </c>
      <c r="G663" t="s">
        <v>573</v>
      </c>
      <c r="H663" t="str">
        <f>TEXT(walmart[[#This Row],[Purchase_Date]],"DDD")</f>
        <v>Mon</v>
      </c>
      <c r="I663" t="str">
        <f>TEXT(walmart[[#This Row],[Purchase_Date]],"MMM")</f>
        <v>Oct</v>
      </c>
      <c r="J663" t="str">
        <f>TEXT(walmart[[#This Row],[Purchase_Date]],"YYY")</f>
        <v>2024</v>
      </c>
      <c r="K663" s="3">
        <v>270.41000000000003</v>
      </c>
      <c r="L663" t="str">
        <f t="shared" si="50"/>
        <v>5% off</v>
      </c>
      <c r="M663" s="3">
        <f t="shared" si="51"/>
        <v>13.520500000000002</v>
      </c>
      <c r="N663" t="str">
        <f t="shared" si="52"/>
        <v>Yes</v>
      </c>
      <c r="O663" t="s">
        <v>21</v>
      </c>
      <c r="P663" s="3">
        <f t="shared" si="53"/>
        <v>256.8895</v>
      </c>
      <c r="Q663" t="s">
        <v>35</v>
      </c>
      <c r="R663">
        <v>1</v>
      </c>
      <c r="S663" t="str">
        <f t="shared" si="54"/>
        <v>Very Poor</v>
      </c>
    </row>
    <row r="664" spans="1:19" x14ac:dyDescent="0.25">
      <c r="A664" t="s">
        <v>1033</v>
      </c>
      <c r="B664">
        <v>62</v>
      </c>
      <c r="C664" t="s">
        <v>29</v>
      </c>
      <c r="D664" t="s">
        <v>2490</v>
      </c>
      <c r="E664" t="s">
        <v>18</v>
      </c>
      <c r="F664" t="s">
        <v>77</v>
      </c>
      <c r="G664" t="s">
        <v>1010</v>
      </c>
      <c r="H664" t="str">
        <f>TEXT(walmart[[#This Row],[Purchase_Date]],"DDD")</f>
        <v>Mon</v>
      </c>
      <c r="I664" t="str">
        <f>TEXT(walmart[[#This Row],[Purchase_Date]],"MMM")</f>
        <v>Aug</v>
      </c>
      <c r="J664" t="str">
        <f>TEXT(walmart[[#This Row],[Purchase_Date]],"YYY")</f>
        <v>2024</v>
      </c>
      <c r="K664" s="3">
        <v>116.78</v>
      </c>
      <c r="L664" t="str">
        <f t="shared" si="50"/>
        <v>0% off</v>
      </c>
      <c r="M664" s="3">
        <f t="shared" si="51"/>
        <v>0</v>
      </c>
      <c r="N664" t="str">
        <f t="shared" si="52"/>
        <v>No</v>
      </c>
      <c r="O664" t="s">
        <v>34</v>
      </c>
      <c r="P664" s="3">
        <f t="shared" si="53"/>
        <v>116.78</v>
      </c>
      <c r="Q664" t="s">
        <v>47</v>
      </c>
      <c r="R664">
        <v>1</v>
      </c>
      <c r="S664" t="str">
        <f t="shared" si="54"/>
        <v>Very Poor</v>
      </c>
    </row>
    <row r="665" spans="1:19" x14ac:dyDescent="0.25">
      <c r="A665" t="s">
        <v>1034</v>
      </c>
      <c r="B665">
        <v>35</v>
      </c>
      <c r="C665" t="s">
        <v>16</v>
      </c>
      <c r="D665" t="s">
        <v>2471</v>
      </c>
      <c r="E665" t="s">
        <v>31</v>
      </c>
      <c r="F665" t="s">
        <v>300</v>
      </c>
      <c r="G665" t="s">
        <v>124</v>
      </c>
      <c r="H665" t="str">
        <f>TEXT(walmart[[#This Row],[Purchase_Date]],"DDD")</f>
        <v>Sun</v>
      </c>
      <c r="I665" t="str">
        <f>TEXT(walmart[[#This Row],[Purchase_Date]],"MMM")</f>
        <v>Feb</v>
      </c>
      <c r="J665" t="str">
        <f>TEXT(walmart[[#This Row],[Purchase_Date]],"YYY")</f>
        <v>2025</v>
      </c>
      <c r="K665" s="3">
        <v>340.04</v>
      </c>
      <c r="L665" t="str">
        <f t="shared" si="50"/>
        <v>5% off</v>
      </c>
      <c r="M665" s="3">
        <f t="shared" si="51"/>
        <v>17.002000000000002</v>
      </c>
      <c r="N665" t="str">
        <f t="shared" si="52"/>
        <v>Yes</v>
      </c>
      <c r="O665" t="s">
        <v>21</v>
      </c>
      <c r="P665" s="3">
        <f t="shared" si="53"/>
        <v>323.03800000000001</v>
      </c>
      <c r="Q665" t="s">
        <v>22</v>
      </c>
      <c r="R665">
        <v>2</v>
      </c>
      <c r="S665" t="str">
        <f t="shared" si="54"/>
        <v>Poor</v>
      </c>
    </row>
    <row r="666" spans="1:19" x14ac:dyDescent="0.25">
      <c r="A666" t="s">
        <v>1035</v>
      </c>
      <c r="B666">
        <v>45</v>
      </c>
      <c r="C666" t="s">
        <v>16</v>
      </c>
      <c r="D666" t="s">
        <v>2491</v>
      </c>
      <c r="E666" t="s">
        <v>31</v>
      </c>
      <c r="F666" t="s">
        <v>300</v>
      </c>
      <c r="G666" t="s">
        <v>594</v>
      </c>
      <c r="H666" t="str">
        <f>TEXT(walmart[[#This Row],[Purchase_Date]],"DDD")</f>
        <v>Thu</v>
      </c>
      <c r="I666" t="str">
        <f>TEXT(walmart[[#This Row],[Purchase_Date]],"MMM")</f>
        <v>Nov</v>
      </c>
      <c r="J666" t="str">
        <f>TEXT(walmart[[#This Row],[Purchase_Date]],"YYY")</f>
        <v>2024</v>
      </c>
      <c r="K666" s="3">
        <v>340.04</v>
      </c>
      <c r="L666" t="str">
        <f t="shared" si="50"/>
        <v>5% off</v>
      </c>
      <c r="M666" s="3">
        <f t="shared" si="51"/>
        <v>17.002000000000002</v>
      </c>
      <c r="N666" t="str">
        <f t="shared" si="52"/>
        <v>Yes</v>
      </c>
      <c r="O666" t="s">
        <v>21</v>
      </c>
      <c r="P666" s="3">
        <f t="shared" si="53"/>
        <v>323.03800000000001</v>
      </c>
      <c r="Q666" t="s">
        <v>35</v>
      </c>
      <c r="R666">
        <v>1</v>
      </c>
      <c r="S666" t="str">
        <f t="shared" si="54"/>
        <v>Very Poor</v>
      </c>
    </row>
    <row r="667" spans="1:19" x14ac:dyDescent="0.25">
      <c r="A667" t="s">
        <v>1036</v>
      </c>
      <c r="B667">
        <v>67</v>
      </c>
      <c r="C667" t="s">
        <v>16</v>
      </c>
      <c r="D667" t="s">
        <v>2492</v>
      </c>
      <c r="E667" t="s">
        <v>73</v>
      </c>
      <c r="F667" t="s">
        <v>91</v>
      </c>
      <c r="G667" t="s">
        <v>555</v>
      </c>
      <c r="H667" t="str">
        <f>TEXT(walmart[[#This Row],[Purchase_Date]],"DDD")</f>
        <v>Mon</v>
      </c>
      <c r="I667" t="str">
        <f>TEXT(walmart[[#This Row],[Purchase_Date]],"MMM")</f>
        <v>Sep</v>
      </c>
      <c r="J667" t="str">
        <f>TEXT(walmart[[#This Row],[Purchase_Date]],"YYY")</f>
        <v>2024</v>
      </c>
      <c r="K667" s="3">
        <v>418.55</v>
      </c>
      <c r="L667" t="str">
        <f t="shared" si="50"/>
        <v>5% off</v>
      </c>
      <c r="M667" s="3">
        <f t="shared" si="51"/>
        <v>20.927500000000002</v>
      </c>
      <c r="N667" t="str">
        <f t="shared" si="52"/>
        <v>Yes</v>
      </c>
      <c r="O667" t="s">
        <v>34</v>
      </c>
      <c r="P667" s="3">
        <f t="shared" si="53"/>
        <v>397.6225</v>
      </c>
      <c r="Q667" t="s">
        <v>35</v>
      </c>
      <c r="R667">
        <v>3</v>
      </c>
      <c r="S667" t="str">
        <f t="shared" si="54"/>
        <v>Average</v>
      </c>
    </row>
    <row r="668" spans="1:19" x14ac:dyDescent="0.25">
      <c r="A668" t="s">
        <v>1037</v>
      </c>
      <c r="B668">
        <v>30</v>
      </c>
      <c r="C668" t="s">
        <v>29</v>
      </c>
      <c r="D668" t="s">
        <v>2493</v>
      </c>
      <c r="E668" t="s">
        <v>18</v>
      </c>
      <c r="F668" t="s">
        <v>77</v>
      </c>
      <c r="G668" t="s">
        <v>1038</v>
      </c>
      <c r="H668" t="str">
        <f>TEXT(walmart[[#This Row],[Purchase_Date]],"DDD")</f>
        <v>Sun</v>
      </c>
      <c r="I668" t="str">
        <f>TEXT(walmart[[#This Row],[Purchase_Date]],"MMM")</f>
        <v>Jan</v>
      </c>
      <c r="J668" t="str">
        <f>TEXT(walmart[[#This Row],[Purchase_Date]],"YYY")</f>
        <v>2025</v>
      </c>
      <c r="K668" s="3">
        <v>116.78</v>
      </c>
      <c r="L668" t="str">
        <f t="shared" si="50"/>
        <v>0% off</v>
      </c>
      <c r="M668" s="3">
        <f t="shared" si="51"/>
        <v>0</v>
      </c>
      <c r="N668" t="str">
        <f t="shared" si="52"/>
        <v>No</v>
      </c>
      <c r="O668" t="s">
        <v>21</v>
      </c>
      <c r="P668" s="3">
        <f t="shared" si="53"/>
        <v>116.78</v>
      </c>
      <c r="Q668" t="s">
        <v>35</v>
      </c>
      <c r="R668">
        <v>4</v>
      </c>
      <c r="S668" t="str">
        <f t="shared" si="54"/>
        <v>Good</v>
      </c>
    </row>
    <row r="669" spans="1:19" x14ac:dyDescent="0.25">
      <c r="A669" t="s">
        <v>1039</v>
      </c>
      <c r="B669">
        <v>35</v>
      </c>
      <c r="C669" t="s">
        <v>29</v>
      </c>
      <c r="D669" t="s">
        <v>2494</v>
      </c>
      <c r="E669" t="s">
        <v>31</v>
      </c>
      <c r="F669" t="s">
        <v>112</v>
      </c>
      <c r="G669" t="s">
        <v>104</v>
      </c>
      <c r="H669" t="str">
        <f>TEXT(walmart[[#This Row],[Purchase_Date]],"DDD")</f>
        <v>Sat</v>
      </c>
      <c r="I669" t="str">
        <f>TEXT(walmart[[#This Row],[Purchase_Date]],"MMM")</f>
        <v>Mar</v>
      </c>
      <c r="J669" t="str">
        <f>TEXT(walmart[[#This Row],[Purchase_Date]],"YYY")</f>
        <v>2025</v>
      </c>
      <c r="K669" s="3">
        <v>492.1</v>
      </c>
      <c r="L669" t="str">
        <f t="shared" si="50"/>
        <v>5% off</v>
      </c>
      <c r="M669" s="3">
        <f t="shared" si="51"/>
        <v>24.605000000000004</v>
      </c>
      <c r="N669" t="str">
        <f t="shared" si="52"/>
        <v>Yes</v>
      </c>
      <c r="O669" t="s">
        <v>34</v>
      </c>
      <c r="P669" s="3">
        <f t="shared" si="53"/>
        <v>467.495</v>
      </c>
      <c r="Q669" t="s">
        <v>35</v>
      </c>
      <c r="R669">
        <v>2</v>
      </c>
      <c r="S669" t="str">
        <f t="shared" si="54"/>
        <v>Poor</v>
      </c>
    </row>
    <row r="670" spans="1:19" x14ac:dyDescent="0.25">
      <c r="A670" t="s">
        <v>1040</v>
      </c>
      <c r="B670">
        <v>43</v>
      </c>
      <c r="C670" t="s">
        <v>29</v>
      </c>
      <c r="D670" t="s">
        <v>2495</v>
      </c>
      <c r="E670" t="s">
        <v>55</v>
      </c>
      <c r="F670" t="s">
        <v>67</v>
      </c>
      <c r="G670" t="s">
        <v>859</v>
      </c>
      <c r="H670" t="str">
        <f>TEXT(walmart[[#This Row],[Purchase_Date]],"DDD")</f>
        <v>Tue</v>
      </c>
      <c r="I670" t="str">
        <f>TEXT(walmart[[#This Row],[Purchase_Date]],"MMM")</f>
        <v>Jun</v>
      </c>
      <c r="J670" t="str">
        <f>TEXT(walmart[[#This Row],[Purchase_Date]],"YYY")</f>
        <v>2024</v>
      </c>
      <c r="K670" s="3">
        <v>452.97</v>
      </c>
      <c r="L670" t="str">
        <f t="shared" si="50"/>
        <v>5% off</v>
      </c>
      <c r="M670" s="3">
        <f t="shared" si="51"/>
        <v>22.648500000000002</v>
      </c>
      <c r="N670" t="str">
        <f t="shared" si="52"/>
        <v>Yes</v>
      </c>
      <c r="O670" t="s">
        <v>21</v>
      </c>
      <c r="P670" s="3">
        <f t="shared" si="53"/>
        <v>430.32150000000001</v>
      </c>
      <c r="Q670" t="s">
        <v>22</v>
      </c>
      <c r="R670">
        <v>3</v>
      </c>
      <c r="S670" t="str">
        <f t="shared" si="54"/>
        <v>Average</v>
      </c>
    </row>
    <row r="671" spans="1:19" x14ac:dyDescent="0.25">
      <c r="A671" t="s">
        <v>1041</v>
      </c>
      <c r="B671">
        <v>57</v>
      </c>
      <c r="C671" t="s">
        <v>16</v>
      </c>
      <c r="D671" t="s">
        <v>2496</v>
      </c>
      <c r="E671" t="s">
        <v>55</v>
      </c>
      <c r="F671" t="s">
        <v>64</v>
      </c>
      <c r="G671" t="s">
        <v>329</v>
      </c>
      <c r="H671" t="str">
        <f>TEXT(walmart[[#This Row],[Purchase_Date]],"DDD")</f>
        <v>Fri</v>
      </c>
      <c r="I671" t="str">
        <f>TEXT(walmart[[#This Row],[Purchase_Date]],"MMM")</f>
        <v>Jan</v>
      </c>
      <c r="J671" t="str">
        <f>TEXT(walmart[[#This Row],[Purchase_Date]],"YYY")</f>
        <v>2025</v>
      </c>
      <c r="K671" s="3">
        <v>374.92</v>
      </c>
      <c r="L671" t="str">
        <f t="shared" si="50"/>
        <v>5% off</v>
      </c>
      <c r="M671" s="3">
        <f t="shared" si="51"/>
        <v>18.746000000000002</v>
      </c>
      <c r="N671" t="str">
        <f t="shared" si="52"/>
        <v>Yes</v>
      </c>
      <c r="O671" t="s">
        <v>34</v>
      </c>
      <c r="P671" s="3">
        <f t="shared" si="53"/>
        <v>356.17400000000004</v>
      </c>
      <c r="Q671" t="s">
        <v>22</v>
      </c>
      <c r="R671">
        <v>4</v>
      </c>
      <c r="S671" t="str">
        <f t="shared" si="54"/>
        <v>Good</v>
      </c>
    </row>
    <row r="672" spans="1:19" x14ac:dyDescent="0.25">
      <c r="A672" t="s">
        <v>1042</v>
      </c>
      <c r="B672">
        <v>55</v>
      </c>
      <c r="C672" t="s">
        <v>16</v>
      </c>
      <c r="D672" t="s">
        <v>2497</v>
      </c>
      <c r="E672" t="s">
        <v>73</v>
      </c>
      <c r="F672" t="s">
        <v>74</v>
      </c>
      <c r="G672" t="s">
        <v>1043</v>
      </c>
      <c r="H672" t="str">
        <f>TEXT(walmart[[#This Row],[Purchase_Date]],"DDD")</f>
        <v>Sun</v>
      </c>
      <c r="I672" t="str">
        <f>TEXT(walmart[[#This Row],[Purchase_Date]],"MMM")</f>
        <v>Sep</v>
      </c>
      <c r="J672" t="str">
        <f>TEXT(walmart[[#This Row],[Purchase_Date]],"YYY")</f>
        <v>2024</v>
      </c>
      <c r="K672" s="3">
        <v>782.29</v>
      </c>
      <c r="L672" t="str">
        <f t="shared" si="50"/>
        <v>15% off</v>
      </c>
      <c r="M672" s="3">
        <f t="shared" si="51"/>
        <v>117.34349999999999</v>
      </c>
      <c r="N672" t="str">
        <f t="shared" si="52"/>
        <v>Yes</v>
      </c>
      <c r="O672" t="s">
        <v>21</v>
      </c>
      <c r="P672" s="3">
        <f t="shared" si="53"/>
        <v>664.94650000000001</v>
      </c>
      <c r="Q672" t="s">
        <v>27</v>
      </c>
      <c r="R672">
        <v>5</v>
      </c>
      <c r="S672" t="str">
        <f t="shared" si="54"/>
        <v>Excellent</v>
      </c>
    </row>
    <row r="673" spans="1:19" x14ac:dyDescent="0.25">
      <c r="A673" t="s">
        <v>1044</v>
      </c>
      <c r="B673">
        <v>55</v>
      </c>
      <c r="C673" t="s">
        <v>16</v>
      </c>
      <c r="D673" t="s">
        <v>2498</v>
      </c>
      <c r="E673" t="s">
        <v>55</v>
      </c>
      <c r="F673" t="s">
        <v>100</v>
      </c>
      <c r="G673" t="s">
        <v>704</v>
      </c>
      <c r="H673" t="str">
        <f>TEXT(walmart[[#This Row],[Purchase_Date]],"DDD")</f>
        <v>Wed</v>
      </c>
      <c r="I673" t="str">
        <f>TEXT(walmart[[#This Row],[Purchase_Date]],"MMM")</f>
        <v>Jul</v>
      </c>
      <c r="J673" t="str">
        <f>TEXT(walmart[[#This Row],[Purchase_Date]],"YYY")</f>
        <v>2024</v>
      </c>
      <c r="K673" s="3">
        <v>592.26</v>
      </c>
      <c r="L673" t="str">
        <f t="shared" si="50"/>
        <v>10% off</v>
      </c>
      <c r="M673" s="3">
        <f t="shared" si="51"/>
        <v>59.225999999999999</v>
      </c>
      <c r="N673" t="str">
        <f t="shared" si="52"/>
        <v>Yes</v>
      </c>
      <c r="O673" t="s">
        <v>34</v>
      </c>
      <c r="P673" s="3">
        <f t="shared" si="53"/>
        <v>533.03399999999999</v>
      </c>
      <c r="Q673" t="s">
        <v>47</v>
      </c>
      <c r="R673">
        <v>2</v>
      </c>
      <c r="S673" t="str">
        <f t="shared" si="54"/>
        <v>Poor</v>
      </c>
    </row>
    <row r="674" spans="1:19" x14ac:dyDescent="0.25">
      <c r="A674" t="s">
        <v>1045</v>
      </c>
      <c r="B674">
        <v>39</v>
      </c>
      <c r="C674" t="s">
        <v>16</v>
      </c>
      <c r="D674" t="s">
        <v>2499</v>
      </c>
      <c r="E674" t="s">
        <v>73</v>
      </c>
      <c r="F674" t="s">
        <v>74</v>
      </c>
      <c r="G674" t="s">
        <v>226</v>
      </c>
      <c r="H674" t="str">
        <f>TEXT(walmart[[#This Row],[Purchase_Date]],"DDD")</f>
        <v>Tue</v>
      </c>
      <c r="I674" t="str">
        <f>TEXT(walmart[[#This Row],[Purchase_Date]],"MMM")</f>
        <v>Jan</v>
      </c>
      <c r="J674" t="str">
        <f>TEXT(walmart[[#This Row],[Purchase_Date]],"YYY")</f>
        <v>2025</v>
      </c>
      <c r="K674" s="3">
        <v>782.29</v>
      </c>
      <c r="L674" t="str">
        <f t="shared" si="50"/>
        <v>15% off</v>
      </c>
      <c r="M674" s="3">
        <f t="shared" si="51"/>
        <v>117.34349999999999</v>
      </c>
      <c r="N674" t="str">
        <f t="shared" si="52"/>
        <v>Yes</v>
      </c>
      <c r="O674" t="s">
        <v>21</v>
      </c>
      <c r="P674" s="3">
        <f t="shared" si="53"/>
        <v>664.94650000000001</v>
      </c>
      <c r="Q674" t="s">
        <v>47</v>
      </c>
      <c r="R674">
        <v>5</v>
      </c>
      <c r="S674" t="str">
        <f t="shared" si="54"/>
        <v>Excellent</v>
      </c>
    </row>
    <row r="675" spans="1:19" x14ac:dyDescent="0.25">
      <c r="A675" t="s">
        <v>1046</v>
      </c>
      <c r="B675">
        <v>42</v>
      </c>
      <c r="C675" t="s">
        <v>29</v>
      </c>
      <c r="D675" t="s">
        <v>2500</v>
      </c>
      <c r="E675" t="s">
        <v>37</v>
      </c>
      <c r="F675" t="s">
        <v>97</v>
      </c>
      <c r="G675" t="s">
        <v>201</v>
      </c>
      <c r="H675" t="str">
        <f>TEXT(walmart[[#This Row],[Purchase_Date]],"DDD")</f>
        <v>Sat</v>
      </c>
      <c r="I675" t="str">
        <f>TEXT(walmart[[#This Row],[Purchase_Date]],"MMM")</f>
        <v>Aug</v>
      </c>
      <c r="J675" t="str">
        <f>TEXT(walmart[[#This Row],[Purchase_Date]],"YYY")</f>
        <v>2024</v>
      </c>
      <c r="K675" s="3">
        <v>855.21</v>
      </c>
      <c r="L675" t="str">
        <f t="shared" si="50"/>
        <v>15% off</v>
      </c>
      <c r="M675" s="3">
        <f t="shared" si="51"/>
        <v>128.28149999999999</v>
      </c>
      <c r="N675" t="str">
        <f t="shared" si="52"/>
        <v>Yes</v>
      </c>
      <c r="O675" t="s">
        <v>21</v>
      </c>
      <c r="P675" s="3">
        <f t="shared" si="53"/>
        <v>726.92849999999999</v>
      </c>
      <c r="Q675" t="s">
        <v>27</v>
      </c>
      <c r="R675">
        <v>2</v>
      </c>
      <c r="S675" t="str">
        <f t="shared" si="54"/>
        <v>Poor</v>
      </c>
    </row>
    <row r="676" spans="1:19" x14ac:dyDescent="0.25">
      <c r="A676" t="s">
        <v>1047</v>
      </c>
      <c r="B676">
        <v>47</v>
      </c>
      <c r="C676" t="s">
        <v>16</v>
      </c>
      <c r="D676" t="s">
        <v>2501</v>
      </c>
      <c r="E676" t="s">
        <v>42</v>
      </c>
      <c r="F676" t="s">
        <v>52</v>
      </c>
      <c r="G676" t="s">
        <v>840</v>
      </c>
      <c r="H676" t="str">
        <f>TEXT(walmart[[#This Row],[Purchase_Date]],"DDD")</f>
        <v>Mon</v>
      </c>
      <c r="I676" t="str">
        <f>TEXT(walmart[[#This Row],[Purchase_Date]],"MMM")</f>
        <v>Aug</v>
      </c>
      <c r="J676" t="str">
        <f>TEXT(walmart[[#This Row],[Purchase_Date]],"YYY")</f>
        <v>2024</v>
      </c>
      <c r="K676" s="3">
        <v>988.77</v>
      </c>
      <c r="L676" t="str">
        <f t="shared" si="50"/>
        <v>20% off</v>
      </c>
      <c r="M676" s="3">
        <f t="shared" si="51"/>
        <v>197.75400000000002</v>
      </c>
      <c r="N676" t="str">
        <f t="shared" si="52"/>
        <v>Yes</v>
      </c>
      <c r="O676" t="s">
        <v>21</v>
      </c>
      <c r="P676" s="3">
        <f t="shared" si="53"/>
        <v>791.01599999999996</v>
      </c>
      <c r="Q676" t="s">
        <v>27</v>
      </c>
      <c r="R676">
        <v>1</v>
      </c>
      <c r="S676" t="str">
        <f t="shared" si="54"/>
        <v>Very Poor</v>
      </c>
    </row>
    <row r="677" spans="1:19" x14ac:dyDescent="0.25">
      <c r="A677" t="s">
        <v>1048</v>
      </c>
      <c r="B677">
        <v>18</v>
      </c>
      <c r="C677" t="s">
        <v>16</v>
      </c>
      <c r="D677" t="s">
        <v>2502</v>
      </c>
      <c r="E677" t="s">
        <v>24</v>
      </c>
      <c r="F677" t="s">
        <v>162</v>
      </c>
      <c r="G677" t="s">
        <v>913</v>
      </c>
      <c r="H677" t="str">
        <f>TEXT(walmart[[#This Row],[Purchase_Date]],"DDD")</f>
        <v>Thu</v>
      </c>
      <c r="I677" t="str">
        <f>TEXT(walmart[[#This Row],[Purchase_Date]],"MMM")</f>
        <v>Jan</v>
      </c>
      <c r="J677" t="str">
        <f>TEXT(walmart[[#This Row],[Purchase_Date]],"YYY")</f>
        <v>2025</v>
      </c>
      <c r="K677" s="3">
        <v>362.55</v>
      </c>
      <c r="L677" t="str">
        <f t="shared" si="50"/>
        <v>5% off</v>
      </c>
      <c r="M677" s="3">
        <f t="shared" si="51"/>
        <v>18.127500000000001</v>
      </c>
      <c r="N677" t="str">
        <f t="shared" si="52"/>
        <v>Yes</v>
      </c>
      <c r="O677" t="s">
        <v>21</v>
      </c>
      <c r="P677" s="3">
        <f t="shared" si="53"/>
        <v>344.42250000000001</v>
      </c>
      <c r="Q677" t="s">
        <v>22</v>
      </c>
      <c r="R677">
        <v>3</v>
      </c>
      <c r="S677" t="str">
        <f t="shared" si="54"/>
        <v>Average</v>
      </c>
    </row>
    <row r="678" spans="1:19" x14ac:dyDescent="0.25">
      <c r="A678" t="s">
        <v>1049</v>
      </c>
      <c r="B678">
        <v>46</v>
      </c>
      <c r="C678" t="s">
        <v>16</v>
      </c>
      <c r="D678" t="s">
        <v>2503</v>
      </c>
      <c r="E678" t="s">
        <v>24</v>
      </c>
      <c r="F678" t="s">
        <v>25</v>
      </c>
      <c r="G678" t="s">
        <v>434</v>
      </c>
      <c r="H678" t="str">
        <f>TEXT(walmart[[#This Row],[Purchase_Date]],"DDD")</f>
        <v>Sat</v>
      </c>
      <c r="I678" t="str">
        <f>TEXT(walmart[[#This Row],[Purchase_Date]],"MMM")</f>
        <v>Apr</v>
      </c>
      <c r="J678" t="str">
        <f>TEXT(walmart[[#This Row],[Purchase_Date]],"YYY")</f>
        <v>2024</v>
      </c>
      <c r="K678" s="3">
        <v>67.040000000000006</v>
      </c>
      <c r="L678" t="str">
        <f t="shared" si="50"/>
        <v>0% off</v>
      </c>
      <c r="M678" s="3">
        <f t="shared" si="51"/>
        <v>0</v>
      </c>
      <c r="N678" t="str">
        <f t="shared" si="52"/>
        <v>No</v>
      </c>
      <c r="O678" t="s">
        <v>21</v>
      </c>
      <c r="P678" s="3">
        <f t="shared" si="53"/>
        <v>67.040000000000006</v>
      </c>
      <c r="Q678" t="s">
        <v>47</v>
      </c>
      <c r="R678">
        <v>3</v>
      </c>
      <c r="S678" t="str">
        <f t="shared" si="54"/>
        <v>Average</v>
      </c>
    </row>
    <row r="679" spans="1:19" x14ac:dyDescent="0.25">
      <c r="A679" t="s">
        <v>1050</v>
      </c>
      <c r="B679">
        <v>55</v>
      </c>
      <c r="C679" t="s">
        <v>29</v>
      </c>
      <c r="D679" t="s">
        <v>2504</v>
      </c>
      <c r="E679" t="s">
        <v>18</v>
      </c>
      <c r="F679" t="s">
        <v>77</v>
      </c>
      <c r="G679" t="s">
        <v>78</v>
      </c>
      <c r="H679" t="str">
        <f>TEXT(walmart[[#This Row],[Purchase_Date]],"DDD")</f>
        <v>Mon</v>
      </c>
      <c r="I679" t="str">
        <f>TEXT(walmart[[#This Row],[Purchase_Date]],"MMM")</f>
        <v>Jul</v>
      </c>
      <c r="J679" t="str">
        <f>TEXT(walmart[[#This Row],[Purchase_Date]],"YYY")</f>
        <v>2024</v>
      </c>
      <c r="K679" s="3">
        <v>116.78</v>
      </c>
      <c r="L679" t="str">
        <f t="shared" si="50"/>
        <v>0% off</v>
      </c>
      <c r="M679" s="3">
        <f t="shared" si="51"/>
        <v>0</v>
      </c>
      <c r="N679" t="str">
        <f t="shared" si="52"/>
        <v>No</v>
      </c>
      <c r="O679" t="s">
        <v>21</v>
      </c>
      <c r="P679" s="3">
        <f t="shared" si="53"/>
        <v>116.78</v>
      </c>
      <c r="Q679" t="s">
        <v>22</v>
      </c>
      <c r="R679">
        <v>3</v>
      </c>
      <c r="S679" t="str">
        <f t="shared" si="54"/>
        <v>Average</v>
      </c>
    </row>
    <row r="680" spans="1:19" x14ac:dyDescent="0.25">
      <c r="A680" t="s">
        <v>1051</v>
      </c>
      <c r="B680">
        <v>36</v>
      </c>
      <c r="C680" t="s">
        <v>29</v>
      </c>
      <c r="D680" t="s">
        <v>2505</v>
      </c>
      <c r="E680" t="s">
        <v>31</v>
      </c>
      <c r="F680" t="s">
        <v>32</v>
      </c>
      <c r="G680" t="s">
        <v>1052</v>
      </c>
      <c r="H680" t="str">
        <f>TEXT(walmart[[#This Row],[Purchase_Date]],"DDD")</f>
        <v>Tue</v>
      </c>
      <c r="I680" t="str">
        <f>TEXT(walmart[[#This Row],[Purchase_Date]],"MMM")</f>
        <v>Jul</v>
      </c>
      <c r="J680" t="str">
        <f>TEXT(walmart[[#This Row],[Purchase_Date]],"YYY")</f>
        <v>2024</v>
      </c>
      <c r="K680" s="3">
        <v>493.96</v>
      </c>
      <c r="L680" t="str">
        <f t="shared" si="50"/>
        <v>5% off</v>
      </c>
      <c r="M680" s="3">
        <f t="shared" si="51"/>
        <v>24.698</v>
      </c>
      <c r="N680" t="str">
        <f t="shared" si="52"/>
        <v>Yes</v>
      </c>
      <c r="O680" t="s">
        <v>34</v>
      </c>
      <c r="P680" s="3">
        <f t="shared" si="53"/>
        <v>469.262</v>
      </c>
      <c r="Q680" t="s">
        <v>22</v>
      </c>
      <c r="R680">
        <v>5</v>
      </c>
      <c r="S680" t="str">
        <f t="shared" si="54"/>
        <v>Excellent</v>
      </c>
    </row>
    <row r="681" spans="1:19" x14ac:dyDescent="0.25">
      <c r="A681" t="s">
        <v>1053</v>
      </c>
      <c r="B681">
        <v>35</v>
      </c>
      <c r="C681" t="s">
        <v>29</v>
      </c>
      <c r="D681" t="s">
        <v>2506</v>
      </c>
      <c r="E681" t="s">
        <v>37</v>
      </c>
      <c r="F681" t="s">
        <v>38</v>
      </c>
      <c r="G681" t="s">
        <v>714</v>
      </c>
      <c r="H681" t="str">
        <f>TEXT(walmart[[#This Row],[Purchase_Date]],"DDD")</f>
        <v>Sun</v>
      </c>
      <c r="I681" t="str">
        <f>TEXT(walmart[[#This Row],[Purchase_Date]],"MMM")</f>
        <v>Jan</v>
      </c>
      <c r="J681" t="str">
        <f>TEXT(walmart[[#This Row],[Purchase_Date]],"YYY")</f>
        <v>2025</v>
      </c>
      <c r="K681" s="3">
        <v>211.46</v>
      </c>
      <c r="L681" t="str">
        <f t="shared" si="50"/>
        <v>5% off</v>
      </c>
      <c r="M681" s="3">
        <f t="shared" si="51"/>
        <v>10.573</v>
      </c>
      <c r="N681" t="str">
        <f t="shared" si="52"/>
        <v>Yes</v>
      </c>
      <c r="O681" t="s">
        <v>34</v>
      </c>
      <c r="P681" s="3">
        <f t="shared" si="53"/>
        <v>200.887</v>
      </c>
      <c r="Q681" t="s">
        <v>22</v>
      </c>
      <c r="R681">
        <v>2</v>
      </c>
      <c r="S681" t="str">
        <f t="shared" si="54"/>
        <v>Poor</v>
      </c>
    </row>
    <row r="682" spans="1:19" x14ac:dyDescent="0.25">
      <c r="A682" t="s">
        <v>1054</v>
      </c>
      <c r="B682">
        <v>43</v>
      </c>
      <c r="C682" t="s">
        <v>16</v>
      </c>
      <c r="D682" t="s">
        <v>2507</v>
      </c>
      <c r="E682" t="s">
        <v>31</v>
      </c>
      <c r="F682" t="s">
        <v>169</v>
      </c>
      <c r="G682" t="s">
        <v>733</v>
      </c>
      <c r="H682" t="str">
        <f>TEXT(walmart[[#This Row],[Purchase_Date]],"DDD")</f>
        <v>Fri</v>
      </c>
      <c r="I682" t="str">
        <f>TEXT(walmart[[#This Row],[Purchase_Date]],"MMM")</f>
        <v>Dec</v>
      </c>
      <c r="J682" t="str">
        <f>TEXT(walmart[[#This Row],[Purchase_Date]],"YYY")</f>
        <v>2024</v>
      </c>
      <c r="K682" s="3">
        <v>52.44</v>
      </c>
      <c r="L682" t="str">
        <f t="shared" si="50"/>
        <v>0% off</v>
      </c>
      <c r="M682" s="3">
        <f t="shared" si="51"/>
        <v>0</v>
      </c>
      <c r="N682" t="str">
        <f t="shared" si="52"/>
        <v>No</v>
      </c>
      <c r="O682" t="s">
        <v>34</v>
      </c>
      <c r="P682" s="3">
        <f t="shared" si="53"/>
        <v>52.44</v>
      </c>
      <c r="Q682" t="s">
        <v>22</v>
      </c>
      <c r="R682">
        <v>3</v>
      </c>
      <c r="S682" t="str">
        <f t="shared" si="54"/>
        <v>Average</v>
      </c>
    </row>
    <row r="683" spans="1:19" x14ac:dyDescent="0.25">
      <c r="A683" t="s">
        <v>1055</v>
      </c>
      <c r="B683">
        <v>58</v>
      </c>
      <c r="C683" t="s">
        <v>29</v>
      </c>
      <c r="D683" t="s">
        <v>2508</v>
      </c>
      <c r="E683" t="s">
        <v>73</v>
      </c>
      <c r="F683" t="s">
        <v>91</v>
      </c>
      <c r="G683" t="s">
        <v>293</v>
      </c>
      <c r="H683" t="str">
        <f>TEXT(walmart[[#This Row],[Purchase_Date]],"DDD")</f>
        <v>Wed</v>
      </c>
      <c r="I683" t="str">
        <f>TEXT(walmart[[#This Row],[Purchase_Date]],"MMM")</f>
        <v>May</v>
      </c>
      <c r="J683" t="str">
        <f>TEXT(walmart[[#This Row],[Purchase_Date]],"YYY")</f>
        <v>2024</v>
      </c>
      <c r="K683" s="3">
        <v>418.55</v>
      </c>
      <c r="L683" t="str">
        <f t="shared" si="50"/>
        <v>5% off</v>
      </c>
      <c r="M683" s="3">
        <f t="shared" si="51"/>
        <v>20.927500000000002</v>
      </c>
      <c r="N683" t="str">
        <f t="shared" si="52"/>
        <v>Yes</v>
      </c>
      <c r="O683" t="s">
        <v>21</v>
      </c>
      <c r="P683" s="3">
        <f t="shared" si="53"/>
        <v>397.6225</v>
      </c>
      <c r="Q683" t="s">
        <v>47</v>
      </c>
      <c r="R683">
        <v>3</v>
      </c>
      <c r="S683" t="str">
        <f t="shared" si="54"/>
        <v>Average</v>
      </c>
    </row>
    <row r="684" spans="1:19" x14ac:dyDescent="0.25">
      <c r="A684" t="s">
        <v>1056</v>
      </c>
      <c r="B684">
        <v>37</v>
      </c>
      <c r="C684" t="s">
        <v>16</v>
      </c>
      <c r="D684" t="s">
        <v>2509</v>
      </c>
      <c r="E684" t="s">
        <v>18</v>
      </c>
      <c r="F684" t="s">
        <v>142</v>
      </c>
      <c r="G684" t="s">
        <v>766</v>
      </c>
      <c r="H684" t="str">
        <f>TEXT(walmart[[#This Row],[Purchase_Date]],"DDD")</f>
        <v>Fri</v>
      </c>
      <c r="I684" t="str">
        <f>TEXT(walmart[[#This Row],[Purchase_Date]],"MMM")</f>
        <v>Sep</v>
      </c>
      <c r="J684" t="str">
        <f>TEXT(walmart[[#This Row],[Purchase_Date]],"YYY")</f>
        <v>2024</v>
      </c>
      <c r="K684" s="3">
        <v>485.26</v>
      </c>
      <c r="L684" t="str">
        <f t="shared" si="50"/>
        <v>5% off</v>
      </c>
      <c r="M684" s="3">
        <f t="shared" si="51"/>
        <v>24.263000000000002</v>
      </c>
      <c r="N684" t="str">
        <f t="shared" si="52"/>
        <v>Yes</v>
      </c>
      <c r="O684" t="s">
        <v>34</v>
      </c>
      <c r="P684" s="3">
        <f t="shared" si="53"/>
        <v>460.99700000000001</v>
      </c>
      <c r="Q684" t="s">
        <v>27</v>
      </c>
      <c r="R684">
        <v>4</v>
      </c>
      <c r="S684" t="str">
        <f t="shared" si="54"/>
        <v>Good</v>
      </c>
    </row>
    <row r="685" spans="1:19" x14ac:dyDescent="0.25">
      <c r="A685" t="s">
        <v>1057</v>
      </c>
      <c r="B685">
        <v>67</v>
      </c>
      <c r="C685" t="s">
        <v>16</v>
      </c>
      <c r="D685" t="s">
        <v>2510</v>
      </c>
      <c r="E685" t="s">
        <v>37</v>
      </c>
      <c r="F685" t="s">
        <v>117</v>
      </c>
      <c r="G685" t="s">
        <v>523</v>
      </c>
      <c r="H685" t="str">
        <f>TEXT(walmart[[#This Row],[Purchase_Date]],"DDD")</f>
        <v>Fri</v>
      </c>
      <c r="I685" t="str">
        <f>TEXT(walmart[[#This Row],[Purchase_Date]],"MMM")</f>
        <v>Oct</v>
      </c>
      <c r="J685" t="str">
        <f>TEXT(walmart[[#This Row],[Purchase_Date]],"YYY")</f>
        <v>2024</v>
      </c>
      <c r="K685" s="3">
        <v>165.68</v>
      </c>
      <c r="L685" t="str">
        <f t="shared" si="50"/>
        <v>5% off</v>
      </c>
      <c r="M685" s="3">
        <f t="shared" si="51"/>
        <v>8.2840000000000007</v>
      </c>
      <c r="N685" t="str">
        <f t="shared" si="52"/>
        <v>Yes</v>
      </c>
      <c r="O685" t="s">
        <v>21</v>
      </c>
      <c r="P685" s="3">
        <f t="shared" si="53"/>
        <v>157.39600000000002</v>
      </c>
      <c r="Q685" t="s">
        <v>35</v>
      </c>
      <c r="R685">
        <v>2</v>
      </c>
      <c r="S685" t="str">
        <f t="shared" si="54"/>
        <v>Poor</v>
      </c>
    </row>
    <row r="686" spans="1:19" x14ac:dyDescent="0.25">
      <c r="A686" t="s">
        <v>1058</v>
      </c>
      <c r="B686">
        <v>61</v>
      </c>
      <c r="C686" t="s">
        <v>16</v>
      </c>
      <c r="D686" t="s">
        <v>2511</v>
      </c>
      <c r="E686" t="s">
        <v>42</v>
      </c>
      <c r="F686" t="s">
        <v>43</v>
      </c>
      <c r="G686" t="s">
        <v>612</v>
      </c>
      <c r="H686" t="str">
        <f>TEXT(walmart[[#This Row],[Purchase_Date]],"DDD")</f>
        <v>Fri</v>
      </c>
      <c r="I686" t="str">
        <f>TEXT(walmart[[#This Row],[Purchase_Date]],"MMM")</f>
        <v>Apr</v>
      </c>
      <c r="J686" t="str">
        <f>TEXT(walmart[[#This Row],[Purchase_Date]],"YYY")</f>
        <v>2024</v>
      </c>
      <c r="K686" s="3">
        <v>512.94000000000005</v>
      </c>
      <c r="L686" t="str">
        <f t="shared" si="50"/>
        <v>10% off</v>
      </c>
      <c r="M686" s="3">
        <f t="shared" si="51"/>
        <v>51.294000000000011</v>
      </c>
      <c r="N686" t="str">
        <f t="shared" si="52"/>
        <v>Yes</v>
      </c>
      <c r="O686" t="s">
        <v>34</v>
      </c>
      <c r="P686" s="3">
        <f t="shared" si="53"/>
        <v>461.64600000000007</v>
      </c>
      <c r="Q686" t="s">
        <v>22</v>
      </c>
      <c r="R686">
        <v>1</v>
      </c>
      <c r="S686" t="str">
        <f t="shared" si="54"/>
        <v>Very Poor</v>
      </c>
    </row>
    <row r="687" spans="1:19" x14ac:dyDescent="0.25">
      <c r="A687" t="s">
        <v>1059</v>
      </c>
      <c r="B687">
        <v>35</v>
      </c>
      <c r="C687" t="s">
        <v>29</v>
      </c>
      <c r="D687" t="s">
        <v>2512</v>
      </c>
      <c r="E687" t="s">
        <v>18</v>
      </c>
      <c r="F687" t="s">
        <v>77</v>
      </c>
      <c r="G687" t="s">
        <v>1060</v>
      </c>
      <c r="H687" t="str">
        <f>TEXT(walmart[[#This Row],[Purchase_Date]],"DDD")</f>
        <v>Fri</v>
      </c>
      <c r="I687" t="str">
        <f>TEXT(walmart[[#This Row],[Purchase_Date]],"MMM")</f>
        <v>Dec</v>
      </c>
      <c r="J687" t="str">
        <f>TEXT(walmart[[#This Row],[Purchase_Date]],"YYY")</f>
        <v>2024</v>
      </c>
      <c r="K687" s="3">
        <v>116.78</v>
      </c>
      <c r="L687" t="str">
        <f t="shared" si="50"/>
        <v>0% off</v>
      </c>
      <c r="M687" s="3">
        <f t="shared" si="51"/>
        <v>0</v>
      </c>
      <c r="N687" t="str">
        <f t="shared" si="52"/>
        <v>No</v>
      </c>
      <c r="O687" t="s">
        <v>21</v>
      </c>
      <c r="P687" s="3">
        <f t="shared" si="53"/>
        <v>116.78</v>
      </c>
      <c r="Q687" t="s">
        <v>47</v>
      </c>
      <c r="R687">
        <v>3</v>
      </c>
      <c r="S687" t="str">
        <f t="shared" si="54"/>
        <v>Average</v>
      </c>
    </row>
    <row r="688" spans="1:19" x14ac:dyDescent="0.25">
      <c r="A688" t="s">
        <v>1061</v>
      </c>
      <c r="B688">
        <v>35</v>
      </c>
      <c r="C688" t="s">
        <v>16</v>
      </c>
      <c r="D688" t="s">
        <v>2513</v>
      </c>
      <c r="E688" t="s">
        <v>73</v>
      </c>
      <c r="F688" t="s">
        <v>74</v>
      </c>
      <c r="G688" t="s">
        <v>378</v>
      </c>
      <c r="H688" t="str">
        <f>TEXT(walmart[[#This Row],[Purchase_Date]],"DDD")</f>
        <v>Sat</v>
      </c>
      <c r="I688" t="str">
        <f>TEXT(walmart[[#This Row],[Purchase_Date]],"MMM")</f>
        <v>Jun</v>
      </c>
      <c r="J688" t="str">
        <f>TEXT(walmart[[#This Row],[Purchase_Date]],"YYY")</f>
        <v>2024</v>
      </c>
      <c r="K688" s="3">
        <v>782.29</v>
      </c>
      <c r="L688" t="str">
        <f t="shared" si="50"/>
        <v>15% off</v>
      </c>
      <c r="M688" s="3">
        <f t="shared" si="51"/>
        <v>117.34349999999999</v>
      </c>
      <c r="N688" t="str">
        <f t="shared" si="52"/>
        <v>Yes</v>
      </c>
      <c r="O688" t="s">
        <v>21</v>
      </c>
      <c r="P688" s="3">
        <f t="shared" si="53"/>
        <v>664.94650000000001</v>
      </c>
      <c r="Q688" t="s">
        <v>35</v>
      </c>
      <c r="R688">
        <v>3</v>
      </c>
      <c r="S688" t="str">
        <f t="shared" si="54"/>
        <v>Average</v>
      </c>
    </row>
    <row r="689" spans="1:19" x14ac:dyDescent="0.25">
      <c r="A689" t="s">
        <v>1062</v>
      </c>
      <c r="B689">
        <v>43</v>
      </c>
      <c r="C689" t="s">
        <v>29</v>
      </c>
      <c r="D689" t="s">
        <v>2514</v>
      </c>
      <c r="E689" t="s">
        <v>42</v>
      </c>
      <c r="F689" t="s">
        <v>43</v>
      </c>
      <c r="G689" t="s">
        <v>628</v>
      </c>
      <c r="H689" t="str">
        <f>TEXT(walmart[[#This Row],[Purchase_Date]],"DDD")</f>
        <v>Wed</v>
      </c>
      <c r="I689" t="str">
        <f>TEXT(walmart[[#This Row],[Purchase_Date]],"MMM")</f>
        <v>Nov</v>
      </c>
      <c r="J689" t="str">
        <f>TEXT(walmart[[#This Row],[Purchase_Date]],"YYY")</f>
        <v>2024</v>
      </c>
      <c r="K689" s="3">
        <v>512.94000000000005</v>
      </c>
      <c r="L689" t="str">
        <f t="shared" si="50"/>
        <v>10% off</v>
      </c>
      <c r="M689" s="3">
        <f t="shared" si="51"/>
        <v>51.294000000000011</v>
      </c>
      <c r="N689" t="str">
        <f t="shared" si="52"/>
        <v>Yes</v>
      </c>
      <c r="O689" t="s">
        <v>21</v>
      </c>
      <c r="P689" s="3">
        <f t="shared" si="53"/>
        <v>461.64600000000007</v>
      </c>
      <c r="Q689" t="s">
        <v>22</v>
      </c>
      <c r="R689">
        <v>1</v>
      </c>
      <c r="S689" t="str">
        <f t="shared" si="54"/>
        <v>Very Poor</v>
      </c>
    </row>
    <row r="690" spans="1:19" x14ac:dyDescent="0.25">
      <c r="A690" t="s">
        <v>1063</v>
      </c>
      <c r="B690">
        <v>70</v>
      </c>
      <c r="C690" t="s">
        <v>29</v>
      </c>
      <c r="D690" t="s">
        <v>2515</v>
      </c>
      <c r="E690" t="s">
        <v>18</v>
      </c>
      <c r="F690" t="s">
        <v>142</v>
      </c>
      <c r="G690" t="s">
        <v>492</v>
      </c>
      <c r="H690" t="str">
        <f>TEXT(walmart[[#This Row],[Purchase_Date]],"DDD")</f>
        <v>Thu</v>
      </c>
      <c r="I690" t="str">
        <f>TEXT(walmart[[#This Row],[Purchase_Date]],"MMM")</f>
        <v>Oct</v>
      </c>
      <c r="J690" t="str">
        <f>TEXT(walmart[[#This Row],[Purchase_Date]],"YYY")</f>
        <v>2024</v>
      </c>
      <c r="K690" s="3">
        <v>485.26</v>
      </c>
      <c r="L690" t="str">
        <f t="shared" si="50"/>
        <v>5% off</v>
      </c>
      <c r="M690" s="3">
        <f t="shared" si="51"/>
        <v>24.263000000000002</v>
      </c>
      <c r="N690" t="str">
        <f t="shared" si="52"/>
        <v>Yes</v>
      </c>
      <c r="O690" t="s">
        <v>34</v>
      </c>
      <c r="P690" s="3">
        <f t="shared" si="53"/>
        <v>460.99700000000001</v>
      </c>
      <c r="Q690" t="s">
        <v>27</v>
      </c>
      <c r="R690">
        <v>2</v>
      </c>
      <c r="S690" t="str">
        <f t="shared" si="54"/>
        <v>Poor</v>
      </c>
    </row>
    <row r="691" spans="1:19" x14ac:dyDescent="0.25">
      <c r="A691" t="s">
        <v>1064</v>
      </c>
      <c r="B691">
        <v>20</v>
      </c>
      <c r="C691" t="s">
        <v>29</v>
      </c>
      <c r="D691" t="s">
        <v>2516</v>
      </c>
      <c r="E691" t="s">
        <v>18</v>
      </c>
      <c r="F691" t="s">
        <v>77</v>
      </c>
      <c r="G691" t="s">
        <v>811</v>
      </c>
      <c r="H691" t="str">
        <f>TEXT(walmart[[#This Row],[Purchase_Date]],"DDD")</f>
        <v>Sun</v>
      </c>
      <c r="I691" t="str">
        <f>TEXT(walmart[[#This Row],[Purchase_Date]],"MMM")</f>
        <v>Sep</v>
      </c>
      <c r="J691" t="str">
        <f>TEXT(walmart[[#This Row],[Purchase_Date]],"YYY")</f>
        <v>2024</v>
      </c>
      <c r="K691" s="3">
        <v>116.78</v>
      </c>
      <c r="L691" t="str">
        <f t="shared" si="50"/>
        <v>0% off</v>
      </c>
      <c r="M691" s="3">
        <f t="shared" si="51"/>
        <v>0</v>
      </c>
      <c r="N691" t="str">
        <f t="shared" si="52"/>
        <v>No</v>
      </c>
      <c r="O691" t="s">
        <v>21</v>
      </c>
      <c r="P691" s="3">
        <f t="shared" si="53"/>
        <v>116.78</v>
      </c>
      <c r="Q691" t="s">
        <v>22</v>
      </c>
      <c r="R691">
        <v>1</v>
      </c>
      <c r="S691" t="str">
        <f t="shared" si="54"/>
        <v>Very Poor</v>
      </c>
    </row>
    <row r="692" spans="1:19" x14ac:dyDescent="0.25">
      <c r="A692" t="s">
        <v>1065</v>
      </c>
      <c r="B692">
        <v>52</v>
      </c>
      <c r="C692" t="s">
        <v>29</v>
      </c>
      <c r="D692" t="s">
        <v>2517</v>
      </c>
      <c r="E692" t="s">
        <v>55</v>
      </c>
      <c r="F692" t="s">
        <v>56</v>
      </c>
      <c r="G692" t="s">
        <v>478</v>
      </c>
      <c r="H692" t="str">
        <f>TEXT(walmart[[#This Row],[Purchase_Date]],"DDD")</f>
        <v>Tue</v>
      </c>
      <c r="I692" t="str">
        <f>TEXT(walmart[[#This Row],[Purchase_Date]],"MMM")</f>
        <v>Sep</v>
      </c>
      <c r="J692" t="str">
        <f>TEXT(walmart[[#This Row],[Purchase_Date]],"YYY")</f>
        <v>2024</v>
      </c>
      <c r="K692" s="3">
        <v>76.81</v>
      </c>
      <c r="L692" t="str">
        <f t="shared" si="50"/>
        <v>0% off</v>
      </c>
      <c r="M692" s="3">
        <f t="shared" si="51"/>
        <v>0</v>
      </c>
      <c r="N692" t="str">
        <f t="shared" si="52"/>
        <v>No</v>
      </c>
      <c r="O692" t="s">
        <v>34</v>
      </c>
      <c r="P692" s="3">
        <f t="shared" si="53"/>
        <v>76.81</v>
      </c>
      <c r="Q692" t="s">
        <v>27</v>
      </c>
      <c r="R692">
        <v>1</v>
      </c>
      <c r="S692" t="str">
        <f t="shared" si="54"/>
        <v>Very Poor</v>
      </c>
    </row>
    <row r="693" spans="1:19" x14ac:dyDescent="0.25">
      <c r="A693" t="s">
        <v>1066</v>
      </c>
      <c r="B693">
        <v>40</v>
      </c>
      <c r="C693" t="s">
        <v>29</v>
      </c>
      <c r="D693" t="s">
        <v>2518</v>
      </c>
      <c r="E693" t="s">
        <v>42</v>
      </c>
      <c r="F693" t="s">
        <v>43</v>
      </c>
      <c r="G693" t="s">
        <v>1067</v>
      </c>
      <c r="H693" t="str">
        <f>TEXT(walmart[[#This Row],[Purchase_Date]],"DDD")</f>
        <v>Fri</v>
      </c>
      <c r="I693" t="str">
        <f>TEXT(walmart[[#This Row],[Purchase_Date]],"MMM")</f>
        <v>Feb</v>
      </c>
      <c r="J693" t="str">
        <f>TEXT(walmart[[#This Row],[Purchase_Date]],"YYY")</f>
        <v>2025</v>
      </c>
      <c r="K693" s="3">
        <v>512.94000000000005</v>
      </c>
      <c r="L693" t="str">
        <f t="shared" si="50"/>
        <v>10% off</v>
      </c>
      <c r="M693" s="3">
        <f t="shared" si="51"/>
        <v>51.294000000000011</v>
      </c>
      <c r="N693" t="str">
        <f t="shared" si="52"/>
        <v>Yes</v>
      </c>
      <c r="O693" t="s">
        <v>21</v>
      </c>
      <c r="P693" s="3">
        <f t="shared" si="53"/>
        <v>461.64600000000007</v>
      </c>
      <c r="Q693" t="s">
        <v>35</v>
      </c>
      <c r="R693">
        <v>1</v>
      </c>
      <c r="S693" t="str">
        <f t="shared" si="54"/>
        <v>Very Poor</v>
      </c>
    </row>
    <row r="694" spans="1:19" x14ac:dyDescent="0.25">
      <c r="A694" t="s">
        <v>1068</v>
      </c>
      <c r="B694">
        <v>20</v>
      </c>
      <c r="C694" t="s">
        <v>29</v>
      </c>
      <c r="D694" t="s">
        <v>2519</v>
      </c>
      <c r="E694" t="s">
        <v>18</v>
      </c>
      <c r="F694" t="s">
        <v>77</v>
      </c>
      <c r="G694" t="s">
        <v>366</v>
      </c>
      <c r="H694" t="str">
        <f>TEXT(walmart[[#This Row],[Purchase_Date]],"DDD")</f>
        <v>Fri</v>
      </c>
      <c r="I694" t="str">
        <f>TEXT(walmart[[#This Row],[Purchase_Date]],"MMM")</f>
        <v>Apr</v>
      </c>
      <c r="J694" t="str">
        <f>TEXT(walmart[[#This Row],[Purchase_Date]],"YYY")</f>
        <v>2024</v>
      </c>
      <c r="K694" s="3">
        <v>116.78</v>
      </c>
      <c r="L694" t="str">
        <f t="shared" si="50"/>
        <v>0% off</v>
      </c>
      <c r="M694" s="3">
        <f t="shared" si="51"/>
        <v>0</v>
      </c>
      <c r="N694" t="str">
        <f t="shared" si="52"/>
        <v>No</v>
      </c>
      <c r="O694" t="s">
        <v>21</v>
      </c>
      <c r="P694" s="3">
        <f t="shared" si="53"/>
        <v>116.78</v>
      </c>
      <c r="Q694" t="s">
        <v>22</v>
      </c>
      <c r="R694">
        <v>3</v>
      </c>
      <c r="S694" t="str">
        <f t="shared" si="54"/>
        <v>Average</v>
      </c>
    </row>
    <row r="695" spans="1:19" x14ac:dyDescent="0.25">
      <c r="A695" t="s">
        <v>1069</v>
      </c>
      <c r="B695">
        <v>64</v>
      </c>
      <c r="C695" t="s">
        <v>29</v>
      </c>
      <c r="D695" t="s">
        <v>2520</v>
      </c>
      <c r="E695" t="s">
        <v>31</v>
      </c>
      <c r="F695" t="s">
        <v>169</v>
      </c>
      <c r="G695" t="s">
        <v>870</v>
      </c>
      <c r="H695" t="str">
        <f>TEXT(walmart[[#This Row],[Purchase_Date]],"DDD")</f>
        <v>Thu</v>
      </c>
      <c r="I695" t="str">
        <f>TEXT(walmart[[#This Row],[Purchase_Date]],"MMM")</f>
        <v>Jun</v>
      </c>
      <c r="J695" t="str">
        <f>TEXT(walmart[[#This Row],[Purchase_Date]],"YYY")</f>
        <v>2024</v>
      </c>
      <c r="K695" s="3">
        <v>52.44</v>
      </c>
      <c r="L695" t="str">
        <f t="shared" si="50"/>
        <v>0% off</v>
      </c>
      <c r="M695" s="3">
        <f t="shared" si="51"/>
        <v>0</v>
      </c>
      <c r="N695" t="str">
        <f t="shared" si="52"/>
        <v>No</v>
      </c>
      <c r="O695" t="s">
        <v>34</v>
      </c>
      <c r="P695" s="3">
        <f t="shared" si="53"/>
        <v>52.44</v>
      </c>
      <c r="Q695" t="s">
        <v>27</v>
      </c>
      <c r="R695">
        <v>4</v>
      </c>
      <c r="S695" t="str">
        <f t="shared" si="54"/>
        <v>Good</v>
      </c>
    </row>
    <row r="696" spans="1:19" x14ac:dyDescent="0.25">
      <c r="A696" t="s">
        <v>1070</v>
      </c>
      <c r="B696">
        <v>66</v>
      </c>
      <c r="C696" t="s">
        <v>16</v>
      </c>
      <c r="D696" t="s">
        <v>2521</v>
      </c>
      <c r="E696" t="s">
        <v>42</v>
      </c>
      <c r="F696" t="s">
        <v>103</v>
      </c>
      <c r="G696" t="s">
        <v>474</v>
      </c>
      <c r="H696" t="str">
        <f>TEXT(walmart[[#This Row],[Purchase_Date]],"DDD")</f>
        <v>Wed</v>
      </c>
      <c r="I696" t="str">
        <f>TEXT(walmart[[#This Row],[Purchase_Date]],"MMM")</f>
        <v>Jun</v>
      </c>
      <c r="J696" t="str">
        <f>TEXT(walmart[[#This Row],[Purchase_Date]],"YYY")</f>
        <v>2024</v>
      </c>
      <c r="K696" s="3">
        <v>315.56</v>
      </c>
      <c r="L696" t="str">
        <f t="shared" si="50"/>
        <v>5% off</v>
      </c>
      <c r="M696" s="3">
        <f t="shared" si="51"/>
        <v>15.778</v>
      </c>
      <c r="N696" t="str">
        <f t="shared" si="52"/>
        <v>Yes</v>
      </c>
      <c r="O696" t="s">
        <v>34</v>
      </c>
      <c r="P696" s="3">
        <f t="shared" si="53"/>
        <v>299.78199999999998</v>
      </c>
      <c r="Q696" t="s">
        <v>22</v>
      </c>
      <c r="R696">
        <v>3</v>
      </c>
      <c r="S696" t="str">
        <f t="shared" si="54"/>
        <v>Average</v>
      </c>
    </row>
    <row r="697" spans="1:19" x14ac:dyDescent="0.25">
      <c r="A697" t="s">
        <v>1071</v>
      </c>
      <c r="B697">
        <v>59</v>
      </c>
      <c r="C697" t="s">
        <v>16</v>
      </c>
      <c r="D697" t="s">
        <v>2522</v>
      </c>
      <c r="E697" t="s">
        <v>31</v>
      </c>
      <c r="F697" t="s">
        <v>32</v>
      </c>
      <c r="G697" t="s">
        <v>234</v>
      </c>
      <c r="H697" t="str">
        <f>TEXT(walmart[[#This Row],[Purchase_Date]],"DDD")</f>
        <v>Fri</v>
      </c>
      <c r="I697" t="str">
        <f>TEXT(walmart[[#This Row],[Purchase_Date]],"MMM")</f>
        <v>Jul</v>
      </c>
      <c r="J697" t="str">
        <f>TEXT(walmart[[#This Row],[Purchase_Date]],"YYY")</f>
        <v>2024</v>
      </c>
      <c r="K697" s="3">
        <v>493.96</v>
      </c>
      <c r="L697" t="str">
        <f t="shared" si="50"/>
        <v>5% off</v>
      </c>
      <c r="M697" s="3">
        <f t="shared" si="51"/>
        <v>24.698</v>
      </c>
      <c r="N697" t="str">
        <f t="shared" si="52"/>
        <v>Yes</v>
      </c>
      <c r="O697" t="s">
        <v>21</v>
      </c>
      <c r="P697" s="3">
        <f t="shared" si="53"/>
        <v>469.262</v>
      </c>
      <c r="Q697" t="s">
        <v>27</v>
      </c>
      <c r="R697">
        <v>5</v>
      </c>
      <c r="S697" t="str">
        <f t="shared" si="54"/>
        <v>Excellent</v>
      </c>
    </row>
    <row r="698" spans="1:19" x14ac:dyDescent="0.25">
      <c r="A698" t="s">
        <v>1072</v>
      </c>
      <c r="B698">
        <v>57</v>
      </c>
      <c r="C698" t="s">
        <v>16</v>
      </c>
      <c r="D698" t="s">
        <v>2485</v>
      </c>
      <c r="E698" t="s">
        <v>37</v>
      </c>
      <c r="F698" t="s">
        <v>38</v>
      </c>
      <c r="G698" t="s">
        <v>434</v>
      </c>
      <c r="H698" t="str">
        <f>TEXT(walmart[[#This Row],[Purchase_Date]],"DDD")</f>
        <v>Sat</v>
      </c>
      <c r="I698" t="str">
        <f>TEXT(walmart[[#This Row],[Purchase_Date]],"MMM")</f>
        <v>Apr</v>
      </c>
      <c r="J698" t="str">
        <f>TEXT(walmart[[#This Row],[Purchase_Date]],"YYY")</f>
        <v>2024</v>
      </c>
      <c r="K698" s="3">
        <v>211.46</v>
      </c>
      <c r="L698" t="str">
        <f t="shared" si="50"/>
        <v>5% off</v>
      </c>
      <c r="M698" s="3">
        <f t="shared" si="51"/>
        <v>10.573</v>
      </c>
      <c r="N698" t="str">
        <f t="shared" si="52"/>
        <v>Yes</v>
      </c>
      <c r="O698" t="s">
        <v>21</v>
      </c>
      <c r="P698" s="3">
        <f t="shared" si="53"/>
        <v>200.887</v>
      </c>
      <c r="Q698" t="s">
        <v>47</v>
      </c>
      <c r="R698">
        <v>1</v>
      </c>
      <c r="S698" t="str">
        <f t="shared" si="54"/>
        <v>Very Poor</v>
      </c>
    </row>
    <row r="699" spans="1:19" x14ac:dyDescent="0.25">
      <c r="A699" t="s">
        <v>1073</v>
      </c>
      <c r="B699">
        <v>50</v>
      </c>
      <c r="C699" t="s">
        <v>16</v>
      </c>
      <c r="D699" t="s">
        <v>2523</v>
      </c>
      <c r="E699" t="s">
        <v>37</v>
      </c>
      <c r="F699" t="s">
        <v>38</v>
      </c>
      <c r="G699" t="s">
        <v>1074</v>
      </c>
      <c r="H699" t="str">
        <f>TEXT(walmart[[#This Row],[Purchase_Date]],"DDD")</f>
        <v>Fri</v>
      </c>
      <c r="I699" t="str">
        <f>TEXT(walmart[[#This Row],[Purchase_Date]],"MMM")</f>
        <v>Jan</v>
      </c>
      <c r="J699" t="str">
        <f>TEXT(walmart[[#This Row],[Purchase_Date]],"YYY")</f>
        <v>2025</v>
      </c>
      <c r="K699" s="3">
        <v>211.46</v>
      </c>
      <c r="L699" t="str">
        <f t="shared" si="50"/>
        <v>5% off</v>
      </c>
      <c r="M699" s="3">
        <f t="shared" si="51"/>
        <v>10.573</v>
      </c>
      <c r="N699" t="str">
        <f t="shared" si="52"/>
        <v>Yes</v>
      </c>
      <c r="O699" t="s">
        <v>21</v>
      </c>
      <c r="P699" s="3">
        <f t="shared" si="53"/>
        <v>200.887</v>
      </c>
      <c r="Q699" t="s">
        <v>35</v>
      </c>
      <c r="R699">
        <v>2</v>
      </c>
      <c r="S699" t="str">
        <f t="shared" si="54"/>
        <v>Poor</v>
      </c>
    </row>
    <row r="700" spans="1:19" x14ac:dyDescent="0.25">
      <c r="A700" t="s">
        <v>1075</v>
      </c>
      <c r="B700">
        <v>34</v>
      </c>
      <c r="C700" t="s">
        <v>16</v>
      </c>
      <c r="D700" t="s">
        <v>2518</v>
      </c>
      <c r="E700" t="s">
        <v>73</v>
      </c>
      <c r="F700" t="s">
        <v>91</v>
      </c>
      <c r="G700" t="s">
        <v>766</v>
      </c>
      <c r="H700" t="str">
        <f>TEXT(walmart[[#This Row],[Purchase_Date]],"DDD")</f>
        <v>Fri</v>
      </c>
      <c r="I700" t="str">
        <f>TEXT(walmart[[#This Row],[Purchase_Date]],"MMM")</f>
        <v>Sep</v>
      </c>
      <c r="J700" t="str">
        <f>TEXT(walmart[[#This Row],[Purchase_Date]],"YYY")</f>
        <v>2024</v>
      </c>
      <c r="K700" s="3">
        <v>418.55</v>
      </c>
      <c r="L700" t="str">
        <f t="shared" si="50"/>
        <v>5% off</v>
      </c>
      <c r="M700" s="3">
        <f t="shared" si="51"/>
        <v>20.927500000000002</v>
      </c>
      <c r="N700" t="str">
        <f t="shared" si="52"/>
        <v>Yes</v>
      </c>
      <c r="O700" t="s">
        <v>21</v>
      </c>
      <c r="P700" s="3">
        <f t="shared" si="53"/>
        <v>397.6225</v>
      </c>
      <c r="Q700" t="s">
        <v>35</v>
      </c>
      <c r="R700">
        <v>5</v>
      </c>
      <c r="S700" t="str">
        <f t="shared" si="54"/>
        <v>Excellent</v>
      </c>
    </row>
    <row r="701" spans="1:19" x14ac:dyDescent="0.25">
      <c r="A701" t="s">
        <v>1076</v>
      </c>
      <c r="B701">
        <v>19</v>
      </c>
      <c r="C701" t="s">
        <v>29</v>
      </c>
      <c r="D701" t="s">
        <v>2524</v>
      </c>
      <c r="E701" t="s">
        <v>37</v>
      </c>
      <c r="F701" t="s">
        <v>82</v>
      </c>
      <c r="G701" t="s">
        <v>1077</v>
      </c>
      <c r="H701" t="str">
        <f>TEXT(walmart[[#This Row],[Purchase_Date]],"DDD")</f>
        <v>Mon</v>
      </c>
      <c r="I701" t="str">
        <f>TEXT(walmart[[#This Row],[Purchase_Date]],"MMM")</f>
        <v>May</v>
      </c>
      <c r="J701" t="str">
        <f>TEXT(walmart[[#This Row],[Purchase_Date]],"YYY")</f>
        <v>2024</v>
      </c>
      <c r="K701" s="3">
        <v>270.41000000000003</v>
      </c>
      <c r="L701" t="str">
        <f t="shared" si="50"/>
        <v>5% off</v>
      </c>
      <c r="M701" s="3">
        <f t="shared" si="51"/>
        <v>13.520500000000002</v>
      </c>
      <c r="N701" t="str">
        <f t="shared" si="52"/>
        <v>Yes</v>
      </c>
      <c r="O701" t="s">
        <v>21</v>
      </c>
      <c r="P701" s="3">
        <f t="shared" si="53"/>
        <v>256.8895</v>
      </c>
      <c r="Q701" t="s">
        <v>22</v>
      </c>
      <c r="R701">
        <v>5</v>
      </c>
      <c r="S701" t="str">
        <f t="shared" si="54"/>
        <v>Excellent</v>
      </c>
    </row>
    <row r="702" spans="1:19" x14ac:dyDescent="0.25">
      <c r="A702" t="s">
        <v>1078</v>
      </c>
      <c r="B702">
        <v>65</v>
      </c>
      <c r="C702" t="s">
        <v>16</v>
      </c>
      <c r="D702" t="s">
        <v>2525</v>
      </c>
      <c r="E702" t="s">
        <v>18</v>
      </c>
      <c r="F702" t="s">
        <v>19</v>
      </c>
      <c r="G702" t="s">
        <v>1079</v>
      </c>
      <c r="H702" t="str">
        <f>TEXT(walmart[[#This Row],[Purchase_Date]],"DDD")</f>
        <v>Mon</v>
      </c>
      <c r="I702" t="str">
        <f>TEXT(walmart[[#This Row],[Purchase_Date]],"MMM")</f>
        <v>May</v>
      </c>
      <c r="J702" t="str">
        <f>TEXT(walmart[[#This Row],[Purchase_Date]],"YYY")</f>
        <v>2024</v>
      </c>
      <c r="K702" s="3">
        <v>697.86</v>
      </c>
      <c r="L702" t="str">
        <f t="shared" si="50"/>
        <v>10% off</v>
      </c>
      <c r="M702" s="3">
        <f t="shared" si="51"/>
        <v>69.786000000000001</v>
      </c>
      <c r="N702" t="str">
        <f t="shared" si="52"/>
        <v>Yes</v>
      </c>
      <c r="O702" t="s">
        <v>34</v>
      </c>
      <c r="P702" s="3">
        <f t="shared" si="53"/>
        <v>628.07400000000007</v>
      </c>
      <c r="Q702" t="s">
        <v>22</v>
      </c>
      <c r="R702">
        <v>4</v>
      </c>
      <c r="S702" t="str">
        <f t="shared" si="54"/>
        <v>Good</v>
      </c>
    </row>
    <row r="703" spans="1:19" x14ac:dyDescent="0.25">
      <c r="A703" t="s">
        <v>1080</v>
      </c>
      <c r="B703">
        <v>44</v>
      </c>
      <c r="C703" t="s">
        <v>16</v>
      </c>
      <c r="D703" t="s">
        <v>2487</v>
      </c>
      <c r="E703" t="s">
        <v>37</v>
      </c>
      <c r="F703" t="s">
        <v>117</v>
      </c>
      <c r="G703" t="s">
        <v>104</v>
      </c>
      <c r="H703" t="str">
        <f>TEXT(walmart[[#This Row],[Purchase_Date]],"DDD")</f>
        <v>Sat</v>
      </c>
      <c r="I703" t="str">
        <f>TEXT(walmart[[#This Row],[Purchase_Date]],"MMM")</f>
        <v>Mar</v>
      </c>
      <c r="J703" t="str">
        <f>TEXT(walmart[[#This Row],[Purchase_Date]],"YYY")</f>
        <v>2025</v>
      </c>
      <c r="K703" s="3">
        <v>165.68</v>
      </c>
      <c r="L703" t="str">
        <f t="shared" si="50"/>
        <v>5% off</v>
      </c>
      <c r="M703" s="3">
        <f t="shared" si="51"/>
        <v>8.2840000000000007</v>
      </c>
      <c r="N703" t="str">
        <f t="shared" si="52"/>
        <v>Yes</v>
      </c>
      <c r="O703" t="s">
        <v>21</v>
      </c>
      <c r="P703" s="3">
        <f t="shared" si="53"/>
        <v>157.39600000000002</v>
      </c>
      <c r="Q703" t="s">
        <v>35</v>
      </c>
      <c r="R703">
        <v>5</v>
      </c>
      <c r="S703" t="str">
        <f t="shared" si="54"/>
        <v>Excellent</v>
      </c>
    </row>
    <row r="704" spans="1:19" x14ac:dyDescent="0.25">
      <c r="A704" t="s">
        <v>1081</v>
      </c>
      <c r="B704">
        <v>42</v>
      </c>
      <c r="C704" t="s">
        <v>16</v>
      </c>
      <c r="D704" t="s">
        <v>2519</v>
      </c>
      <c r="E704" t="s">
        <v>42</v>
      </c>
      <c r="F704" t="s">
        <v>120</v>
      </c>
      <c r="G704" t="s">
        <v>254</v>
      </c>
      <c r="H704" t="str">
        <f>TEXT(walmart[[#This Row],[Purchase_Date]],"DDD")</f>
        <v>Fri</v>
      </c>
      <c r="I704" t="str">
        <f>TEXT(walmart[[#This Row],[Purchase_Date]],"MMM")</f>
        <v>Mar</v>
      </c>
      <c r="J704" t="str">
        <f>TEXT(walmart[[#This Row],[Purchase_Date]],"YYY")</f>
        <v>2025</v>
      </c>
      <c r="K704" s="3">
        <v>260.77999999999997</v>
      </c>
      <c r="L704" t="str">
        <f t="shared" si="50"/>
        <v>5% off</v>
      </c>
      <c r="M704" s="3">
        <f t="shared" si="51"/>
        <v>13.039</v>
      </c>
      <c r="N704" t="str">
        <f t="shared" si="52"/>
        <v>Yes</v>
      </c>
      <c r="O704" t="s">
        <v>34</v>
      </c>
      <c r="P704" s="3">
        <f t="shared" si="53"/>
        <v>247.74099999999999</v>
      </c>
      <c r="Q704" t="s">
        <v>22</v>
      </c>
      <c r="R704">
        <v>5</v>
      </c>
      <c r="S704" t="str">
        <f t="shared" si="54"/>
        <v>Excellent</v>
      </c>
    </row>
    <row r="705" spans="1:19" x14ac:dyDescent="0.25">
      <c r="A705" t="s">
        <v>1082</v>
      </c>
      <c r="B705">
        <v>49</v>
      </c>
      <c r="C705" t="s">
        <v>16</v>
      </c>
      <c r="D705" t="s">
        <v>2520</v>
      </c>
      <c r="E705" t="s">
        <v>37</v>
      </c>
      <c r="F705" t="s">
        <v>38</v>
      </c>
      <c r="G705" t="s">
        <v>221</v>
      </c>
      <c r="H705" t="str">
        <f>TEXT(walmart[[#This Row],[Purchase_Date]],"DDD")</f>
        <v>Fri</v>
      </c>
      <c r="I705" t="str">
        <f>TEXT(walmart[[#This Row],[Purchase_Date]],"MMM")</f>
        <v>Dec</v>
      </c>
      <c r="J705" t="str">
        <f>TEXT(walmart[[#This Row],[Purchase_Date]],"YYY")</f>
        <v>2024</v>
      </c>
      <c r="K705" s="3">
        <v>211.46</v>
      </c>
      <c r="L705" t="str">
        <f t="shared" si="50"/>
        <v>5% off</v>
      </c>
      <c r="M705" s="3">
        <f t="shared" si="51"/>
        <v>10.573</v>
      </c>
      <c r="N705" t="str">
        <f t="shared" si="52"/>
        <v>Yes</v>
      </c>
      <c r="O705" t="s">
        <v>21</v>
      </c>
      <c r="P705" s="3">
        <f t="shared" si="53"/>
        <v>200.887</v>
      </c>
      <c r="Q705" t="s">
        <v>27</v>
      </c>
      <c r="R705">
        <v>4</v>
      </c>
      <c r="S705" t="str">
        <f t="shared" si="54"/>
        <v>Good</v>
      </c>
    </row>
    <row r="706" spans="1:19" x14ac:dyDescent="0.25">
      <c r="A706" t="s">
        <v>1083</v>
      </c>
      <c r="B706">
        <v>70</v>
      </c>
      <c r="C706" t="s">
        <v>29</v>
      </c>
      <c r="D706" t="s">
        <v>2526</v>
      </c>
      <c r="E706" t="s">
        <v>42</v>
      </c>
      <c r="F706" t="s">
        <v>52</v>
      </c>
      <c r="G706" t="s">
        <v>414</v>
      </c>
      <c r="H706" t="str">
        <f>TEXT(walmart[[#This Row],[Purchase_Date]],"DDD")</f>
        <v>Thu</v>
      </c>
      <c r="I706" t="str">
        <f>TEXT(walmart[[#This Row],[Purchase_Date]],"MMM")</f>
        <v>Jun</v>
      </c>
      <c r="J706" t="str">
        <f>TEXT(walmart[[#This Row],[Purchase_Date]],"YYY")</f>
        <v>2024</v>
      </c>
      <c r="K706" s="3">
        <v>988.77</v>
      </c>
      <c r="L706" t="str">
        <f t="shared" si="50"/>
        <v>20% off</v>
      </c>
      <c r="M706" s="3">
        <f t="shared" si="51"/>
        <v>197.75400000000002</v>
      </c>
      <c r="N706" t="str">
        <f t="shared" si="52"/>
        <v>Yes</v>
      </c>
      <c r="O706" t="s">
        <v>34</v>
      </c>
      <c r="P706" s="3">
        <f t="shared" si="53"/>
        <v>791.01599999999996</v>
      </c>
      <c r="Q706" t="s">
        <v>35</v>
      </c>
      <c r="R706">
        <v>1</v>
      </c>
      <c r="S706" t="str">
        <f t="shared" si="54"/>
        <v>Very Poor</v>
      </c>
    </row>
    <row r="707" spans="1:19" x14ac:dyDescent="0.25">
      <c r="A707" t="s">
        <v>1084</v>
      </c>
      <c r="B707">
        <v>68</v>
      </c>
      <c r="C707" t="s">
        <v>29</v>
      </c>
      <c r="D707" t="s">
        <v>2527</v>
      </c>
      <c r="E707" t="s">
        <v>55</v>
      </c>
      <c r="F707" t="s">
        <v>100</v>
      </c>
      <c r="G707" t="s">
        <v>445</v>
      </c>
      <c r="H707" t="str">
        <f>TEXT(walmart[[#This Row],[Purchase_Date]],"DDD")</f>
        <v>Tue</v>
      </c>
      <c r="I707" t="str">
        <f>TEXT(walmart[[#This Row],[Purchase_Date]],"MMM")</f>
        <v>Aug</v>
      </c>
      <c r="J707" t="str">
        <f>TEXT(walmart[[#This Row],[Purchase_Date]],"YYY")</f>
        <v>2024</v>
      </c>
      <c r="K707" s="3">
        <v>592.26</v>
      </c>
      <c r="L707" t="str">
        <f t="shared" ref="L707:L770" si="55">IF(K707&lt;150,"0% off",IF(K707&lt;500,"5% off",IF(K707&lt;700,"10% off",IF(K707&lt;900,"15% off","20% off"))))</f>
        <v>10% off</v>
      </c>
      <c r="M707" s="3">
        <f t="shared" ref="M707:M770" si="56">K707 * (LEFT(L707, LEN(L707)-5) / 100)</f>
        <v>59.225999999999999</v>
      </c>
      <c r="N707" t="str">
        <f t="shared" ref="N707:N770" si="57">IF(L707="0% off", "No", "Yes")</f>
        <v>Yes</v>
      </c>
      <c r="O707" t="s">
        <v>21</v>
      </c>
      <c r="P707" s="3">
        <f t="shared" ref="P707:P770" si="58">K707-M707</f>
        <v>533.03399999999999</v>
      </c>
      <c r="Q707" t="s">
        <v>22</v>
      </c>
      <c r="R707">
        <v>2</v>
      </c>
      <c r="S707" t="str">
        <f t="shared" ref="S707:S770" si="59">IF(R707=5, "Excellent", IF(R707=4, "Good", IF(R707=3, "Average", IF(R707=2, "Poor", IF(R707=1, "Very Poor", "Invalid Rating")))))</f>
        <v>Poor</v>
      </c>
    </row>
    <row r="708" spans="1:19" x14ac:dyDescent="0.25">
      <c r="A708" t="s">
        <v>1085</v>
      </c>
      <c r="B708">
        <v>70</v>
      </c>
      <c r="C708" t="s">
        <v>29</v>
      </c>
      <c r="D708" t="s">
        <v>2528</v>
      </c>
      <c r="E708" t="s">
        <v>55</v>
      </c>
      <c r="F708" t="s">
        <v>56</v>
      </c>
      <c r="G708" t="s">
        <v>409</v>
      </c>
      <c r="H708" t="str">
        <f>TEXT(walmart[[#This Row],[Purchase_Date]],"DDD")</f>
        <v>Wed</v>
      </c>
      <c r="I708" t="str">
        <f>TEXT(walmart[[#This Row],[Purchase_Date]],"MMM")</f>
        <v>Jul</v>
      </c>
      <c r="J708" t="str">
        <f>TEXT(walmart[[#This Row],[Purchase_Date]],"YYY")</f>
        <v>2024</v>
      </c>
      <c r="K708" s="3">
        <v>76.81</v>
      </c>
      <c r="L708" t="str">
        <f t="shared" si="55"/>
        <v>0% off</v>
      </c>
      <c r="M708" s="3">
        <f t="shared" si="56"/>
        <v>0</v>
      </c>
      <c r="N708" t="str">
        <f t="shared" si="57"/>
        <v>No</v>
      </c>
      <c r="O708" t="s">
        <v>21</v>
      </c>
      <c r="P708" s="3">
        <f t="shared" si="58"/>
        <v>76.81</v>
      </c>
      <c r="Q708" t="s">
        <v>35</v>
      </c>
      <c r="R708">
        <v>5</v>
      </c>
      <c r="S708" t="str">
        <f t="shared" si="59"/>
        <v>Excellent</v>
      </c>
    </row>
    <row r="709" spans="1:19" x14ac:dyDescent="0.25">
      <c r="A709" t="s">
        <v>1086</v>
      </c>
      <c r="B709">
        <v>50</v>
      </c>
      <c r="C709" t="s">
        <v>16</v>
      </c>
      <c r="D709" t="s">
        <v>2529</v>
      </c>
      <c r="E709" t="s">
        <v>24</v>
      </c>
      <c r="F709" t="s">
        <v>209</v>
      </c>
      <c r="G709" t="s">
        <v>764</v>
      </c>
      <c r="H709" t="str">
        <f>TEXT(walmart[[#This Row],[Purchase_Date]],"DDD")</f>
        <v>Sun</v>
      </c>
      <c r="I709" t="str">
        <f>TEXT(walmart[[#This Row],[Purchase_Date]],"MMM")</f>
        <v>Apr</v>
      </c>
      <c r="J709" t="str">
        <f>TEXT(walmart[[#This Row],[Purchase_Date]],"YYY")</f>
        <v>2024</v>
      </c>
      <c r="K709" s="3">
        <v>775.75</v>
      </c>
      <c r="L709" t="str">
        <f t="shared" si="55"/>
        <v>15% off</v>
      </c>
      <c r="M709" s="3">
        <f t="shared" si="56"/>
        <v>116.3625</v>
      </c>
      <c r="N709" t="str">
        <f t="shared" si="57"/>
        <v>Yes</v>
      </c>
      <c r="O709" t="s">
        <v>34</v>
      </c>
      <c r="P709" s="3">
        <f t="shared" si="58"/>
        <v>659.38750000000005</v>
      </c>
      <c r="Q709" t="s">
        <v>27</v>
      </c>
      <c r="R709">
        <v>5</v>
      </c>
      <c r="S709" t="str">
        <f t="shared" si="59"/>
        <v>Excellent</v>
      </c>
    </row>
    <row r="710" spans="1:19" x14ac:dyDescent="0.25">
      <c r="A710" t="s">
        <v>1087</v>
      </c>
      <c r="B710">
        <v>25</v>
      </c>
      <c r="C710" t="s">
        <v>16</v>
      </c>
      <c r="D710" t="s">
        <v>2530</v>
      </c>
      <c r="E710" t="s">
        <v>73</v>
      </c>
      <c r="F710" t="s">
        <v>74</v>
      </c>
      <c r="G710" t="s">
        <v>594</v>
      </c>
      <c r="H710" t="str">
        <f>TEXT(walmart[[#This Row],[Purchase_Date]],"DDD")</f>
        <v>Thu</v>
      </c>
      <c r="I710" t="str">
        <f>TEXT(walmart[[#This Row],[Purchase_Date]],"MMM")</f>
        <v>Nov</v>
      </c>
      <c r="J710" t="str">
        <f>TEXT(walmart[[#This Row],[Purchase_Date]],"YYY")</f>
        <v>2024</v>
      </c>
      <c r="K710" s="3">
        <v>782.29</v>
      </c>
      <c r="L710" t="str">
        <f t="shared" si="55"/>
        <v>15% off</v>
      </c>
      <c r="M710" s="3">
        <f t="shared" si="56"/>
        <v>117.34349999999999</v>
      </c>
      <c r="N710" t="str">
        <f t="shared" si="57"/>
        <v>Yes</v>
      </c>
      <c r="O710" t="s">
        <v>34</v>
      </c>
      <c r="P710" s="3">
        <f t="shared" si="58"/>
        <v>664.94650000000001</v>
      </c>
      <c r="Q710" t="s">
        <v>47</v>
      </c>
      <c r="R710">
        <v>5</v>
      </c>
      <c r="S710" t="str">
        <f t="shared" si="59"/>
        <v>Excellent</v>
      </c>
    </row>
    <row r="711" spans="1:19" x14ac:dyDescent="0.25">
      <c r="A711" t="s">
        <v>1088</v>
      </c>
      <c r="B711">
        <v>61</v>
      </c>
      <c r="C711" t="s">
        <v>29</v>
      </c>
      <c r="D711" t="s">
        <v>2531</v>
      </c>
      <c r="E711" t="s">
        <v>55</v>
      </c>
      <c r="F711" t="s">
        <v>67</v>
      </c>
      <c r="G711" t="s">
        <v>1089</v>
      </c>
      <c r="H711" t="str">
        <f>TEXT(walmart[[#This Row],[Purchase_Date]],"DDD")</f>
        <v>Thu</v>
      </c>
      <c r="I711" t="str">
        <f>TEXT(walmart[[#This Row],[Purchase_Date]],"MMM")</f>
        <v>Aug</v>
      </c>
      <c r="J711" t="str">
        <f>TEXT(walmart[[#This Row],[Purchase_Date]],"YYY")</f>
        <v>2024</v>
      </c>
      <c r="K711" s="3">
        <v>452.97</v>
      </c>
      <c r="L711" t="str">
        <f t="shared" si="55"/>
        <v>5% off</v>
      </c>
      <c r="M711" s="3">
        <f t="shared" si="56"/>
        <v>22.648500000000002</v>
      </c>
      <c r="N711" t="str">
        <f t="shared" si="57"/>
        <v>Yes</v>
      </c>
      <c r="O711" t="s">
        <v>34</v>
      </c>
      <c r="P711" s="3">
        <f t="shared" si="58"/>
        <v>430.32150000000001</v>
      </c>
      <c r="Q711" t="s">
        <v>27</v>
      </c>
      <c r="R711">
        <v>1</v>
      </c>
      <c r="S711" t="str">
        <f t="shared" si="59"/>
        <v>Very Poor</v>
      </c>
    </row>
    <row r="712" spans="1:19" x14ac:dyDescent="0.25">
      <c r="A712" t="s">
        <v>1090</v>
      </c>
      <c r="B712">
        <v>18</v>
      </c>
      <c r="C712" t="s">
        <v>16</v>
      </c>
      <c r="D712" t="s">
        <v>2532</v>
      </c>
      <c r="E712" t="s">
        <v>31</v>
      </c>
      <c r="F712" t="s">
        <v>169</v>
      </c>
      <c r="G712" t="s">
        <v>1091</v>
      </c>
      <c r="H712" t="str">
        <f>TEXT(walmart[[#This Row],[Purchase_Date]],"DDD")</f>
        <v>Thu</v>
      </c>
      <c r="I712" t="str">
        <f>TEXT(walmart[[#This Row],[Purchase_Date]],"MMM")</f>
        <v>Aug</v>
      </c>
      <c r="J712" t="str">
        <f>TEXT(walmart[[#This Row],[Purchase_Date]],"YYY")</f>
        <v>2024</v>
      </c>
      <c r="K712" s="3">
        <v>52.44</v>
      </c>
      <c r="L712" t="str">
        <f t="shared" si="55"/>
        <v>0% off</v>
      </c>
      <c r="M712" s="3">
        <f t="shared" si="56"/>
        <v>0</v>
      </c>
      <c r="N712" t="str">
        <f t="shared" si="57"/>
        <v>No</v>
      </c>
      <c r="O712" t="s">
        <v>34</v>
      </c>
      <c r="P712" s="3">
        <f t="shared" si="58"/>
        <v>52.44</v>
      </c>
      <c r="Q712" t="s">
        <v>22</v>
      </c>
      <c r="R712">
        <v>5</v>
      </c>
      <c r="S712" t="str">
        <f t="shared" si="59"/>
        <v>Excellent</v>
      </c>
    </row>
    <row r="713" spans="1:19" x14ac:dyDescent="0.25">
      <c r="A713" t="s">
        <v>1092</v>
      </c>
      <c r="B713">
        <v>39</v>
      </c>
      <c r="C713" t="s">
        <v>29</v>
      </c>
      <c r="D713" t="s">
        <v>2533</v>
      </c>
      <c r="E713" t="s">
        <v>37</v>
      </c>
      <c r="F713" t="s">
        <v>38</v>
      </c>
      <c r="G713" t="s">
        <v>560</v>
      </c>
      <c r="H713" t="str">
        <f>TEXT(walmart[[#This Row],[Purchase_Date]],"DDD")</f>
        <v>Wed</v>
      </c>
      <c r="I713" t="str">
        <f>TEXT(walmart[[#This Row],[Purchase_Date]],"MMM")</f>
        <v>Sep</v>
      </c>
      <c r="J713" t="str">
        <f>TEXT(walmart[[#This Row],[Purchase_Date]],"YYY")</f>
        <v>2024</v>
      </c>
      <c r="K713" s="3">
        <v>211.46</v>
      </c>
      <c r="L713" t="str">
        <f t="shared" si="55"/>
        <v>5% off</v>
      </c>
      <c r="M713" s="3">
        <f t="shared" si="56"/>
        <v>10.573</v>
      </c>
      <c r="N713" t="str">
        <f t="shared" si="57"/>
        <v>Yes</v>
      </c>
      <c r="O713" t="s">
        <v>21</v>
      </c>
      <c r="P713" s="3">
        <f t="shared" si="58"/>
        <v>200.887</v>
      </c>
      <c r="Q713" t="s">
        <v>27</v>
      </c>
      <c r="R713">
        <v>5</v>
      </c>
      <c r="S713" t="str">
        <f t="shared" si="59"/>
        <v>Excellent</v>
      </c>
    </row>
    <row r="714" spans="1:19" x14ac:dyDescent="0.25">
      <c r="A714" t="s">
        <v>1093</v>
      </c>
      <c r="B714">
        <v>53</v>
      </c>
      <c r="C714" t="s">
        <v>29</v>
      </c>
      <c r="D714" t="s">
        <v>2534</v>
      </c>
      <c r="E714" t="s">
        <v>73</v>
      </c>
      <c r="F714" t="s">
        <v>91</v>
      </c>
      <c r="G714" t="s">
        <v>805</v>
      </c>
      <c r="H714" t="str">
        <f>TEXT(walmart[[#This Row],[Purchase_Date]],"DDD")</f>
        <v>Thu</v>
      </c>
      <c r="I714" t="str">
        <f>TEXT(walmart[[#This Row],[Purchase_Date]],"MMM")</f>
        <v>Apr</v>
      </c>
      <c r="J714" t="str">
        <f>TEXT(walmart[[#This Row],[Purchase_Date]],"YYY")</f>
        <v>2024</v>
      </c>
      <c r="K714" s="3">
        <v>418.55</v>
      </c>
      <c r="L714" t="str">
        <f t="shared" si="55"/>
        <v>5% off</v>
      </c>
      <c r="M714" s="3">
        <f t="shared" si="56"/>
        <v>20.927500000000002</v>
      </c>
      <c r="N714" t="str">
        <f t="shared" si="57"/>
        <v>Yes</v>
      </c>
      <c r="O714" t="s">
        <v>34</v>
      </c>
      <c r="P714" s="3">
        <f t="shared" si="58"/>
        <v>397.6225</v>
      </c>
      <c r="Q714" t="s">
        <v>27</v>
      </c>
      <c r="R714">
        <v>1</v>
      </c>
      <c r="S714" t="str">
        <f t="shared" si="59"/>
        <v>Very Poor</v>
      </c>
    </row>
    <row r="715" spans="1:19" x14ac:dyDescent="0.25">
      <c r="A715" t="s">
        <v>1094</v>
      </c>
      <c r="B715">
        <v>20</v>
      </c>
      <c r="C715" t="s">
        <v>16</v>
      </c>
      <c r="D715" t="s">
        <v>2535</v>
      </c>
      <c r="E715" t="s">
        <v>42</v>
      </c>
      <c r="F715" t="s">
        <v>103</v>
      </c>
      <c r="G715" t="s">
        <v>928</v>
      </c>
      <c r="H715" t="str">
        <f>TEXT(walmart[[#This Row],[Purchase_Date]],"DDD")</f>
        <v>Thu</v>
      </c>
      <c r="I715" t="str">
        <f>TEXT(walmart[[#This Row],[Purchase_Date]],"MMM")</f>
        <v>Sep</v>
      </c>
      <c r="J715" t="str">
        <f>TEXT(walmart[[#This Row],[Purchase_Date]],"YYY")</f>
        <v>2024</v>
      </c>
      <c r="K715" s="3">
        <v>315.56</v>
      </c>
      <c r="L715" t="str">
        <f t="shared" si="55"/>
        <v>5% off</v>
      </c>
      <c r="M715" s="3">
        <f t="shared" si="56"/>
        <v>15.778</v>
      </c>
      <c r="N715" t="str">
        <f t="shared" si="57"/>
        <v>Yes</v>
      </c>
      <c r="O715" t="s">
        <v>34</v>
      </c>
      <c r="P715" s="3">
        <f t="shared" si="58"/>
        <v>299.78199999999998</v>
      </c>
      <c r="Q715" t="s">
        <v>47</v>
      </c>
      <c r="R715">
        <v>5</v>
      </c>
      <c r="S715" t="str">
        <f t="shared" si="59"/>
        <v>Excellent</v>
      </c>
    </row>
    <row r="716" spans="1:19" x14ac:dyDescent="0.25">
      <c r="A716" t="s">
        <v>1095</v>
      </c>
      <c r="B716">
        <v>30</v>
      </c>
      <c r="C716" t="s">
        <v>29</v>
      </c>
      <c r="D716" t="s">
        <v>2518</v>
      </c>
      <c r="E716" t="s">
        <v>42</v>
      </c>
      <c r="F716" t="s">
        <v>120</v>
      </c>
      <c r="G716" t="s">
        <v>619</v>
      </c>
      <c r="H716" t="str">
        <f>TEXT(walmart[[#This Row],[Purchase_Date]],"DDD")</f>
        <v>Tue</v>
      </c>
      <c r="I716" t="str">
        <f>TEXT(walmart[[#This Row],[Purchase_Date]],"MMM")</f>
        <v>May</v>
      </c>
      <c r="J716" t="str">
        <f>TEXT(walmart[[#This Row],[Purchase_Date]],"YYY")</f>
        <v>2024</v>
      </c>
      <c r="K716" s="3">
        <v>260.77999999999997</v>
      </c>
      <c r="L716" t="str">
        <f t="shared" si="55"/>
        <v>5% off</v>
      </c>
      <c r="M716" s="3">
        <f t="shared" si="56"/>
        <v>13.039</v>
      </c>
      <c r="N716" t="str">
        <f t="shared" si="57"/>
        <v>Yes</v>
      </c>
      <c r="O716" t="s">
        <v>34</v>
      </c>
      <c r="P716" s="3">
        <f t="shared" si="58"/>
        <v>247.74099999999999</v>
      </c>
      <c r="Q716" t="s">
        <v>22</v>
      </c>
      <c r="R716">
        <v>4</v>
      </c>
      <c r="S716" t="str">
        <f t="shared" si="59"/>
        <v>Good</v>
      </c>
    </row>
    <row r="717" spans="1:19" x14ac:dyDescent="0.25">
      <c r="A717" t="s">
        <v>1096</v>
      </c>
      <c r="B717">
        <v>62</v>
      </c>
      <c r="C717" t="s">
        <v>29</v>
      </c>
      <c r="D717" t="s">
        <v>2536</v>
      </c>
      <c r="E717" t="s">
        <v>18</v>
      </c>
      <c r="F717" t="s">
        <v>59</v>
      </c>
      <c r="G717" t="s">
        <v>1097</v>
      </c>
      <c r="H717" t="str">
        <f>TEXT(walmart[[#This Row],[Purchase_Date]],"DDD")</f>
        <v>Wed</v>
      </c>
      <c r="I717" t="str">
        <f>TEXT(walmart[[#This Row],[Purchase_Date]],"MMM")</f>
        <v>Nov</v>
      </c>
      <c r="J717" t="str">
        <f>TEXT(walmart[[#This Row],[Purchase_Date]],"YYY")</f>
        <v>2024</v>
      </c>
      <c r="K717" s="3">
        <v>78.349999999999994</v>
      </c>
      <c r="L717" t="str">
        <f t="shared" si="55"/>
        <v>0% off</v>
      </c>
      <c r="M717" s="3">
        <f t="shared" si="56"/>
        <v>0</v>
      </c>
      <c r="N717" t="str">
        <f t="shared" si="57"/>
        <v>No</v>
      </c>
      <c r="O717" t="s">
        <v>21</v>
      </c>
      <c r="P717" s="3">
        <f t="shared" si="58"/>
        <v>78.349999999999994</v>
      </c>
      <c r="Q717" t="s">
        <v>35</v>
      </c>
      <c r="R717">
        <v>5</v>
      </c>
      <c r="S717" t="str">
        <f t="shared" si="59"/>
        <v>Excellent</v>
      </c>
    </row>
    <row r="718" spans="1:19" x14ac:dyDescent="0.25">
      <c r="A718" t="s">
        <v>1098</v>
      </c>
      <c r="B718">
        <v>45</v>
      </c>
      <c r="C718" t="s">
        <v>16</v>
      </c>
      <c r="D718" t="s">
        <v>2537</v>
      </c>
      <c r="E718" t="s">
        <v>55</v>
      </c>
      <c r="F718" t="s">
        <v>100</v>
      </c>
      <c r="G718" t="s">
        <v>570</v>
      </c>
      <c r="H718" t="str">
        <f>TEXT(walmart[[#This Row],[Purchase_Date]],"DDD")</f>
        <v>Tue</v>
      </c>
      <c r="I718" t="str">
        <f>TEXT(walmart[[#This Row],[Purchase_Date]],"MMM")</f>
        <v>Jun</v>
      </c>
      <c r="J718" t="str">
        <f>TEXT(walmart[[#This Row],[Purchase_Date]],"YYY")</f>
        <v>2024</v>
      </c>
      <c r="K718" s="3">
        <v>592.26</v>
      </c>
      <c r="L718" t="str">
        <f t="shared" si="55"/>
        <v>10% off</v>
      </c>
      <c r="M718" s="3">
        <f t="shared" si="56"/>
        <v>59.225999999999999</v>
      </c>
      <c r="N718" t="str">
        <f t="shared" si="57"/>
        <v>Yes</v>
      </c>
      <c r="O718" t="s">
        <v>21</v>
      </c>
      <c r="P718" s="3">
        <f t="shared" si="58"/>
        <v>533.03399999999999</v>
      </c>
      <c r="Q718" t="s">
        <v>35</v>
      </c>
      <c r="R718">
        <v>4</v>
      </c>
      <c r="S718" t="str">
        <f t="shared" si="59"/>
        <v>Good</v>
      </c>
    </row>
    <row r="719" spans="1:19" x14ac:dyDescent="0.25">
      <c r="A719" t="s">
        <v>1099</v>
      </c>
      <c r="B719">
        <v>64</v>
      </c>
      <c r="C719" t="s">
        <v>16</v>
      </c>
      <c r="D719" t="s">
        <v>2538</v>
      </c>
      <c r="E719" t="s">
        <v>42</v>
      </c>
      <c r="F719" t="s">
        <v>52</v>
      </c>
      <c r="G719" t="s">
        <v>132</v>
      </c>
      <c r="H719" t="str">
        <f>TEXT(walmart[[#This Row],[Purchase_Date]],"DDD")</f>
        <v>Fri</v>
      </c>
      <c r="I719" t="str">
        <f>TEXT(walmart[[#This Row],[Purchase_Date]],"MMM")</f>
        <v>Jul</v>
      </c>
      <c r="J719" t="str">
        <f>TEXT(walmart[[#This Row],[Purchase_Date]],"YYY")</f>
        <v>2024</v>
      </c>
      <c r="K719" s="3">
        <v>988.77</v>
      </c>
      <c r="L719" t="str">
        <f t="shared" si="55"/>
        <v>20% off</v>
      </c>
      <c r="M719" s="3">
        <f t="shared" si="56"/>
        <v>197.75400000000002</v>
      </c>
      <c r="N719" t="str">
        <f t="shared" si="57"/>
        <v>Yes</v>
      </c>
      <c r="O719" t="s">
        <v>21</v>
      </c>
      <c r="P719" s="3">
        <f t="shared" si="58"/>
        <v>791.01599999999996</v>
      </c>
      <c r="Q719" t="s">
        <v>27</v>
      </c>
      <c r="R719">
        <v>2</v>
      </c>
      <c r="S719" t="str">
        <f t="shared" si="59"/>
        <v>Poor</v>
      </c>
    </row>
    <row r="720" spans="1:19" x14ac:dyDescent="0.25">
      <c r="A720" t="s">
        <v>1100</v>
      </c>
      <c r="B720">
        <v>36</v>
      </c>
      <c r="C720" t="s">
        <v>16</v>
      </c>
      <c r="D720" t="s">
        <v>2539</v>
      </c>
      <c r="E720" t="s">
        <v>42</v>
      </c>
      <c r="F720" t="s">
        <v>103</v>
      </c>
      <c r="G720" t="s">
        <v>1101</v>
      </c>
      <c r="H720" t="str">
        <f>TEXT(walmart[[#This Row],[Purchase_Date]],"DDD")</f>
        <v>Thu</v>
      </c>
      <c r="I720" t="str">
        <f>TEXT(walmart[[#This Row],[Purchase_Date]],"MMM")</f>
        <v>Mar</v>
      </c>
      <c r="J720" t="str">
        <f>TEXT(walmart[[#This Row],[Purchase_Date]],"YYY")</f>
        <v>2025</v>
      </c>
      <c r="K720" s="3">
        <v>315.56</v>
      </c>
      <c r="L720" t="str">
        <f t="shared" si="55"/>
        <v>5% off</v>
      </c>
      <c r="M720" s="3">
        <f t="shared" si="56"/>
        <v>15.778</v>
      </c>
      <c r="N720" t="str">
        <f t="shared" si="57"/>
        <v>Yes</v>
      </c>
      <c r="O720" t="s">
        <v>34</v>
      </c>
      <c r="P720" s="3">
        <f t="shared" si="58"/>
        <v>299.78199999999998</v>
      </c>
      <c r="Q720" t="s">
        <v>22</v>
      </c>
      <c r="R720">
        <v>5</v>
      </c>
      <c r="S720" t="str">
        <f t="shared" si="59"/>
        <v>Excellent</v>
      </c>
    </row>
    <row r="721" spans="1:19" x14ac:dyDescent="0.25">
      <c r="A721" t="s">
        <v>1102</v>
      </c>
      <c r="B721">
        <v>21</v>
      </c>
      <c r="C721" t="s">
        <v>16</v>
      </c>
      <c r="D721" t="s">
        <v>2540</v>
      </c>
      <c r="E721" t="s">
        <v>31</v>
      </c>
      <c r="F721" t="s">
        <v>169</v>
      </c>
      <c r="G721" t="s">
        <v>407</v>
      </c>
      <c r="H721" t="str">
        <f>TEXT(walmart[[#This Row],[Purchase_Date]],"DDD")</f>
        <v>Tue</v>
      </c>
      <c r="I721" t="str">
        <f>TEXT(walmart[[#This Row],[Purchase_Date]],"MMM")</f>
        <v>Jul</v>
      </c>
      <c r="J721" t="str">
        <f>TEXT(walmart[[#This Row],[Purchase_Date]],"YYY")</f>
        <v>2024</v>
      </c>
      <c r="K721" s="3">
        <v>52.44</v>
      </c>
      <c r="L721" t="str">
        <f t="shared" si="55"/>
        <v>0% off</v>
      </c>
      <c r="M721" s="3">
        <f t="shared" si="56"/>
        <v>0</v>
      </c>
      <c r="N721" t="str">
        <f t="shared" si="57"/>
        <v>No</v>
      </c>
      <c r="O721" t="s">
        <v>21</v>
      </c>
      <c r="P721" s="3">
        <f t="shared" si="58"/>
        <v>52.44</v>
      </c>
      <c r="Q721" t="s">
        <v>27</v>
      </c>
      <c r="R721">
        <v>2</v>
      </c>
      <c r="S721" t="str">
        <f t="shared" si="59"/>
        <v>Poor</v>
      </c>
    </row>
    <row r="722" spans="1:19" x14ac:dyDescent="0.25">
      <c r="A722" t="s">
        <v>1103</v>
      </c>
      <c r="B722">
        <v>58</v>
      </c>
      <c r="C722" t="s">
        <v>29</v>
      </c>
      <c r="D722" t="s">
        <v>2488</v>
      </c>
      <c r="E722" t="s">
        <v>24</v>
      </c>
      <c r="F722" t="s">
        <v>209</v>
      </c>
      <c r="G722" t="s">
        <v>437</v>
      </c>
      <c r="H722" t="str">
        <f>TEXT(walmart[[#This Row],[Purchase_Date]],"DDD")</f>
        <v>Sat</v>
      </c>
      <c r="I722" t="str">
        <f>TEXT(walmart[[#This Row],[Purchase_Date]],"MMM")</f>
        <v>Jul</v>
      </c>
      <c r="J722" t="str">
        <f>TEXT(walmart[[#This Row],[Purchase_Date]],"YYY")</f>
        <v>2024</v>
      </c>
      <c r="K722" s="3">
        <v>775.75</v>
      </c>
      <c r="L722" t="str">
        <f t="shared" si="55"/>
        <v>15% off</v>
      </c>
      <c r="M722" s="3">
        <f t="shared" si="56"/>
        <v>116.3625</v>
      </c>
      <c r="N722" t="str">
        <f t="shared" si="57"/>
        <v>Yes</v>
      </c>
      <c r="O722" t="s">
        <v>21</v>
      </c>
      <c r="P722" s="3">
        <f t="shared" si="58"/>
        <v>659.38750000000005</v>
      </c>
      <c r="Q722" t="s">
        <v>47</v>
      </c>
      <c r="R722">
        <v>5</v>
      </c>
      <c r="S722" t="str">
        <f t="shared" si="59"/>
        <v>Excellent</v>
      </c>
    </row>
    <row r="723" spans="1:19" x14ac:dyDescent="0.25">
      <c r="A723" t="s">
        <v>1104</v>
      </c>
      <c r="B723">
        <v>20</v>
      </c>
      <c r="C723" t="s">
        <v>16</v>
      </c>
      <c r="D723" t="s">
        <v>2541</v>
      </c>
      <c r="E723" t="s">
        <v>73</v>
      </c>
      <c r="F723" t="s">
        <v>91</v>
      </c>
      <c r="G723" t="s">
        <v>165</v>
      </c>
      <c r="H723" t="str">
        <f>TEXT(walmart[[#This Row],[Purchase_Date]],"DDD")</f>
        <v>Tue</v>
      </c>
      <c r="I723" t="str">
        <f>TEXT(walmart[[#This Row],[Purchase_Date]],"MMM")</f>
        <v>Oct</v>
      </c>
      <c r="J723" t="str">
        <f>TEXT(walmart[[#This Row],[Purchase_Date]],"YYY")</f>
        <v>2024</v>
      </c>
      <c r="K723" s="3">
        <v>418.55</v>
      </c>
      <c r="L723" t="str">
        <f t="shared" si="55"/>
        <v>5% off</v>
      </c>
      <c r="M723" s="3">
        <f t="shared" si="56"/>
        <v>20.927500000000002</v>
      </c>
      <c r="N723" t="str">
        <f t="shared" si="57"/>
        <v>Yes</v>
      </c>
      <c r="O723" t="s">
        <v>34</v>
      </c>
      <c r="P723" s="3">
        <f t="shared" si="58"/>
        <v>397.6225</v>
      </c>
      <c r="Q723" t="s">
        <v>35</v>
      </c>
      <c r="R723">
        <v>3</v>
      </c>
      <c r="S723" t="str">
        <f t="shared" si="59"/>
        <v>Average</v>
      </c>
    </row>
    <row r="724" spans="1:19" x14ac:dyDescent="0.25">
      <c r="A724" t="s">
        <v>1105</v>
      </c>
      <c r="B724">
        <v>44</v>
      </c>
      <c r="C724" t="s">
        <v>29</v>
      </c>
      <c r="D724" t="s">
        <v>2542</v>
      </c>
      <c r="E724" t="s">
        <v>24</v>
      </c>
      <c r="F724" t="s">
        <v>162</v>
      </c>
      <c r="G724" t="s">
        <v>283</v>
      </c>
      <c r="H724" t="str">
        <f>TEXT(walmart[[#This Row],[Purchase_Date]],"DDD")</f>
        <v>Fri</v>
      </c>
      <c r="I724" t="str">
        <f>TEXT(walmart[[#This Row],[Purchase_Date]],"MMM")</f>
        <v>Jan</v>
      </c>
      <c r="J724" t="str">
        <f>TEXT(walmart[[#This Row],[Purchase_Date]],"YYY")</f>
        <v>2025</v>
      </c>
      <c r="K724" s="3">
        <v>362.55</v>
      </c>
      <c r="L724" t="str">
        <f t="shared" si="55"/>
        <v>5% off</v>
      </c>
      <c r="M724" s="3">
        <f t="shared" si="56"/>
        <v>18.127500000000001</v>
      </c>
      <c r="N724" t="str">
        <f t="shared" si="57"/>
        <v>Yes</v>
      </c>
      <c r="O724" t="s">
        <v>34</v>
      </c>
      <c r="P724" s="3">
        <f t="shared" si="58"/>
        <v>344.42250000000001</v>
      </c>
      <c r="Q724" t="s">
        <v>47</v>
      </c>
      <c r="R724">
        <v>3</v>
      </c>
      <c r="S724" t="str">
        <f t="shared" si="59"/>
        <v>Average</v>
      </c>
    </row>
    <row r="725" spans="1:19" x14ac:dyDescent="0.25">
      <c r="A725" t="s">
        <v>1106</v>
      </c>
      <c r="B725">
        <v>69</v>
      </c>
      <c r="C725" t="s">
        <v>16</v>
      </c>
      <c r="D725" t="s">
        <v>2543</v>
      </c>
      <c r="E725" t="s">
        <v>42</v>
      </c>
      <c r="F725" t="s">
        <v>120</v>
      </c>
      <c r="G725" t="s">
        <v>829</v>
      </c>
      <c r="H725" t="str">
        <f>TEXT(walmart[[#This Row],[Purchase_Date]],"DDD")</f>
        <v>Sun</v>
      </c>
      <c r="I725" t="str">
        <f>TEXT(walmart[[#This Row],[Purchase_Date]],"MMM")</f>
        <v>Dec</v>
      </c>
      <c r="J725" t="str">
        <f>TEXT(walmart[[#This Row],[Purchase_Date]],"YYY")</f>
        <v>2024</v>
      </c>
      <c r="K725" s="3">
        <v>260.77999999999997</v>
      </c>
      <c r="L725" t="str">
        <f t="shared" si="55"/>
        <v>5% off</v>
      </c>
      <c r="M725" s="3">
        <f t="shared" si="56"/>
        <v>13.039</v>
      </c>
      <c r="N725" t="str">
        <f t="shared" si="57"/>
        <v>Yes</v>
      </c>
      <c r="O725" t="s">
        <v>21</v>
      </c>
      <c r="P725" s="3">
        <f t="shared" si="58"/>
        <v>247.74099999999999</v>
      </c>
      <c r="Q725" t="s">
        <v>27</v>
      </c>
      <c r="R725">
        <v>5</v>
      </c>
      <c r="S725" t="str">
        <f t="shared" si="59"/>
        <v>Excellent</v>
      </c>
    </row>
    <row r="726" spans="1:19" x14ac:dyDescent="0.25">
      <c r="A726" t="s">
        <v>1107</v>
      </c>
      <c r="B726">
        <v>38</v>
      </c>
      <c r="C726" t="s">
        <v>29</v>
      </c>
      <c r="D726" t="s">
        <v>2544</v>
      </c>
      <c r="E726" t="s">
        <v>24</v>
      </c>
      <c r="F726" t="s">
        <v>186</v>
      </c>
      <c r="G726" t="s">
        <v>254</v>
      </c>
      <c r="H726" t="str">
        <f>TEXT(walmart[[#This Row],[Purchase_Date]],"DDD")</f>
        <v>Fri</v>
      </c>
      <c r="I726" t="str">
        <f>TEXT(walmart[[#This Row],[Purchase_Date]],"MMM")</f>
        <v>Mar</v>
      </c>
      <c r="J726" t="str">
        <f>TEXT(walmart[[#This Row],[Purchase_Date]],"YYY")</f>
        <v>2025</v>
      </c>
      <c r="K726" s="3">
        <v>527.16999999999996</v>
      </c>
      <c r="L726" t="str">
        <f t="shared" si="55"/>
        <v>10% off</v>
      </c>
      <c r="M726" s="3">
        <f t="shared" si="56"/>
        <v>52.716999999999999</v>
      </c>
      <c r="N726" t="str">
        <f t="shared" si="57"/>
        <v>Yes</v>
      </c>
      <c r="O726" t="s">
        <v>21</v>
      </c>
      <c r="P726" s="3">
        <f t="shared" si="58"/>
        <v>474.45299999999997</v>
      </c>
      <c r="Q726" t="s">
        <v>35</v>
      </c>
      <c r="R726">
        <v>5</v>
      </c>
      <c r="S726" t="str">
        <f t="shared" si="59"/>
        <v>Excellent</v>
      </c>
    </row>
    <row r="727" spans="1:19" x14ac:dyDescent="0.25">
      <c r="A727" t="s">
        <v>1108</v>
      </c>
      <c r="B727">
        <v>52</v>
      </c>
      <c r="C727" t="s">
        <v>16</v>
      </c>
      <c r="D727" t="s">
        <v>2545</v>
      </c>
      <c r="E727" t="s">
        <v>18</v>
      </c>
      <c r="F727" t="s">
        <v>77</v>
      </c>
      <c r="G727" t="s">
        <v>1109</v>
      </c>
      <c r="H727" t="str">
        <f>TEXT(walmart[[#This Row],[Purchase_Date]],"DDD")</f>
        <v>Tue</v>
      </c>
      <c r="I727" t="str">
        <f>TEXT(walmart[[#This Row],[Purchase_Date]],"MMM")</f>
        <v>Dec</v>
      </c>
      <c r="J727" t="str">
        <f>TEXT(walmart[[#This Row],[Purchase_Date]],"YYY")</f>
        <v>2024</v>
      </c>
      <c r="K727" s="3">
        <v>116.78</v>
      </c>
      <c r="L727" t="str">
        <f t="shared" si="55"/>
        <v>0% off</v>
      </c>
      <c r="M727" s="3">
        <f t="shared" si="56"/>
        <v>0</v>
      </c>
      <c r="N727" t="str">
        <f t="shared" si="57"/>
        <v>No</v>
      </c>
      <c r="O727" t="s">
        <v>34</v>
      </c>
      <c r="P727" s="3">
        <f t="shared" si="58"/>
        <v>116.78</v>
      </c>
      <c r="Q727" t="s">
        <v>22</v>
      </c>
      <c r="R727">
        <v>3</v>
      </c>
      <c r="S727" t="str">
        <f t="shared" si="59"/>
        <v>Average</v>
      </c>
    </row>
    <row r="728" spans="1:19" x14ac:dyDescent="0.25">
      <c r="A728" t="s">
        <v>1110</v>
      </c>
      <c r="B728">
        <v>64</v>
      </c>
      <c r="C728" t="s">
        <v>29</v>
      </c>
      <c r="D728" t="s">
        <v>2546</v>
      </c>
      <c r="E728" t="s">
        <v>31</v>
      </c>
      <c r="F728" t="s">
        <v>169</v>
      </c>
      <c r="G728" t="s">
        <v>1079</v>
      </c>
      <c r="H728" t="str">
        <f>TEXT(walmart[[#This Row],[Purchase_Date]],"DDD")</f>
        <v>Mon</v>
      </c>
      <c r="I728" t="str">
        <f>TEXT(walmart[[#This Row],[Purchase_Date]],"MMM")</f>
        <v>May</v>
      </c>
      <c r="J728" t="str">
        <f>TEXT(walmart[[#This Row],[Purchase_Date]],"YYY")</f>
        <v>2024</v>
      </c>
      <c r="K728" s="3">
        <v>52.44</v>
      </c>
      <c r="L728" t="str">
        <f t="shared" si="55"/>
        <v>0% off</v>
      </c>
      <c r="M728" s="3">
        <f t="shared" si="56"/>
        <v>0</v>
      </c>
      <c r="N728" t="str">
        <f t="shared" si="57"/>
        <v>No</v>
      </c>
      <c r="O728" t="s">
        <v>34</v>
      </c>
      <c r="P728" s="3">
        <f t="shared" si="58"/>
        <v>52.44</v>
      </c>
      <c r="Q728" t="s">
        <v>22</v>
      </c>
      <c r="R728">
        <v>1</v>
      </c>
      <c r="S728" t="str">
        <f t="shared" si="59"/>
        <v>Very Poor</v>
      </c>
    </row>
    <row r="729" spans="1:19" x14ac:dyDescent="0.25">
      <c r="A729" t="s">
        <v>1111</v>
      </c>
      <c r="B729">
        <v>43</v>
      </c>
      <c r="C729" t="s">
        <v>16</v>
      </c>
      <c r="D729" t="s">
        <v>2547</v>
      </c>
      <c r="E729" t="s">
        <v>31</v>
      </c>
      <c r="F729" t="s">
        <v>300</v>
      </c>
      <c r="G729" t="s">
        <v>393</v>
      </c>
      <c r="H729" t="str">
        <f>TEXT(walmart[[#This Row],[Purchase_Date]],"DDD")</f>
        <v>Mon</v>
      </c>
      <c r="I729" t="str">
        <f>TEXT(walmart[[#This Row],[Purchase_Date]],"MMM")</f>
        <v>Oct</v>
      </c>
      <c r="J729" t="str">
        <f>TEXT(walmart[[#This Row],[Purchase_Date]],"YYY")</f>
        <v>2024</v>
      </c>
      <c r="K729" s="3">
        <v>340.04</v>
      </c>
      <c r="L729" t="str">
        <f t="shared" si="55"/>
        <v>5% off</v>
      </c>
      <c r="M729" s="3">
        <f t="shared" si="56"/>
        <v>17.002000000000002</v>
      </c>
      <c r="N729" t="str">
        <f t="shared" si="57"/>
        <v>Yes</v>
      </c>
      <c r="O729" t="s">
        <v>21</v>
      </c>
      <c r="P729" s="3">
        <f t="shared" si="58"/>
        <v>323.03800000000001</v>
      </c>
      <c r="Q729" t="s">
        <v>47</v>
      </c>
      <c r="R729">
        <v>4</v>
      </c>
      <c r="S729" t="str">
        <f t="shared" si="59"/>
        <v>Good</v>
      </c>
    </row>
    <row r="730" spans="1:19" x14ac:dyDescent="0.25">
      <c r="A730" t="s">
        <v>1112</v>
      </c>
      <c r="B730">
        <v>30</v>
      </c>
      <c r="C730" t="s">
        <v>29</v>
      </c>
      <c r="D730" t="s">
        <v>2548</v>
      </c>
      <c r="E730" t="s">
        <v>73</v>
      </c>
      <c r="F730" t="s">
        <v>91</v>
      </c>
      <c r="G730" t="s">
        <v>122</v>
      </c>
      <c r="H730" t="str">
        <f>TEXT(walmart[[#This Row],[Purchase_Date]],"DDD")</f>
        <v>Wed</v>
      </c>
      <c r="I730" t="str">
        <f>TEXT(walmart[[#This Row],[Purchase_Date]],"MMM")</f>
        <v>Jul</v>
      </c>
      <c r="J730" t="str">
        <f>TEXT(walmart[[#This Row],[Purchase_Date]],"YYY")</f>
        <v>2024</v>
      </c>
      <c r="K730" s="3">
        <v>418.55</v>
      </c>
      <c r="L730" t="str">
        <f t="shared" si="55"/>
        <v>5% off</v>
      </c>
      <c r="M730" s="3">
        <f t="shared" si="56"/>
        <v>20.927500000000002</v>
      </c>
      <c r="N730" t="str">
        <f t="shared" si="57"/>
        <v>Yes</v>
      </c>
      <c r="O730" t="s">
        <v>21</v>
      </c>
      <c r="P730" s="3">
        <f t="shared" si="58"/>
        <v>397.6225</v>
      </c>
      <c r="Q730" t="s">
        <v>22</v>
      </c>
      <c r="R730">
        <v>5</v>
      </c>
      <c r="S730" t="str">
        <f t="shared" si="59"/>
        <v>Excellent</v>
      </c>
    </row>
    <row r="731" spans="1:19" x14ac:dyDescent="0.25">
      <c r="A731" t="s">
        <v>1113</v>
      </c>
      <c r="B731">
        <v>44</v>
      </c>
      <c r="C731" t="s">
        <v>29</v>
      </c>
      <c r="D731" t="s">
        <v>2549</v>
      </c>
      <c r="E731" t="s">
        <v>42</v>
      </c>
      <c r="F731" t="s">
        <v>120</v>
      </c>
      <c r="G731" t="s">
        <v>149</v>
      </c>
      <c r="H731" t="str">
        <f>TEXT(walmart[[#This Row],[Purchase_Date]],"DDD")</f>
        <v>Thu</v>
      </c>
      <c r="I731" t="str">
        <f>TEXT(walmart[[#This Row],[Purchase_Date]],"MMM")</f>
        <v>Oct</v>
      </c>
      <c r="J731" t="str">
        <f>TEXT(walmart[[#This Row],[Purchase_Date]],"YYY")</f>
        <v>2024</v>
      </c>
      <c r="K731" s="3">
        <v>260.77999999999997</v>
      </c>
      <c r="L731" t="str">
        <f t="shared" si="55"/>
        <v>5% off</v>
      </c>
      <c r="M731" s="3">
        <f t="shared" si="56"/>
        <v>13.039</v>
      </c>
      <c r="N731" t="str">
        <f t="shared" si="57"/>
        <v>Yes</v>
      </c>
      <c r="O731" t="s">
        <v>34</v>
      </c>
      <c r="P731" s="3">
        <f t="shared" si="58"/>
        <v>247.74099999999999</v>
      </c>
      <c r="Q731" t="s">
        <v>47</v>
      </c>
      <c r="R731">
        <v>5</v>
      </c>
      <c r="S731" t="str">
        <f t="shared" si="59"/>
        <v>Excellent</v>
      </c>
    </row>
    <row r="732" spans="1:19" x14ac:dyDescent="0.25">
      <c r="A732" t="s">
        <v>1114</v>
      </c>
      <c r="B732">
        <v>24</v>
      </c>
      <c r="C732" t="s">
        <v>16</v>
      </c>
      <c r="D732" t="s">
        <v>2550</v>
      </c>
      <c r="E732" t="s">
        <v>37</v>
      </c>
      <c r="F732" t="s">
        <v>38</v>
      </c>
      <c r="G732" t="s">
        <v>275</v>
      </c>
      <c r="H732" t="str">
        <f>TEXT(walmart[[#This Row],[Purchase_Date]],"DDD")</f>
        <v>Sat</v>
      </c>
      <c r="I732" t="str">
        <f>TEXT(walmart[[#This Row],[Purchase_Date]],"MMM")</f>
        <v>Jun</v>
      </c>
      <c r="J732" t="str">
        <f>TEXT(walmart[[#This Row],[Purchase_Date]],"YYY")</f>
        <v>2024</v>
      </c>
      <c r="K732" s="3">
        <v>211.46</v>
      </c>
      <c r="L732" t="str">
        <f t="shared" si="55"/>
        <v>5% off</v>
      </c>
      <c r="M732" s="3">
        <f t="shared" si="56"/>
        <v>10.573</v>
      </c>
      <c r="N732" t="str">
        <f t="shared" si="57"/>
        <v>Yes</v>
      </c>
      <c r="O732" t="s">
        <v>34</v>
      </c>
      <c r="P732" s="3">
        <f t="shared" si="58"/>
        <v>200.887</v>
      </c>
      <c r="Q732" t="s">
        <v>47</v>
      </c>
      <c r="R732">
        <v>1</v>
      </c>
      <c r="S732" t="str">
        <f t="shared" si="59"/>
        <v>Very Poor</v>
      </c>
    </row>
    <row r="733" spans="1:19" x14ac:dyDescent="0.25">
      <c r="A733" t="s">
        <v>1115</v>
      </c>
      <c r="B733">
        <v>30</v>
      </c>
      <c r="C733" t="s">
        <v>29</v>
      </c>
      <c r="D733" t="s">
        <v>2551</v>
      </c>
      <c r="E733" t="s">
        <v>18</v>
      </c>
      <c r="F733" t="s">
        <v>77</v>
      </c>
      <c r="G733" t="s">
        <v>130</v>
      </c>
      <c r="H733" t="str">
        <f>TEXT(walmart[[#This Row],[Purchase_Date]],"DDD")</f>
        <v>Mon</v>
      </c>
      <c r="I733" t="str">
        <f>TEXT(walmart[[#This Row],[Purchase_Date]],"MMM")</f>
        <v>Nov</v>
      </c>
      <c r="J733" t="str">
        <f>TEXT(walmart[[#This Row],[Purchase_Date]],"YYY")</f>
        <v>2024</v>
      </c>
      <c r="K733" s="3">
        <v>116.78</v>
      </c>
      <c r="L733" t="str">
        <f t="shared" si="55"/>
        <v>0% off</v>
      </c>
      <c r="M733" s="3">
        <f t="shared" si="56"/>
        <v>0</v>
      </c>
      <c r="N733" t="str">
        <f t="shared" si="57"/>
        <v>No</v>
      </c>
      <c r="O733" t="s">
        <v>34</v>
      </c>
      <c r="P733" s="3">
        <f t="shared" si="58"/>
        <v>116.78</v>
      </c>
      <c r="Q733" t="s">
        <v>22</v>
      </c>
      <c r="R733">
        <v>3</v>
      </c>
      <c r="S733" t="str">
        <f t="shared" si="59"/>
        <v>Average</v>
      </c>
    </row>
    <row r="734" spans="1:19" x14ac:dyDescent="0.25">
      <c r="A734" t="s">
        <v>1116</v>
      </c>
      <c r="B734">
        <v>64</v>
      </c>
      <c r="C734" t="s">
        <v>16</v>
      </c>
      <c r="D734" t="s">
        <v>2552</v>
      </c>
      <c r="E734" t="s">
        <v>55</v>
      </c>
      <c r="F734" t="s">
        <v>67</v>
      </c>
      <c r="G734" t="s">
        <v>805</v>
      </c>
      <c r="H734" t="str">
        <f>TEXT(walmart[[#This Row],[Purchase_Date]],"DDD")</f>
        <v>Thu</v>
      </c>
      <c r="I734" t="str">
        <f>TEXT(walmart[[#This Row],[Purchase_Date]],"MMM")</f>
        <v>Apr</v>
      </c>
      <c r="J734" t="str">
        <f>TEXT(walmart[[#This Row],[Purchase_Date]],"YYY")</f>
        <v>2024</v>
      </c>
      <c r="K734" s="3">
        <v>452.97</v>
      </c>
      <c r="L734" t="str">
        <f t="shared" si="55"/>
        <v>5% off</v>
      </c>
      <c r="M734" s="3">
        <f t="shared" si="56"/>
        <v>22.648500000000002</v>
      </c>
      <c r="N734" t="str">
        <f t="shared" si="57"/>
        <v>Yes</v>
      </c>
      <c r="O734" t="s">
        <v>34</v>
      </c>
      <c r="P734" s="3">
        <f t="shared" si="58"/>
        <v>430.32150000000001</v>
      </c>
      <c r="Q734" t="s">
        <v>22</v>
      </c>
      <c r="R734">
        <v>2</v>
      </c>
      <c r="S734" t="str">
        <f t="shared" si="59"/>
        <v>Poor</v>
      </c>
    </row>
    <row r="735" spans="1:19" x14ac:dyDescent="0.25">
      <c r="A735" t="s">
        <v>1117</v>
      </c>
      <c r="B735">
        <v>65</v>
      </c>
      <c r="C735" t="s">
        <v>16</v>
      </c>
      <c r="D735" t="s">
        <v>2553</v>
      </c>
      <c r="E735" t="s">
        <v>37</v>
      </c>
      <c r="F735" t="s">
        <v>97</v>
      </c>
      <c r="G735" t="s">
        <v>149</v>
      </c>
      <c r="H735" t="str">
        <f>TEXT(walmart[[#This Row],[Purchase_Date]],"DDD")</f>
        <v>Thu</v>
      </c>
      <c r="I735" t="str">
        <f>TEXT(walmart[[#This Row],[Purchase_Date]],"MMM")</f>
        <v>Oct</v>
      </c>
      <c r="J735" t="str">
        <f>TEXT(walmart[[#This Row],[Purchase_Date]],"YYY")</f>
        <v>2024</v>
      </c>
      <c r="K735" s="3">
        <v>855.21</v>
      </c>
      <c r="L735" t="str">
        <f t="shared" si="55"/>
        <v>15% off</v>
      </c>
      <c r="M735" s="3">
        <f t="shared" si="56"/>
        <v>128.28149999999999</v>
      </c>
      <c r="N735" t="str">
        <f t="shared" si="57"/>
        <v>Yes</v>
      </c>
      <c r="O735" t="s">
        <v>21</v>
      </c>
      <c r="P735" s="3">
        <f t="shared" si="58"/>
        <v>726.92849999999999</v>
      </c>
      <c r="Q735" t="s">
        <v>47</v>
      </c>
      <c r="R735">
        <v>1</v>
      </c>
      <c r="S735" t="str">
        <f t="shared" si="59"/>
        <v>Very Poor</v>
      </c>
    </row>
    <row r="736" spans="1:19" x14ac:dyDescent="0.25">
      <c r="A736" t="s">
        <v>1118</v>
      </c>
      <c r="B736">
        <v>37</v>
      </c>
      <c r="C736" t="s">
        <v>29</v>
      </c>
      <c r="D736" t="s">
        <v>2554</v>
      </c>
      <c r="E736" t="s">
        <v>31</v>
      </c>
      <c r="F736" t="s">
        <v>300</v>
      </c>
      <c r="G736" t="s">
        <v>378</v>
      </c>
      <c r="H736" t="str">
        <f>TEXT(walmart[[#This Row],[Purchase_Date]],"DDD")</f>
        <v>Sat</v>
      </c>
      <c r="I736" t="str">
        <f>TEXT(walmart[[#This Row],[Purchase_Date]],"MMM")</f>
        <v>Jun</v>
      </c>
      <c r="J736" t="str">
        <f>TEXT(walmart[[#This Row],[Purchase_Date]],"YYY")</f>
        <v>2024</v>
      </c>
      <c r="K736" s="3">
        <v>340.04</v>
      </c>
      <c r="L736" t="str">
        <f t="shared" si="55"/>
        <v>5% off</v>
      </c>
      <c r="M736" s="3">
        <f t="shared" si="56"/>
        <v>17.002000000000002</v>
      </c>
      <c r="N736" t="str">
        <f t="shared" si="57"/>
        <v>Yes</v>
      </c>
      <c r="O736" t="s">
        <v>34</v>
      </c>
      <c r="P736" s="3">
        <f t="shared" si="58"/>
        <v>323.03800000000001</v>
      </c>
      <c r="Q736" t="s">
        <v>22</v>
      </c>
      <c r="R736">
        <v>3</v>
      </c>
      <c r="S736" t="str">
        <f t="shared" si="59"/>
        <v>Average</v>
      </c>
    </row>
    <row r="737" spans="1:19" x14ac:dyDescent="0.25">
      <c r="A737" t="s">
        <v>1119</v>
      </c>
      <c r="B737">
        <v>38</v>
      </c>
      <c r="C737" t="s">
        <v>16</v>
      </c>
      <c r="D737" t="s">
        <v>2555</v>
      </c>
      <c r="E737" t="s">
        <v>18</v>
      </c>
      <c r="F737" t="s">
        <v>142</v>
      </c>
      <c r="G737" t="s">
        <v>859</v>
      </c>
      <c r="H737" t="str">
        <f>TEXT(walmart[[#This Row],[Purchase_Date]],"DDD")</f>
        <v>Tue</v>
      </c>
      <c r="I737" t="str">
        <f>TEXT(walmart[[#This Row],[Purchase_Date]],"MMM")</f>
        <v>Jun</v>
      </c>
      <c r="J737" t="str">
        <f>TEXT(walmart[[#This Row],[Purchase_Date]],"YYY")</f>
        <v>2024</v>
      </c>
      <c r="K737" s="3">
        <v>485.26</v>
      </c>
      <c r="L737" t="str">
        <f t="shared" si="55"/>
        <v>5% off</v>
      </c>
      <c r="M737" s="3">
        <f t="shared" si="56"/>
        <v>24.263000000000002</v>
      </c>
      <c r="N737" t="str">
        <f t="shared" si="57"/>
        <v>Yes</v>
      </c>
      <c r="O737" t="s">
        <v>34</v>
      </c>
      <c r="P737" s="3">
        <f t="shared" si="58"/>
        <v>460.99700000000001</v>
      </c>
      <c r="Q737" t="s">
        <v>35</v>
      </c>
      <c r="R737">
        <v>1</v>
      </c>
      <c r="S737" t="str">
        <f t="shared" si="59"/>
        <v>Very Poor</v>
      </c>
    </row>
    <row r="738" spans="1:19" x14ac:dyDescent="0.25">
      <c r="A738" t="s">
        <v>1120</v>
      </c>
      <c r="B738">
        <v>61</v>
      </c>
      <c r="C738" t="s">
        <v>29</v>
      </c>
      <c r="D738" t="s">
        <v>2556</v>
      </c>
      <c r="E738" t="s">
        <v>24</v>
      </c>
      <c r="F738" t="s">
        <v>25</v>
      </c>
      <c r="G738" t="s">
        <v>428</v>
      </c>
      <c r="H738" t="str">
        <f>TEXT(walmart[[#This Row],[Purchase_Date]],"DDD")</f>
        <v>Wed</v>
      </c>
      <c r="I738" t="str">
        <f>TEXT(walmart[[#This Row],[Purchase_Date]],"MMM")</f>
        <v>May</v>
      </c>
      <c r="J738" t="str">
        <f>TEXT(walmart[[#This Row],[Purchase_Date]],"YYY")</f>
        <v>2024</v>
      </c>
      <c r="K738" s="3">
        <v>67.040000000000006</v>
      </c>
      <c r="L738" t="str">
        <f t="shared" si="55"/>
        <v>0% off</v>
      </c>
      <c r="M738" s="3">
        <f t="shared" si="56"/>
        <v>0</v>
      </c>
      <c r="N738" t="str">
        <f t="shared" si="57"/>
        <v>No</v>
      </c>
      <c r="O738" t="s">
        <v>34</v>
      </c>
      <c r="P738" s="3">
        <f t="shared" si="58"/>
        <v>67.040000000000006</v>
      </c>
      <c r="Q738" t="s">
        <v>27</v>
      </c>
      <c r="R738">
        <v>2</v>
      </c>
      <c r="S738" t="str">
        <f t="shared" si="59"/>
        <v>Poor</v>
      </c>
    </row>
    <row r="739" spans="1:19" x14ac:dyDescent="0.25">
      <c r="A739" t="s">
        <v>1121</v>
      </c>
      <c r="B739">
        <v>39</v>
      </c>
      <c r="C739" t="s">
        <v>16</v>
      </c>
      <c r="D739" t="s">
        <v>2557</v>
      </c>
      <c r="E739" t="s">
        <v>24</v>
      </c>
      <c r="F739" t="s">
        <v>25</v>
      </c>
      <c r="G739" t="s">
        <v>1038</v>
      </c>
      <c r="H739" t="str">
        <f>TEXT(walmart[[#This Row],[Purchase_Date]],"DDD")</f>
        <v>Sun</v>
      </c>
      <c r="I739" t="str">
        <f>TEXT(walmart[[#This Row],[Purchase_Date]],"MMM")</f>
        <v>Jan</v>
      </c>
      <c r="J739" t="str">
        <f>TEXT(walmart[[#This Row],[Purchase_Date]],"YYY")</f>
        <v>2025</v>
      </c>
      <c r="K739" s="3">
        <v>67.040000000000006</v>
      </c>
      <c r="L739" t="str">
        <f t="shared" si="55"/>
        <v>0% off</v>
      </c>
      <c r="M739" s="3">
        <f t="shared" si="56"/>
        <v>0</v>
      </c>
      <c r="N739" t="str">
        <f t="shared" si="57"/>
        <v>No</v>
      </c>
      <c r="O739" t="s">
        <v>21</v>
      </c>
      <c r="P739" s="3">
        <f t="shared" si="58"/>
        <v>67.040000000000006</v>
      </c>
      <c r="Q739" t="s">
        <v>47</v>
      </c>
      <c r="R739">
        <v>1</v>
      </c>
      <c r="S739" t="str">
        <f t="shared" si="59"/>
        <v>Very Poor</v>
      </c>
    </row>
    <row r="740" spans="1:19" x14ac:dyDescent="0.25">
      <c r="A740" t="s">
        <v>1122</v>
      </c>
      <c r="B740">
        <v>70</v>
      </c>
      <c r="C740" t="s">
        <v>16</v>
      </c>
      <c r="D740" t="s">
        <v>2558</v>
      </c>
      <c r="E740" t="s">
        <v>42</v>
      </c>
      <c r="F740" t="s">
        <v>52</v>
      </c>
      <c r="G740" t="s">
        <v>416</v>
      </c>
      <c r="H740" t="str">
        <f>TEXT(walmart[[#This Row],[Purchase_Date]],"DDD")</f>
        <v>Tue</v>
      </c>
      <c r="I740" t="str">
        <f>TEXT(walmart[[#This Row],[Purchase_Date]],"MMM")</f>
        <v>Mar</v>
      </c>
      <c r="J740" t="str">
        <f>TEXT(walmart[[#This Row],[Purchase_Date]],"YYY")</f>
        <v>2025</v>
      </c>
      <c r="K740" s="3">
        <v>988.77</v>
      </c>
      <c r="L740" t="str">
        <f t="shared" si="55"/>
        <v>20% off</v>
      </c>
      <c r="M740" s="3">
        <f t="shared" si="56"/>
        <v>197.75400000000002</v>
      </c>
      <c r="N740" t="str">
        <f t="shared" si="57"/>
        <v>Yes</v>
      </c>
      <c r="O740" t="s">
        <v>21</v>
      </c>
      <c r="P740" s="3">
        <f t="shared" si="58"/>
        <v>791.01599999999996</v>
      </c>
      <c r="Q740" t="s">
        <v>22</v>
      </c>
      <c r="R740">
        <v>2</v>
      </c>
      <c r="S740" t="str">
        <f t="shared" si="59"/>
        <v>Poor</v>
      </c>
    </row>
    <row r="741" spans="1:19" x14ac:dyDescent="0.25">
      <c r="A741" t="s">
        <v>1123</v>
      </c>
      <c r="B741">
        <v>63</v>
      </c>
      <c r="C741" t="s">
        <v>29</v>
      </c>
      <c r="D741" t="s">
        <v>2559</v>
      </c>
      <c r="E741" t="s">
        <v>37</v>
      </c>
      <c r="F741" t="s">
        <v>117</v>
      </c>
      <c r="G741" t="s">
        <v>317</v>
      </c>
      <c r="H741" t="str">
        <f>TEXT(walmart[[#This Row],[Purchase_Date]],"DDD")</f>
        <v>Mon</v>
      </c>
      <c r="I741" t="str">
        <f>TEXT(walmart[[#This Row],[Purchase_Date]],"MMM")</f>
        <v>Aug</v>
      </c>
      <c r="J741" t="str">
        <f>TEXT(walmart[[#This Row],[Purchase_Date]],"YYY")</f>
        <v>2024</v>
      </c>
      <c r="K741" s="3">
        <v>165.68</v>
      </c>
      <c r="L741" t="str">
        <f t="shared" si="55"/>
        <v>5% off</v>
      </c>
      <c r="M741" s="3">
        <f t="shared" si="56"/>
        <v>8.2840000000000007</v>
      </c>
      <c r="N741" t="str">
        <f t="shared" si="57"/>
        <v>Yes</v>
      </c>
      <c r="O741" t="s">
        <v>21</v>
      </c>
      <c r="P741" s="3">
        <f t="shared" si="58"/>
        <v>157.39600000000002</v>
      </c>
      <c r="Q741" t="s">
        <v>35</v>
      </c>
      <c r="R741">
        <v>1</v>
      </c>
      <c r="S741" t="str">
        <f t="shared" si="59"/>
        <v>Very Poor</v>
      </c>
    </row>
    <row r="742" spans="1:19" x14ac:dyDescent="0.25">
      <c r="A742" t="s">
        <v>1124</v>
      </c>
      <c r="B742">
        <v>28</v>
      </c>
      <c r="C742" t="s">
        <v>16</v>
      </c>
      <c r="D742" t="s">
        <v>2560</v>
      </c>
      <c r="E742" t="s">
        <v>18</v>
      </c>
      <c r="F742" t="s">
        <v>142</v>
      </c>
      <c r="G742" t="s">
        <v>534</v>
      </c>
      <c r="H742" t="str">
        <f>TEXT(walmart[[#This Row],[Purchase_Date]],"DDD")</f>
        <v>Tue</v>
      </c>
      <c r="I742" t="str">
        <f>TEXT(walmart[[#This Row],[Purchase_Date]],"MMM")</f>
        <v>Feb</v>
      </c>
      <c r="J742" t="str">
        <f>TEXT(walmart[[#This Row],[Purchase_Date]],"YYY")</f>
        <v>2025</v>
      </c>
      <c r="K742" s="3">
        <v>485.26</v>
      </c>
      <c r="L742" t="str">
        <f t="shared" si="55"/>
        <v>5% off</v>
      </c>
      <c r="M742" s="3">
        <f t="shared" si="56"/>
        <v>24.263000000000002</v>
      </c>
      <c r="N742" t="str">
        <f t="shared" si="57"/>
        <v>Yes</v>
      </c>
      <c r="O742" t="s">
        <v>21</v>
      </c>
      <c r="P742" s="3">
        <f t="shared" si="58"/>
        <v>460.99700000000001</v>
      </c>
      <c r="Q742" t="s">
        <v>22</v>
      </c>
      <c r="R742">
        <v>4</v>
      </c>
      <c r="S742" t="str">
        <f t="shared" si="59"/>
        <v>Good</v>
      </c>
    </row>
    <row r="743" spans="1:19" x14ac:dyDescent="0.25">
      <c r="A743" t="s">
        <v>1125</v>
      </c>
      <c r="B743">
        <v>56</v>
      </c>
      <c r="C743" t="s">
        <v>29</v>
      </c>
      <c r="D743" t="s">
        <v>2561</v>
      </c>
      <c r="E743" t="s">
        <v>55</v>
      </c>
      <c r="F743" t="s">
        <v>56</v>
      </c>
      <c r="G743" t="s">
        <v>1126</v>
      </c>
      <c r="H743" t="str">
        <f>TEXT(walmart[[#This Row],[Purchase_Date]],"DDD")</f>
        <v>Wed</v>
      </c>
      <c r="I743" t="str">
        <f>TEXT(walmart[[#This Row],[Purchase_Date]],"MMM")</f>
        <v>Dec</v>
      </c>
      <c r="J743" t="str">
        <f>TEXT(walmart[[#This Row],[Purchase_Date]],"YYY")</f>
        <v>2024</v>
      </c>
      <c r="K743" s="3">
        <v>76.81</v>
      </c>
      <c r="L743" t="str">
        <f t="shared" si="55"/>
        <v>0% off</v>
      </c>
      <c r="M743" s="3">
        <f t="shared" si="56"/>
        <v>0</v>
      </c>
      <c r="N743" t="str">
        <f t="shared" si="57"/>
        <v>No</v>
      </c>
      <c r="O743" t="s">
        <v>34</v>
      </c>
      <c r="P743" s="3">
        <f t="shared" si="58"/>
        <v>76.81</v>
      </c>
      <c r="Q743" t="s">
        <v>47</v>
      </c>
      <c r="R743">
        <v>2</v>
      </c>
      <c r="S743" t="str">
        <f t="shared" si="59"/>
        <v>Poor</v>
      </c>
    </row>
    <row r="744" spans="1:19" x14ac:dyDescent="0.25">
      <c r="A744" t="s">
        <v>1127</v>
      </c>
      <c r="B744">
        <v>34</v>
      </c>
      <c r="C744" t="s">
        <v>16</v>
      </c>
      <c r="D744" t="s">
        <v>2501</v>
      </c>
      <c r="E744" t="s">
        <v>24</v>
      </c>
      <c r="F744" t="s">
        <v>25</v>
      </c>
      <c r="G744" t="s">
        <v>553</v>
      </c>
      <c r="H744" t="str">
        <f>TEXT(walmart[[#This Row],[Purchase_Date]],"DDD")</f>
        <v>Thu</v>
      </c>
      <c r="I744" t="str">
        <f>TEXT(walmart[[#This Row],[Purchase_Date]],"MMM")</f>
        <v>Jan</v>
      </c>
      <c r="J744" t="str">
        <f>TEXT(walmart[[#This Row],[Purchase_Date]],"YYY")</f>
        <v>2025</v>
      </c>
      <c r="K744" s="3">
        <v>67.040000000000006</v>
      </c>
      <c r="L744" t="str">
        <f t="shared" si="55"/>
        <v>0% off</v>
      </c>
      <c r="M744" s="3">
        <f t="shared" si="56"/>
        <v>0</v>
      </c>
      <c r="N744" t="str">
        <f t="shared" si="57"/>
        <v>No</v>
      </c>
      <c r="O744" t="s">
        <v>21</v>
      </c>
      <c r="P744" s="3">
        <f t="shared" si="58"/>
        <v>67.040000000000006</v>
      </c>
      <c r="Q744" t="s">
        <v>35</v>
      </c>
      <c r="R744">
        <v>1</v>
      </c>
      <c r="S744" t="str">
        <f t="shared" si="59"/>
        <v>Very Poor</v>
      </c>
    </row>
    <row r="745" spans="1:19" x14ac:dyDescent="0.25">
      <c r="A745" t="s">
        <v>1128</v>
      </c>
      <c r="B745">
        <v>40</v>
      </c>
      <c r="C745" t="s">
        <v>16</v>
      </c>
      <c r="D745" t="s">
        <v>2504</v>
      </c>
      <c r="E745" t="s">
        <v>18</v>
      </c>
      <c r="F745" t="s">
        <v>19</v>
      </c>
      <c r="G745" t="s">
        <v>573</v>
      </c>
      <c r="H745" t="str">
        <f>TEXT(walmart[[#This Row],[Purchase_Date]],"DDD")</f>
        <v>Mon</v>
      </c>
      <c r="I745" t="str">
        <f>TEXT(walmart[[#This Row],[Purchase_Date]],"MMM")</f>
        <v>Oct</v>
      </c>
      <c r="J745" t="str">
        <f>TEXT(walmart[[#This Row],[Purchase_Date]],"YYY")</f>
        <v>2024</v>
      </c>
      <c r="K745" s="3">
        <v>697.86</v>
      </c>
      <c r="L745" t="str">
        <f t="shared" si="55"/>
        <v>10% off</v>
      </c>
      <c r="M745" s="3">
        <f t="shared" si="56"/>
        <v>69.786000000000001</v>
      </c>
      <c r="N745" t="str">
        <f t="shared" si="57"/>
        <v>Yes</v>
      </c>
      <c r="O745" t="s">
        <v>34</v>
      </c>
      <c r="P745" s="3">
        <f t="shared" si="58"/>
        <v>628.07400000000007</v>
      </c>
      <c r="Q745" t="s">
        <v>35</v>
      </c>
      <c r="R745">
        <v>2</v>
      </c>
      <c r="S745" t="str">
        <f t="shared" si="59"/>
        <v>Poor</v>
      </c>
    </row>
    <row r="746" spans="1:19" x14ac:dyDescent="0.25">
      <c r="A746" t="s">
        <v>1129</v>
      </c>
      <c r="B746">
        <v>66</v>
      </c>
      <c r="C746" t="s">
        <v>29</v>
      </c>
      <c r="D746" t="s">
        <v>2505</v>
      </c>
      <c r="E746" t="s">
        <v>24</v>
      </c>
      <c r="F746" t="s">
        <v>209</v>
      </c>
      <c r="G746" t="s">
        <v>434</v>
      </c>
      <c r="H746" t="str">
        <f>TEXT(walmart[[#This Row],[Purchase_Date]],"DDD")</f>
        <v>Sat</v>
      </c>
      <c r="I746" t="str">
        <f>TEXT(walmart[[#This Row],[Purchase_Date]],"MMM")</f>
        <v>Apr</v>
      </c>
      <c r="J746" t="str">
        <f>TEXT(walmart[[#This Row],[Purchase_Date]],"YYY")</f>
        <v>2024</v>
      </c>
      <c r="K746" s="3">
        <v>775.75</v>
      </c>
      <c r="L746" t="str">
        <f t="shared" si="55"/>
        <v>15% off</v>
      </c>
      <c r="M746" s="3">
        <f t="shared" si="56"/>
        <v>116.3625</v>
      </c>
      <c r="N746" t="str">
        <f t="shared" si="57"/>
        <v>Yes</v>
      </c>
      <c r="O746" t="s">
        <v>34</v>
      </c>
      <c r="P746" s="3">
        <f t="shared" si="58"/>
        <v>659.38750000000005</v>
      </c>
      <c r="Q746" t="s">
        <v>35</v>
      </c>
      <c r="R746">
        <v>5</v>
      </c>
      <c r="S746" t="str">
        <f t="shared" si="59"/>
        <v>Excellent</v>
      </c>
    </row>
    <row r="747" spans="1:19" x14ac:dyDescent="0.25">
      <c r="A747" t="s">
        <v>1130</v>
      </c>
      <c r="B747">
        <v>19</v>
      </c>
      <c r="C747" t="s">
        <v>16</v>
      </c>
      <c r="D747" t="s">
        <v>2562</v>
      </c>
      <c r="E747" t="s">
        <v>73</v>
      </c>
      <c r="F747" t="s">
        <v>74</v>
      </c>
      <c r="G747" t="s">
        <v>1131</v>
      </c>
      <c r="H747" t="str">
        <f>TEXT(walmart[[#This Row],[Purchase_Date]],"DDD")</f>
        <v>Sat</v>
      </c>
      <c r="I747" t="str">
        <f>TEXT(walmart[[#This Row],[Purchase_Date]],"MMM")</f>
        <v>Jan</v>
      </c>
      <c r="J747" t="str">
        <f>TEXT(walmart[[#This Row],[Purchase_Date]],"YYY")</f>
        <v>2025</v>
      </c>
      <c r="K747" s="3">
        <v>782.29</v>
      </c>
      <c r="L747" t="str">
        <f t="shared" si="55"/>
        <v>15% off</v>
      </c>
      <c r="M747" s="3">
        <f t="shared" si="56"/>
        <v>117.34349999999999</v>
      </c>
      <c r="N747" t="str">
        <f t="shared" si="57"/>
        <v>Yes</v>
      </c>
      <c r="O747" t="s">
        <v>21</v>
      </c>
      <c r="P747" s="3">
        <f t="shared" si="58"/>
        <v>664.94650000000001</v>
      </c>
      <c r="Q747" t="s">
        <v>27</v>
      </c>
      <c r="R747">
        <v>5</v>
      </c>
      <c r="S747" t="str">
        <f t="shared" si="59"/>
        <v>Excellent</v>
      </c>
    </row>
    <row r="748" spans="1:19" x14ac:dyDescent="0.25">
      <c r="A748" t="s">
        <v>1132</v>
      </c>
      <c r="B748">
        <v>64</v>
      </c>
      <c r="C748" t="s">
        <v>16</v>
      </c>
      <c r="D748" t="s">
        <v>2563</v>
      </c>
      <c r="E748" t="s">
        <v>55</v>
      </c>
      <c r="F748" t="s">
        <v>100</v>
      </c>
      <c r="G748" t="s">
        <v>163</v>
      </c>
      <c r="H748" t="str">
        <f>TEXT(walmart[[#This Row],[Purchase_Date]],"DDD")</f>
        <v>Fri</v>
      </c>
      <c r="I748" t="str">
        <f>TEXT(walmart[[#This Row],[Purchase_Date]],"MMM")</f>
        <v>Nov</v>
      </c>
      <c r="J748" t="str">
        <f>TEXT(walmart[[#This Row],[Purchase_Date]],"YYY")</f>
        <v>2024</v>
      </c>
      <c r="K748" s="3">
        <v>592.26</v>
      </c>
      <c r="L748" t="str">
        <f t="shared" si="55"/>
        <v>10% off</v>
      </c>
      <c r="M748" s="3">
        <f t="shared" si="56"/>
        <v>59.225999999999999</v>
      </c>
      <c r="N748" t="str">
        <f t="shared" si="57"/>
        <v>Yes</v>
      </c>
      <c r="O748" t="s">
        <v>21</v>
      </c>
      <c r="P748" s="3">
        <f t="shared" si="58"/>
        <v>533.03399999999999</v>
      </c>
      <c r="Q748" t="s">
        <v>35</v>
      </c>
      <c r="R748">
        <v>4</v>
      </c>
      <c r="S748" t="str">
        <f t="shared" si="59"/>
        <v>Good</v>
      </c>
    </row>
    <row r="749" spans="1:19" x14ac:dyDescent="0.25">
      <c r="A749" t="s">
        <v>1133</v>
      </c>
      <c r="B749">
        <v>47</v>
      </c>
      <c r="C749" t="s">
        <v>29</v>
      </c>
      <c r="D749" t="s">
        <v>2564</v>
      </c>
      <c r="E749" t="s">
        <v>31</v>
      </c>
      <c r="F749" t="s">
        <v>112</v>
      </c>
      <c r="G749" t="s">
        <v>825</v>
      </c>
      <c r="H749" t="str">
        <f>TEXT(walmart[[#This Row],[Purchase_Date]],"DDD")</f>
        <v>Sat</v>
      </c>
      <c r="I749" t="str">
        <f>TEXT(walmart[[#This Row],[Purchase_Date]],"MMM")</f>
        <v>Apr</v>
      </c>
      <c r="J749" t="str">
        <f>TEXT(walmart[[#This Row],[Purchase_Date]],"YYY")</f>
        <v>2024</v>
      </c>
      <c r="K749" s="3">
        <v>492.1</v>
      </c>
      <c r="L749" t="str">
        <f t="shared" si="55"/>
        <v>5% off</v>
      </c>
      <c r="M749" s="3">
        <f t="shared" si="56"/>
        <v>24.605000000000004</v>
      </c>
      <c r="N749" t="str">
        <f t="shared" si="57"/>
        <v>Yes</v>
      </c>
      <c r="O749" t="s">
        <v>21</v>
      </c>
      <c r="P749" s="3">
        <f t="shared" si="58"/>
        <v>467.495</v>
      </c>
      <c r="Q749" t="s">
        <v>27</v>
      </c>
      <c r="R749">
        <v>3</v>
      </c>
      <c r="S749" t="str">
        <f t="shared" si="59"/>
        <v>Average</v>
      </c>
    </row>
    <row r="750" spans="1:19" x14ac:dyDescent="0.25">
      <c r="A750" t="s">
        <v>1134</v>
      </c>
      <c r="B750">
        <v>54</v>
      </c>
      <c r="C750" t="s">
        <v>29</v>
      </c>
      <c r="D750" t="s">
        <v>2565</v>
      </c>
      <c r="E750" t="s">
        <v>73</v>
      </c>
      <c r="F750" t="s">
        <v>94</v>
      </c>
      <c r="G750" t="s">
        <v>681</v>
      </c>
      <c r="H750" t="str">
        <f>TEXT(walmart[[#This Row],[Purchase_Date]],"DDD")</f>
        <v>Sun</v>
      </c>
      <c r="I750" t="str">
        <f>TEXT(walmart[[#This Row],[Purchase_Date]],"MMM")</f>
        <v>Jun</v>
      </c>
      <c r="J750" t="str">
        <f>TEXT(walmart[[#This Row],[Purchase_Date]],"YYY")</f>
        <v>2024</v>
      </c>
      <c r="K750" s="3">
        <v>965.09</v>
      </c>
      <c r="L750" t="str">
        <f t="shared" si="55"/>
        <v>20% off</v>
      </c>
      <c r="M750" s="3">
        <f t="shared" si="56"/>
        <v>193.01800000000003</v>
      </c>
      <c r="N750" t="str">
        <f t="shared" si="57"/>
        <v>Yes</v>
      </c>
      <c r="O750" t="s">
        <v>34</v>
      </c>
      <c r="P750" s="3">
        <f t="shared" si="58"/>
        <v>772.072</v>
      </c>
      <c r="Q750" t="s">
        <v>27</v>
      </c>
      <c r="R750">
        <v>5</v>
      </c>
      <c r="S750" t="str">
        <f t="shared" si="59"/>
        <v>Excellent</v>
      </c>
    </row>
    <row r="751" spans="1:19" x14ac:dyDescent="0.25">
      <c r="A751" t="s">
        <v>1135</v>
      </c>
      <c r="B751">
        <v>26</v>
      </c>
      <c r="C751" t="s">
        <v>16</v>
      </c>
      <c r="D751" t="s">
        <v>2566</v>
      </c>
      <c r="E751" t="s">
        <v>18</v>
      </c>
      <c r="F751" t="s">
        <v>142</v>
      </c>
      <c r="G751" t="s">
        <v>189</v>
      </c>
      <c r="H751" t="str">
        <f>TEXT(walmart[[#This Row],[Purchase_Date]],"DDD")</f>
        <v>Sat</v>
      </c>
      <c r="I751" t="str">
        <f>TEXT(walmart[[#This Row],[Purchase_Date]],"MMM")</f>
        <v>Jun</v>
      </c>
      <c r="J751" t="str">
        <f>TEXT(walmart[[#This Row],[Purchase_Date]],"YYY")</f>
        <v>2024</v>
      </c>
      <c r="K751" s="3">
        <v>485.26</v>
      </c>
      <c r="L751" t="str">
        <f t="shared" si="55"/>
        <v>5% off</v>
      </c>
      <c r="M751" s="3">
        <f t="shared" si="56"/>
        <v>24.263000000000002</v>
      </c>
      <c r="N751" t="str">
        <f t="shared" si="57"/>
        <v>Yes</v>
      </c>
      <c r="O751" t="s">
        <v>21</v>
      </c>
      <c r="P751" s="3">
        <f t="shared" si="58"/>
        <v>460.99700000000001</v>
      </c>
      <c r="Q751" t="s">
        <v>47</v>
      </c>
      <c r="R751">
        <v>2</v>
      </c>
      <c r="S751" t="str">
        <f t="shared" si="59"/>
        <v>Poor</v>
      </c>
    </row>
    <row r="752" spans="1:19" x14ac:dyDescent="0.25">
      <c r="A752" t="s">
        <v>1136</v>
      </c>
      <c r="B752">
        <v>32</v>
      </c>
      <c r="C752" t="s">
        <v>16</v>
      </c>
      <c r="D752" t="s">
        <v>2433</v>
      </c>
      <c r="E752" t="s">
        <v>42</v>
      </c>
      <c r="F752" t="s">
        <v>43</v>
      </c>
      <c r="G752" t="s">
        <v>165</v>
      </c>
      <c r="H752" t="str">
        <f>TEXT(walmart[[#This Row],[Purchase_Date]],"DDD")</f>
        <v>Tue</v>
      </c>
      <c r="I752" t="str">
        <f>TEXT(walmart[[#This Row],[Purchase_Date]],"MMM")</f>
        <v>Oct</v>
      </c>
      <c r="J752" t="str">
        <f>TEXT(walmart[[#This Row],[Purchase_Date]],"YYY")</f>
        <v>2024</v>
      </c>
      <c r="K752" s="3">
        <v>512.94000000000005</v>
      </c>
      <c r="L752" t="str">
        <f t="shared" si="55"/>
        <v>10% off</v>
      </c>
      <c r="M752" s="3">
        <f t="shared" si="56"/>
        <v>51.294000000000011</v>
      </c>
      <c r="N752" t="str">
        <f t="shared" si="57"/>
        <v>Yes</v>
      </c>
      <c r="O752" t="s">
        <v>34</v>
      </c>
      <c r="P752" s="3">
        <f t="shared" si="58"/>
        <v>461.64600000000007</v>
      </c>
      <c r="Q752" t="s">
        <v>47</v>
      </c>
      <c r="R752">
        <v>1</v>
      </c>
      <c r="S752" t="str">
        <f t="shared" si="59"/>
        <v>Very Poor</v>
      </c>
    </row>
    <row r="753" spans="1:19" x14ac:dyDescent="0.25">
      <c r="A753" t="s">
        <v>1137</v>
      </c>
      <c r="B753">
        <v>59</v>
      </c>
      <c r="C753" t="s">
        <v>29</v>
      </c>
      <c r="D753" t="s">
        <v>49</v>
      </c>
      <c r="E753" t="s">
        <v>42</v>
      </c>
      <c r="F753" t="s">
        <v>103</v>
      </c>
      <c r="G753" t="s">
        <v>418</v>
      </c>
      <c r="H753" t="str">
        <f>TEXT(walmart[[#This Row],[Purchase_Date]],"DDD")</f>
        <v>Sat</v>
      </c>
      <c r="I753" t="str">
        <f>TEXT(walmart[[#This Row],[Purchase_Date]],"MMM")</f>
        <v>Jan</v>
      </c>
      <c r="J753" t="str">
        <f>TEXT(walmart[[#This Row],[Purchase_Date]],"YYY")</f>
        <v>2025</v>
      </c>
      <c r="K753" s="3">
        <v>315.56</v>
      </c>
      <c r="L753" t="str">
        <f t="shared" si="55"/>
        <v>5% off</v>
      </c>
      <c r="M753" s="3">
        <f t="shared" si="56"/>
        <v>15.778</v>
      </c>
      <c r="N753" t="str">
        <f t="shared" si="57"/>
        <v>Yes</v>
      </c>
      <c r="O753" t="s">
        <v>34</v>
      </c>
      <c r="P753" s="3">
        <f t="shared" si="58"/>
        <v>299.78199999999998</v>
      </c>
      <c r="Q753" t="s">
        <v>47</v>
      </c>
      <c r="R753">
        <v>2</v>
      </c>
      <c r="S753" t="str">
        <f t="shared" si="59"/>
        <v>Poor</v>
      </c>
    </row>
    <row r="754" spans="1:19" x14ac:dyDescent="0.25">
      <c r="A754" t="s">
        <v>1138</v>
      </c>
      <c r="B754">
        <v>31</v>
      </c>
      <c r="C754" t="s">
        <v>16</v>
      </c>
      <c r="D754" t="s">
        <v>30</v>
      </c>
      <c r="E754" t="s">
        <v>37</v>
      </c>
      <c r="F754" t="s">
        <v>97</v>
      </c>
      <c r="G754" t="s">
        <v>363</v>
      </c>
      <c r="H754" t="str">
        <f>TEXT(walmart[[#This Row],[Purchase_Date]],"DDD")</f>
        <v>Tue</v>
      </c>
      <c r="I754" t="str">
        <f>TEXT(walmart[[#This Row],[Purchase_Date]],"MMM")</f>
        <v>Aug</v>
      </c>
      <c r="J754" t="str">
        <f>TEXT(walmart[[#This Row],[Purchase_Date]],"YYY")</f>
        <v>2024</v>
      </c>
      <c r="K754" s="3">
        <v>855.21</v>
      </c>
      <c r="L754" t="str">
        <f t="shared" si="55"/>
        <v>15% off</v>
      </c>
      <c r="M754" s="3">
        <f t="shared" si="56"/>
        <v>128.28149999999999</v>
      </c>
      <c r="N754" t="str">
        <f t="shared" si="57"/>
        <v>Yes</v>
      </c>
      <c r="O754" t="s">
        <v>21</v>
      </c>
      <c r="P754" s="3">
        <f t="shared" si="58"/>
        <v>726.92849999999999</v>
      </c>
      <c r="Q754" t="s">
        <v>35</v>
      </c>
      <c r="R754">
        <v>2</v>
      </c>
      <c r="S754" t="str">
        <f t="shared" si="59"/>
        <v>Poor</v>
      </c>
    </row>
    <row r="755" spans="1:19" x14ac:dyDescent="0.25">
      <c r="A755" t="s">
        <v>1139</v>
      </c>
      <c r="B755">
        <v>27</v>
      </c>
      <c r="C755" t="s">
        <v>29</v>
      </c>
      <c r="D755" t="s">
        <v>41</v>
      </c>
      <c r="E755" t="s">
        <v>73</v>
      </c>
      <c r="F755" t="s">
        <v>138</v>
      </c>
      <c r="G755" t="s">
        <v>366</v>
      </c>
      <c r="H755" t="str">
        <f>TEXT(walmart[[#This Row],[Purchase_Date]],"DDD")</f>
        <v>Fri</v>
      </c>
      <c r="I755" t="str">
        <f>TEXT(walmart[[#This Row],[Purchase_Date]],"MMM")</f>
        <v>Apr</v>
      </c>
      <c r="J755" t="str">
        <f>TEXT(walmart[[#This Row],[Purchase_Date]],"YYY")</f>
        <v>2024</v>
      </c>
      <c r="K755" s="3">
        <v>461.81</v>
      </c>
      <c r="L755" t="str">
        <f t="shared" si="55"/>
        <v>5% off</v>
      </c>
      <c r="M755" s="3">
        <f t="shared" si="56"/>
        <v>23.090500000000002</v>
      </c>
      <c r="N755" t="str">
        <f t="shared" si="57"/>
        <v>Yes</v>
      </c>
      <c r="O755" t="s">
        <v>34</v>
      </c>
      <c r="P755" s="3">
        <f t="shared" si="58"/>
        <v>438.71949999999998</v>
      </c>
      <c r="Q755" t="s">
        <v>22</v>
      </c>
      <c r="R755">
        <v>5</v>
      </c>
      <c r="S755" t="str">
        <f t="shared" si="59"/>
        <v>Excellent</v>
      </c>
    </row>
    <row r="756" spans="1:19" x14ac:dyDescent="0.25">
      <c r="A756" t="s">
        <v>1140</v>
      </c>
      <c r="B756">
        <v>61</v>
      </c>
      <c r="C756" t="s">
        <v>16</v>
      </c>
      <c r="D756" t="s">
        <v>2434</v>
      </c>
      <c r="E756" t="s">
        <v>18</v>
      </c>
      <c r="F756" t="s">
        <v>77</v>
      </c>
      <c r="G756" t="s">
        <v>98</v>
      </c>
      <c r="H756" t="str">
        <f>TEXT(walmart[[#This Row],[Purchase_Date]],"DDD")</f>
        <v>Sun</v>
      </c>
      <c r="I756" t="str">
        <f>TEXT(walmart[[#This Row],[Purchase_Date]],"MMM")</f>
        <v>Aug</v>
      </c>
      <c r="J756" t="str">
        <f>TEXT(walmart[[#This Row],[Purchase_Date]],"YYY")</f>
        <v>2024</v>
      </c>
      <c r="K756" s="3">
        <v>116.78</v>
      </c>
      <c r="L756" t="str">
        <f t="shared" si="55"/>
        <v>0% off</v>
      </c>
      <c r="M756" s="3">
        <f t="shared" si="56"/>
        <v>0</v>
      </c>
      <c r="N756" t="str">
        <f t="shared" si="57"/>
        <v>No</v>
      </c>
      <c r="O756" t="s">
        <v>21</v>
      </c>
      <c r="P756" s="3">
        <f t="shared" si="58"/>
        <v>116.78</v>
      </c>
      <c r="Q756" t="s">
        <v>27</v>
      </c>
      <c r="R756">
        <v>2</v>
      </c>
      <c r="S756" t="str">
        <f t="shared" si="59"/>
        <v>Poor</v>
      </c>
    </row>
    <row r="757" spans="1:19" x14ac:dyDescent="0.25">
      <c r="A757" t="s">
        <v>1141</v>
      </c>
      <c r="B757">
        <v>20</v>
      </c>
      <c r="C757" t="s">
        <v>16</v>
      </c>
      <c r="D757" t="s">
        <v>2435</v>
      </c>
      <c r="E757" t="s">
        <v>42</v>
      </c>
      <c r="F757" t="s">
        <v>43</v>
      </c>
      <c r="G757" t="s">
        <v>85</v>
      </c>
      <c r="H757" t="str">
        <f>TEXT(walmart[[#This Row],[Purchase_Date]],"DDD")</f>
        <v>Mon</v>
      </c>
      <c r="I757" t="str">
        <f>TEXT(walmart[[#This Row],[Purchase_Date]],"MMM")</f>
        <v>Jan</v>
      </c>
      <c r="J757" t="str">
        <f>TEXT(walmart[[#This Row],[Purchase_Date]],"YYY")</f>
        <v>2025</v>
      </c>
      <c r="K757" s="3">
        <v>512.94000000000005</v>
      </c>
      <c r="L757" t="str">
        <f t="shared" si="55"/>
        <v>10% off</v>
      </c>
      <c r="M757" s="3">
        <f t="shared" si="56"/>
        <v>51.294000000000011</v>
      </c>
      <c r="N757" t="str">
        <f t="shared" si="57"/>
        <v>Yes</v>
      </c>
      <c r="O757" t="s">
        <v>34</v>
      </c>
      <c r="P757" s="3">
        <f t="shared" si="58"/>
        <v>461.64600000000007</v>
      </c>
      <c r="Q757" t="s">
        <v>35</v>
      </c>
      <c r="R757">
        <v>4</v>
      </c>
      <c r="S757" t="str">
        <f t="shared" si="59"/>
        <v>Good</v>
      </c>
    </row>
    <row r="758" spans="1:19" x14ac:dyDescent="0.25">
      <c r="A758" t="s">
        <v>1142</v>
      </c>
      <c r="B758">
        <v>56</v>
      </c>
      <c r="C758" t="s">
        <v>16</v>
      </c>
      <c r="D758" t="s">
        <v>2436</v>
      </c>
      <c r="E758" t="s">
        <v>42</v>
      </c>
      <c r="F758" t="s">
        <v>52</v>
      </c>
      <c r="G758" t="s">
        <v>1143</v>
      </c>
      <c r="H758" t="str">
        <f>TEXT(walmart[[#This Row],[Purchase_Date]],"DDD")</f>
        <v>Sat</v>
      </c>
      <c r="I758" t="str">
        <f>TEXT(walmart[[#This Row],[Purchase_Date]],"MMM")</f>
        <v>Nov</v>
      </c>
      <c r="J758" t="str">
        <f>TEXT(walmart[[#This Row],[Purchase_Date]],"YYY")</f>
        <v>2024</v>
      </c>
      <c r="K758" s="3">
        <v>988.77</v>
      </c>
      <c r="L758" t="str">
        <f t="shared" si="55"/>
        <v>20% off</v>
      </c>
      <c r="M758" s="3">
        <f t="shared" si="56"/>
        <v>197.75400000000002</v>
      </c>
      <c r="N758" t="str">
        <f t="shared" si="57"/>
        <v>Yes</v>
      </c>
      <c r="O758" t="s">
        <v>21</v>
      </c>
      <c r="P758" s="3">
        <f t="shared" si="58"/>
        <v>791.01599999999996</v>
      </c>
      <c r="Q758" t="s">
        <v>22</v>
      </c>
      <c r="R758">
        <v>2</v>
      </c>
      <c r="S758" t="str">
        <f t="shared" si="59"/>
        <v>Poor</v>
      </c>
    </row>
    <row r="759" spans="1:19" x14ac:dyDescent="0.25">
      <c r="A759" t="s">
        <v>1144</v>
      </c>
      <c r="B759">
        <v>42</v>
      </c>
      <c r="C759" t="s">
        <v>16</v>
      </c>
      <c r="D759" t="s">
        <v>2437</v>
      </c>
      <c r="E759" t="s">
        <v>55</v>
      </c>
      <c r="F759" t="s">
        <v>67</v>
      </c>
      <c r="G759" t="s">
        <v>730</v>
      </c>
      <c r="H759" t="str">
        <f>TEXT(walmart[[#This Row],[Purchase_Date]],"DDD")</f>
        <v>Tue</v>
      </c>
      <c r="I759" t="str">
        <f>TEXT(walmart[[#This Row],[Purchase_Date]],"MMM")</f>
        <v>Jan</v>
      </c>
      <c r="J759" t="str">
        <f>TEXT(walmart[[#This Row],[Purchase_Date]],"YYY")</f>
        <v>2025</v>
      </c>
      <c r="K759" s="3">
        <v>452.97</v>
      </c>
      <c r="L759" t="str">
        <f t="shared" si="55"/>
        <v>5% off</v>
      </c>
      <c r="M759" s="3">
        <f t="shared" si="56"/>
        <v>22.648500000000002</v>
      </c>
      <c r="N759" t="str">
        <f t="shared" si="57"/>
        <v>Yes</v>
      </c>
      <c r="O759" t="s">
        <v>21</v>
      </c>
      <c r="P759" s="3">
        <f t="shared" si="58"/>
        <v>430.32150000000001</v>
      </c>
      <c r="Q759" t="s">
        <v>27</v>
      </c>
      <c r="R759">
        <v>1</v>
      </c>
      <c r="S759" t="str">
        <f t="shared" si="59"/>
        <v>Very Poor</v>
      </c>
    </row>
    <row r="760" spans="1:19" x14ac:dyDescent="0.25">
      <c r="A760" t="s">
        <v>1145</v>
      </c>
      <c r="B760">
        <v>38</v>
      </c>
      <c r="C760" t="s">
        <v>29</v>
      </c>
      <c r="D760" t="s">
        <v>2438</v>
      </c>
      <c r="E760" t="s">
        <v>55</v>
      </c>
      <c r="F760" t="s">
        <v>100</v>
      </c>
      <c r="G760" t="s">
        <v>329</v>
      </c>
      <c r="H760" t="str">
        <f>TEXT(walmart[[#This Row],[Purchase_Date]],"DDD")</f>
        <v>Fri</v>
      </c>
      <c r="I760" t="str">
        <f>TEXT(walmart[[#This Row],[Purchase_Date]],"MMM")</f>
        <v>Jan</v>
      </c>
      <c r="J760" t="str">
        <f>TEXT(walmart[[#This Row],[Purchase_Date]],"YYY")</f>
        <v>2025</v>
      </c>
      <c r="K760" s="3">
        <v>592.26</v>
      </c>
      <c r="L760" t="str">
        <f t="shared" si="55"/>
        <v>10% off</v>
      </c>
      <c r="M760" s="3">
        <f t="shared" si="56"/>
        <v>59.225999999999999</v>
      </c>
      <c r="N760" t="str">
        <f t="shared" si="57"/>
        <v>Yes</v>
      </c>
      <c r="O760" t="s">
        <v>21</v>
      </c>
      <c r="P760" s="3">
        <f t="shared" si="58"/>
        <v>533.03399999999999</v>
      </c>
      <c r="Q760" t="s">
        <v>35</v>
      </c>
      <c r="R760">
        <v>1</v>
      </c>
      <c r="S760" t="str">
        <f t="shared" si="59"/>
        <v>Very Poor</v>
      </c>
    </row>
    <row r="761" spans="1:19" x14ac:dyDescent="0.25">
      <c r="A761" t="s">
        <v>1146</v>
      </c>
      <c r="B761">
        <v>55</v>
      </c>
      <c r="C761" t="s">
        <v>16</v>
      </c>
      <c r="D761" t="s">
        <v>2439</v>
      </c>
      <c r="E761" t="s">
        <v>55</v>
      </c>
      <c r="F761" t="s">
        <v>64</v>
      </c>
      <c r="G761" t="s">
        <v>311</v>
      </c>
      <c r="H761" t="str">
        <f>TEXT(walmart[[#This Row],[Purchase_Date]],"DDD")</f>
        <v>Mon</v>
      </c>
      <c r="I761" t="str">
        <f>TEXT(walmart[[#This Row],[Purchase_Date]],"MMM")</f>
        <v>Mar</v>
      </c>
      <c r="J761" t="str">
        <f>TEXT(walmart[[#This Row],[Purchase_Date]],"YYY")</f>
        <v>2025</v>
      </c>
      <c r="K761" s="3">
        <v>374.92</v>
      </c>
      <c r="L761" t="str">
        <f t="shared" si="55"/>
        <v>5% off</v>
      </c>
      <c r="M761" s="3">
        <f t="shared" si="56"/>
        <v>18.746000000000002</v>
      </c>
      <c r="N761" t="str">
        <f t="shared" si="57"/>
        <v>Yes</v>
      </c>
      <c r="O761" t="s">
        <v>34</v>
      </c>
      <c r="P761" s="3">
        <f t="shared" si="58"/>
        <v>356.17400000000004</v>
      </c>
      <c r="Q761" t="s">
        <v>47</v>
      </c>
      <c r="R761">
        <v>1</v>
      </c>
      <c r="S761" t="str">
        <f t="shared" si="59"/>
        <v>Very Poor</v>
      </c>
    </row>
    <row r="762" spans="1:19" x14ac:dyDescent="0.25">
      <c r="A762" t="s">
        <v>1147</v>
      </c>
      <c r="B762">
        <v>67</v>
      </c>
      <c r="C762" t="s">
        <v>29</v>
      </c>
      <c r="D762" t="s">
        <v>2440</v>
      </c>
      <c r="E762" t="s">
        <v>42</v>
      </c>
      <c r="F762" t="s">
        <v>52</v>
      </c>
      <c r="G762" t="s">
        <v>212</v>
      </c>
      <c r="H762" t="str">
        <f>TEXT(walmart[[#This Row],[Purchase_Date]],"DDD")</f>
        <v>Sat</v>
      </c>
      <c r="I762" t="str">
        <f>TEXT(walmart[[#This Row],[Purchase_Date]],"MMM")</f>
        <v>Aug</v>
      </c>
      <c r="J762" t="str">
        <f>TEXT(walmart[[#This Row],[Purchase_Date]],"YYY")</f>
        <v>2024</v>
      </c>
      <c r="K762" s="3">
        <v>988.77</v>
      </c>
      <c r="L762" t="str">
        <f t="shared" si="55"/>
        <v>20% off</v>
      </c>
      <c r="M762" s="3">
        <f t="shared" si="56"/>
        <v>197.75400000000002</v>
      </c>
      <c r="N762" t="str">
        <f t="shared" si="57"/>
        <v>Yes</v>
      </c>
      <c r="O762" t="s">
        <v>21</v>
      </c>
      <c r="P762" s="3">
        <f t="shared" si="58"/>
        <v>791.01599999999996</v>
      </c>
      <c r="Q762" t="s">
        <v>27</v>
      </c>
      <c r="R762">
        <v>4</v>
      </c>
      <c r="S762" t="str">
        <f t="shared" si="59"/>
        <v>Good</v>
      </c>
    </row>
    <row r="763" spans="1:19" x14ac:dyDescent="0.25">
      <c r="A763" t="s">
        <v>1148</v>
      </c>
      <c r="B763">
        <v>41</v>
      </c>
      <c r="C763" t="s">
        <v>29</v>
      </c>
      <c r="D763" t="s">
        <v>2441</v>
      </c>
      <c r="E763" t="s">
        <v>24</v>
      </c>
      <c r="F763" t="s">
        <v>25</v>
      </c>
      <c r="G763" t="s">
        <v>762</v>
      </c>
      <c r="H763" t="str">
        <f>TEXT(walmart[[#This Row],[Purchase_Date]],"DDD")</f>
        <v>Fri</v>
      </c>
      <c r="I763" t="str">
        <f>TEXT(walmart[[#This Row],[Purchase_Date]],"MMM")</f>
        <v>Jun</v>
      </c>
      <c r="J763" t="str">
        <f>TEXT(walmart[[#This Row],[Purchase_Date]],"YYY")</f>
        <v>2024</v>
      </c>
      <c r="K763" s="3">
        <v>67.040000000000006</v>
      </c>
      <c r="L763" t="str">
        <f t="shared" si="55"/>
        <v>0% off</v>
      </c>
      <c r="M763" s="3">
        <f t="shared" si="56"/>
        <v>0</v>
      </c>
      <c r="N763" t="str">
        <f t="shared" si="57"/>
        <v>No</v>
      </c>
      <c r="O763" t="s">
        <v>21</v>
      </c>
      <c r="P763" s="3">
        <f t="shared" si="58"/>
        <v>67.040000000000006</v>
      </c>
      <c r="Q763" t="s">
        <v>22</v>
      </c>
      <c r="R763">
        <v>4</v>
      </c>
      <c r="S763" t="str">
        <f t="shared" si="59"/>
        <v>Good</v>
      </c>
    </row>
    <row r="764" spans="1:19" x14ac:dyDescent="0.25">
      <c r="A764" t="s">
        <v>1149</v>
      </c>
      <c r="B764">
        <v>67</v>
      </c>
      <c r="C764" t="s">
        <v>16</v>
      </c>
      <c r="D764" t="s">
        <v>17</v>
      </c>
      <c r="E764" t="s">
        <v>24</v>
      </c>
      <c r="F764" t="s">
        <v>162</v>
      </c>
      <c r="G764" t="s">
        <v>947</v>
      </c>
      <c r="H764" t="str">
        <f>TEXT(walmart[[#This Row],[Purchase_Date]],"DDD")</f>
        <v>Sat</v>
      </c>
      <c r="I764" t="str">
        <f>TEXT(walmart[[#This Row],[Purchase_Date]],"MMM")</f>
        <v>May</v>
      </c>
      <c r="J764" t="str">
        <f>TEXT(walmart[[#This Row],[Purchase_Date]],"YYY")</f>
        <v>2024</v>
      </c>
      <c r="K764" s="3">
        <v>362.55</v>
      </c>
      <c r="L764" t="str">
        <f t="shared" si="55"/>
        <v>5% off</v>
      </c>
      <c r="M764" s="3">
        <f t="shared" si="56"/>
        <v>18.127500000000001</v>
      </c>
      <c r="N764" t="str">
        <f t="shared" si="57"/>
        <v>Yes</v>
      </c>
      <c r="O764" t="s">
        <v>34</v>
      </c>
      <c r="P764" s="3">
        <f t="shared" si="58"/>
        <v>344.42250000000001</v>
      </c>
      <c r="Q764" t="s">
        <v>22</v>
      </c>
      <c r="R764">
        <v>2</v>
      </c>
      <c r="S764" t="str">
        <f t="shared" si="59"/>
        <v>Poor</v>
      </c>
    </row>
    <row r="765" spans="1:19" x14ac:dyDescent="0.25">
      <c r="A765" t="s">
        <v>1150</v>
      </c>
      <c r="B765">
        <v>60</v>
      </c>
      <c r="C765" t="s">
        <v>29</v>
      </c>
      <c r="D765" t="s">
        <v>2442</v>
      </c>
      <c r="E765" t="s">
        <v>55</v>
      </c>
      <c r="F765" t="s">
        <v>56</v>
      </c>
      <c r="G765" t="s">
        <v>238</v>
      </c>
      <c r="H765" t="str">
        <f>TEXT(walmart[[#This Row],[Purchase_Date]],"DDD")</f>
        <v>Wed</v>
      </c>
      <c r="I765" t="str">
        <f>TEXT(walmart[[#This Row],[Purchase_Date]],"MMM")</f>
        <v>Apr</v>
      </c>
      <c r="J765" t="str">
        <f>TEXT(walmart[[#This Row],[Purchase_Date]],"YYY")</f>
        <v>2024</v>
      </c>
      <c r="K765" s="3">
        <v>76.81</v>
      </c>
      <c r="L765" t="str">
        <f t="shared" si="55"/>
        <v>0% off</v>
      </c>
      <c r="M765" s="3">
        <f t="shared" si="56"/>
        <v>0</v>
      </c>
      <c r="N765" t="str">
        <f t="shared" si="57"/>
        <v>No</v>
      </c>
      <c r="O765" t="s">
        <v>21</v>
      </c>
      <c r="P765" s="3">
        <f t="shared" si="58"/>
        <v>76.81</v>
      </c>
      <c r="Q765" t="s">
        <v>47</v>
      </c>
      <c r="R765">
        <v>5</v>
      </c>
      <c r="S765" t="str">
        <f t="shared" si="59"/>
        <v>Excellent</v>
      </c>
    </row>
    <row r="766" spans="1:19" x14ac:dyDescent="0.25">
      <c r="A766" t="s">
        <v>1151</v>
      </c>
      <c r="B766">
        <v>61</v>
      </c>
      <c r="C766" t="s">
        <v>29</v>
      </c>
      <c r="D766" t="s">
        <v>2443</v>
      </c>
      <c r="E766" t="s">
        <v>31</v>
      </c>
      <c r="F766" t="s">
        <v>32</v>
      </c>
      <c r="G766" t="s">
        <v>840</v>
      </c>
      <c r="H766" t="str">
        <f>TEXT(walmart[[#This Row],[Purchase_Date]],"DDD")</f>
        <v>Mon</v>
      </c>
      <c r="I766" t="str">
        <f>TEXT(walmart[[#This Row],[Purchase_Date]],"MMM")</f>
        <v>Aug</v>
      </c>
      <c r="J766" t="str">
        <f>TEXT(walmart[[#This Row],[Purchase_Date]],"YYY")</f>
        <v>2024</v>
      </c>
      <c r="K766" s="3">
        <v>493.96</v>
      </c>
      <c r="L766" t="str">
        <f t="shared" si="55"/>
        <v>5% off</v>
      </c>
      <c r="M766" s="3">
        <f t="shared" si="56"/>
        <v>24.698</v>
      </c>
      <c r="N766" t="str">
        <f t="shared" si="57"/>
        <v>Yes</v>
      </c>
      <c r="O766" t="s">
        <v>21</v>
      </c>
      <c r="P766" s="3">
        <f t="shared" si="58"/>
        <v>469.262</v>
      </c>
      <c r="Q766" t="s">
        <v>47</v>
      </c>
      <c r="R766">
        <v>5</v>
      </c>
      <c r="S766" t="str">
        <f t="shared" si="59"/>
        <v>Excellent</v>
      </c>
    </row>
    <row r="767" spans="1:19" x14ac:dyDescent="0.25">
      <c r="A767" t="s">
        <v>1152</v>
      </c>
      <c r="B767">
        <v>36</v>
      </c>
      <c r="C767" t="s">
        <v>16</v>
      </c>
      <c r="D767" t="s">
        <v>2444</v>
      </c>
      <c r="E767" t="s">
        <v>55</v>
      </c>
      <c r="F767" t="s">
        <v>56</v>
      </c>
      <c r="G767" t="s">
        <v>827</v>
      </c>
      <c r="H767" t="str">
        <f>TEXT(walmart[[#This Row],[Purchase_Date]],"DDD")</f>
        <v>Mon</v>
      </c>
      <c r="I767" t="str">
        <f>TEXT(walmart[[#This Row],[Purchase_Date]],"MMM")</f>
        <v>Dec</v>
      </c>
      <c r="J767" t="str">
        <f>TEXT(walmart[[#This Row],[Purchase_Date]],"YYY")</f>
        <v>2024</v>
      </c>
      <c r="K767" s="3">
        <v>76.81</v>
      </c>
      <c r="L767" t="str">
        <f t="shared" si="55"/>
        <v>0% off</v>
      </c>
      <c r="M767" s="3">
        <f t="shared" si="56"/>
        <v>0</v>
      </c>
      <c r="N767" t="str">
        <f t="shared" si="57"/>
        <v>No</v>
      </c>
      <c r="O767" t="s">
        <v>34</v>
      </c>
      <c r="P767" s="3">
        <f t="shared" si="58"/>
        <v>76.81</v>
      </c>
      <c r="Q767" t="s">
        <v>47</v>
      </c>
      <c r="R767">
        <v>3</v>
      </c>
      <c r="S767" t="str">
        <f t="shared" si="59"/>
        <v>Average</v>
      </c>
    </row>
    <row r="768" spans="1:19" x14ac:dyDescent="0.25">
      <c r="A768" t="s">
        <v>1153</v>
      </c>
      <c r="B768">
        <v>30</v>
      </c>
      <c r="C768" t="s">
        <v>16</v>
      </c>
      <c r="D768" t="s">
        <v>2445</v>
      </c>
      <c r="E768" t="s">
        <v>31</v>
      </c>
      <c r="F768" t="s">
        <v>112</v>
      </c>
      <c r="G768" t="s">
        <v>550</v>
      </c>
      <c r="H768" t="str">
        <f>TEXT(walmart[[#This Row],[Purchase_Date]],"DDD")</f>
        <v>Sun</v>
      </c>
      <c r="I768" t="str">
        <f>TEXT(walmart[[#This Row],[Purchase_Date]],"MMM")</f>
        <v>May</v>
      </c>
      <c r="J768" t="str">
        <f>TEXT(walmart[[#This Row],[Purchase_Date]],"YYY")</f>
        <v>2024</v>
      </c>
      <c r="K768" s="3">
        <v>492.1</v>
      </c>
      <c r="L768" t="str">
        <f t="shared" si="55"/>
        <v>5% off</v>
      </c>
      <c r="M768" s="3">
        <f t="shared" si="56"/>
        <v>24.605000000000004</v>
      </c>
      <c r="N768" t="str">
        <f t="shared" si="57"/>
        <v>Yes</v>
      </c>
      <c r="O768" t="s">
        <v>34</v>
      </c>
      <c r="P768" s="3">
        <f t="shared" si="58"/>
        <v>467.495</v>
      </c>
      <c r="Q768" t="s">
        <v>22</v>
      </c>
      <c r="R768">
        <v>3</v>
      </c>
      <c r="S768" t="str">
        <f t="shared" si="59"/>
        <v>Average</v>
      </c>
    </row>
    <row r="769" spans="1:19" x14ac:dyDescent="0.25">
      <c r="A769" t="s">
        <v>1154</v>
      </c>
      <c r="B769">
        <v>65</v>
      </c>
      <c r="C769" t="s">
        <v>29</v>
      </c>
      <c r="D769" t="s">
        <v>2446</v>
      </c>
      <c r="E769" t="s">
        <v>37</v>
      </c>
      <c r="F769" t="s">
        <v>38</v>
      </c>
      <c r="G769" t="s">
        <v>395</v>
      </c>
      <c r="H769" t="str">
        <f>TEXT(walmart[[#This Row],[Purchase_Date]],"DDD")</f>
        <v>Sun</v>
      </c>
      <c r="I769" t="str">
        <f>TEXT(walmart[[#This Row],[Purchase_Date]],"MMM")</f>
        <v>Feb</v>
      </c>
      <c r="J769" t="str">
        <f>TEXT(walmart[[#This Row],[Purchase_Date]],"YYY")</f>
        <v>2025</v>
      </c>
      <c r="K769" s="3">
        <v>211.46</v>
      </c>
      <c r="L769" t="str">
        <f t="shared" si="55"/>
        <v>5% off</v>
      </c>
      <c r="M769" s="3">
        <f t="shared" si="56"/>
        <v>10.573</v>
      </c>
      <c r="N769" t="str">
        <f t="shared" si="57"/>
        <v>Yes</v>
      </c>
      <c r="O769" t="s">
        <v>21</v>
      </c>
      <c r="P769" s="3">
        <f t="shared" si="58"/>
        <v>200.887</v>
      </c>
      <c r="Q769" t="s">
        <v>35</v>
      </c>
      <c r="R769">
        <v>3</v>
      </c>
      <c r="S769" t="str">
        <f t="shared" si="59"/>
        <v>Average</v>
      </c>
    </row>
    <row r="770" spans="1:19" x14ac:dyDescent="0.25">
      <c r="A770" t="s">
        <v>1155</v>
      </c>
      <c r="B770">
        <v>66</v>
      </c>
      <c r="C770" t="s">
        <v>29</v>
      </c>
      <c r="D770" t="s">
        <v>2447</v>
      </c>
      <c r="E770" t="s">
        <v>31</v>
      </c>
      <c r="F770" t="s">
        <v>169</v>
      </c>
      <c r="G770" t="s">
        <v>662</v>
      </c>
      <c r="H770" t="str">
        <f>TEXT(walmart[[#This Row],[Purchase_Date]],"DDD")</f>
        <v>Sat</v>
      </c>
      <c r="I770" t="str">
        <f>TEXT(walmart[[#This Row],[Purchase_Date]],"MMM")</f>
        <v>May</v>
      </c>
      <c r="J770" t="str">
        <f>TEXT(walmart[[#This Row],[Purchase_Date]],"YYY")</f>
        <v>2024</v>
      </c>
      <c r="K770" s="3">
        <v>52.44</v>
      </c>
      <c r="L770" t="str">
        <f t="shared" si="55"/>
        <v>0% off</v>
      </c>
      <c r="M770" s="3">
        <f t="shared" si="56"/>
        <v>0</v>
      </c>
      <c r="N770" t="str">
        <f t="shared" si="57"/>
        <v>No</v>
      </c>
      <c r="O770" t="s">
        <v>34</v>
      </c>
      <c r="P770" s="3">
        <f t="shared" si="58"/>
        <v>52.44</v>
      </c>
      <c r="Q770" t="s">
        <v>35</v>
      </c>
      <c r="R770">
        <v>4</v>
      </c>
      <c r="S770" t="str">
        <f t="shared" si="59"/>
        <v>Good</v>
      </c>
    </row>
    <row r="771" spans="1:19" x14ac:dyDescent="0.25">
      <c r="A771" t="s">
        <v>1156</v>
      </c>
      <c r="B771">
        <v>57</v>
      </c>
      <c r="C771" t="s">
        <v>16</v>
      </c>
      <c r="D771" t="s">
        <v>2448</v>
      </c>
      <c r="E771" t="s">
        <v>73</v>
      </c>
      <c r="F771" t="s">
        <v>91</v>
      </c>
      <c r="G771" t="s">
        <v>421</v>
      </c>
      <c r="H771" t="str">
        <f>TEXT(walmart[[#This Row],[Purchase_Date]],"DDD")</f>
        <v>Fri</v>
      </c>
      <c r="I771" t="str">
        <f>TEXT(walmart[[#This Row],[Purchase_Date]],"MMM")</f>
        <v>Aug</v>
      </c>
      <c r="J771" t="str">
        <f>TEXT(walmart[[#This Row],[Purchase_Date]],"YYY")</f>
        <v>2024</v>
      </c>
      <c r="K771" s="3">
        <v>418.55</v>
      </c>
      <c r="L771" t="str">
        <f t="shared" ref="L771:L834" si="60">IF(K771&lt;150,"0% off",IF(K771&lt;500,"5% off",IF(K771&lt;700,"10% off",IF(K771&lt;900,"15% off","20% off"))))</f>
        <v>5% off</v>
      </c>
      <c r="M771" s="3">
        <f t="shared" ref="M771:M834" si="61">K771 * (LEFT(L771, LEN(L771)-5) / 100)</f>
        <v>20.927500000000002</v>
      </c>
      <c r="N771" t="str">
        <f t="shared" ref="N771:N834" si="62">IF(L771="0% off", "No", "Yes")</f>
        <v>Yes</v>
      </c>
      <c r="O771" t="s">
        <v>34</v>
      </c>
      <c r="P771" s="3">
        <f t="shared" ref="P771:P834" si="63">K771-M771</f>
        <v>397.6225</v>
      </c>
      <c r="Q771" t="s">
        <v>27</v>
      </c>
      <c r="R771">
        <v>2</v>
      </c>
      <c r="S771" t="str">
        <f t="shared" ref="S771:S834" si="64">IF(R771=5, "Excellent", IF(R771=4, "Good", IF(R771=3, "Average", IF(R771=2, "Poor", IF(R771=1, "Very Poor", "Invalid Rating")))))</f>
        <v>Poor</v>
      </c>
    </row>
    <row r="772" spans="1:19" x14ac:dyDescent="0.25">
      <c r="A772" t="s">
        <v>1157</v>
      </c>
      <c r="B772">
        <v>67</v>
      </c>
      <c r="C772" t="s">
        <v>29</v>
      </c>
      <c r="D772" t="s">
        <v>2449</v>
      </c>
      <c r="E772" t="s">
        <v>73</v>
      </c>
      <c r="F772" t="s">
        <v>94</v>
      </c>
      <c r="G772" t="s">
        <v>89</v>
      </c>
      <c r="H772" t="str">
        <f>TEXT(walmart[[#This Row],[Purchase_Date]],"DDD")</f>
        <v>Wed</v>
      </c>
      <c r="I772" t="str">
        <f>TEXT(walmart[[#This Row],[Purchase_Date]],"MMM")</f>
        <v>Jun</v>
      </c>
      <c r="J772" t="str">
        <f>TEXT(walmart[[#This Row],[Purchase_Date]],"YYY")</f>
        <v>2024</v>
      </c>
      <c r="K772" s="3">
        <v>965.09</v>
      </c>
      <c r="L772" t="str">
        <f t="shared" si="60"/>
        <v>20% off</v>
      </c>
      <c r="M772" s="3">
        <f t="shared" si="61"/>
        <v>193.01800000000003</v>
      </c>
      <c r="N772" t="str">
        <f t="shared" si="62"/>
        <v>Yes</v>
      </c>
      <c r="O772" t="s">
        <v>21</v>
      </c>
      <c r="P772" s="3">
        <f t="shared" si="63"/>
        <v>772.072</v>
      </c>
      <c r="Q772" t="s">
        <v>47</v>
      </c>
      <c r="R772">
        <v>1</v>
      </c>
      <c r="S772" t="str">
        <f t="shared" si="64"/>
        <v>Very Poor</v>
      </c>
    </row>
    <row r="773" spans="1:19" x14ac:dyDescent="0.25">
      <c r="A773" t="s">
        <v>1158</v>
      </c>
      <c r="B773">
        <v>28</v>
      </c>
      <c r="C773" t="s">
        <v>16</v>
      </c>
      <c r="D773" t="s">
        <v>2450</v>
      </c>
      <c r="E773" t="s">
        <v>18</v>
      </c>
      <c r="F773" t="s">
        <v>142</v>
      </c>
      <c r="G773" t="s">
        <v>467</v>
      </c>
      <c r="H773" t="str">
        <f>TEXT(walmart[[#This Row],[Purchase_Date]],"DDD")</f>
        <v>Fri</v>
      </c>
      <c r="I773" t="str">
        <f>TEXT(walmart[[#This Row],[Purchase_Date]],"MMM")</f>
        <v>Apr</v>
      </c>
      <c r="J773" t="str">
        <f>TEXT(walmart[[#This Row],[Purchase_Date]],"YYY")</f>
        <v>2024</v>
      </c>
      <c r="K773" s="3">
        <v>485.26</v>
      </c>
      <c r="L773" t="str">
        <f t="shared" si="60"/>
        <v>5% off</v>
      </c>
      <c r="M773" s="3">
        <f t="shared" si="61"/>
        <v>24.263000000000002</v>
      </c>
      <c r="N773" t="str">
        <f t="shared" si="62"/>
        <v>Yes</v>
      </c>
      <c r="O773" t="s">
        <v>34</v>
      </c>
      <c r="P773" s="3">
        <f t="shared" si="63"/>
        <v>460.99700000000001</v>
      </c>
      <c r="Q773" t="s">
        <v>22</v>
      </c>
      <c r="R773">
        <v>4</v>
      </c>
      <c r="S773" t="str">
        <f t="shared" si="64"/>
        <v>Good</v>
      </c>
    </row>
    <row r="774" spans="1:19" x14ac:dyDescent="0.25">
      <c r="A774" t="s">
        <v>1159</v>
      </c>
      <c r="B774">
        <v>36</v>
      </c>
      <c r="C774" t="s">
        <v>29</v>
      </c>
      <c r="D774" t="s">
        <v>2451</v>
      </c>
      <c r="E774" t="s">
        <v>37</v>
      </c>
      <c r="F774" t="s">
        <v>97</v>
      </c>
      <c r="G774" t="s">
        <v>258</v>
      </c>
      <c r="H774" t="str">
        <f>TEXT(walmart[[#This Row],[Purchase_Date]],"DDD")</f>
        <v>Fri</v>
      </c>
      <c r="I774" t="str">
        <f>TEXT(walmart[[#This Row],[Purchase_Date]],"MMM")</f>
        <v>Oct</v>
      </c>
      <c r="J774" t="str">
        <f>TEXT(walmart[[#This Row],[Purchase_Date]],"YYY")</f>
        <v>2024</v>
      </c>
      <c r="K774" s="3">
        <v>855.21</v>
      </c>
      <c r="L774" t="str">
        <f t="shared" si="60"/>
        <v>15% off</v>
      </c>
      <c r="M774" s="3">
        <f t="shared" si="61"/>
        <v>128.28149999999999</v>
      </c>
      <c r="N774" t="str">
        <f t="shared" si="62"/>
        <v>Yes</v>
      </c>
      <c r="O774" t="s">
        <v>34</v>
      </c>
      <c r="P774" s="3">
        <f t="shared" si="63"/>
        <v>726.92849999999999</v>
      </c>
      <c r="Q774" t="s">
        <v>22</v>
      </c>
      <c r="R774">
        <v>3</v>
      </c>
      <c r="S774" t="str">
        <f t="shared" si="64"/>
        <v>Average</v>
      </c>
    </row>
    <row r="775" spans="1:19" x14ac:dyDescent="0.25">
      <c r="A775" t="s">
        <v>1160</v>
      </c>
      <c r="B775">
        <v>25</v>
      </c>
      <c r="C775" t="s">
        <v>29</v>
      </c>
      <c r="D775" t="s">
        <v>2452</v>
      </c>
      <c r="E775" t="s">
        <v>24</v>
      </c>
      <c r="F775" t="s">
        <v>162</v>
      </c>
      <c r="G775" t="s">
        <v>240</v>
      </c>
      <c r="H775" t="str">
        <f>TEXT(walmart[[#This Row],[Purchase_Date]],"DDD")</f>
        <v>Mon</v>
      </c>
      <c r="I775" t="str">
        <f>TEXT(walmart[[#This Row],[Purchase_Date]],"MMM")</f>
        <v>Apr</v>
      </c>
      <c r="J775" t="str">
        <f>TEXT(walmart[[#This Row],[Purchase_Date]],"YYY")</f>
        <v>2024</v>
      </c>
      <c r="K775" s="3">
        <v>362.55</v>
      </c>
      <c r="L775" t="str">
        <f t="shared" si="60"/>
        <v>5% off</v>
      </c>
      <c r="M775" s="3">
        <f t="shared" si="61"/>
        <v>18.127500000000001</v>
      </c>
      <c r="N775" t="str">
        <f t="shared" si="62"/>
        <v>Yes</v>
      </c>
      <c r="O775" t="s">
        <v>34</v>
      </c>
      <c r="P775" s="3">
        <f t="shared" si="63"/>
        <v>344.42250000000001</v>
      </c>
      <c r="Q775" t="s">
        <v>47</v>
      </c>
      <c r="R775">
        <v>4</v>
      </c>
      <c r="S775" t="str">
        <f t="shared" si="64"/>
        <v>Good</v>
      </c>
    </row>
    <row r="776" spans="1:19" x14ac:dyDescent="0.25">
      <c r="A776" t="s">
        <v>1161</v>
      </c>
      <c r="B776">
        <v>26</v>
      </c>
      <c r="C776" t="s">
        <v>16</v>
      </c>
      <c r="D776" t="s">
        <v>2453</v>
      </c>
      <c r="E776" t="s">
        <v>73</v>
      </c>
      <c r="F776" t="s">
        <v>138</v>
      </c>
      <c r="G776" t="s">
        <v>83</v>
      </c>
      <c r="H776" t="str">
        <f>TEXT(walmart[[#This Row],[Purchase_Date]],"DDD")</f>
        <v>Sun</v>
      </c>
      <c r="I776" t="str">
        <f>TEXT(walmart[[#This Row],[Purchase_Date]],"MMM")</f>
        <v>Apr</v>
      </c>
      <c r="J776" t="str">
        <f>TEXT(walmart[[#This Row],[Purchase_Date]],"YYY")</f>
        <v>2024</v>
      </c>
      <c r="K776" s="3">
        <v>461.81</v>
      </c>
      <c r="L776" t="str">
        <f t="shared" si="60"/>
        <v>5% off</v>
      </c>
      <c r="M776" s="3">
        <f t="shared" si="61"/>
        <v>23.090500000000002</v>
      </c>
      <c r="N776" t="str">
        <f t="shared" si="62"/>
        <v>Yes</v>
      </c>
      <c r="O776" t="s">
        <v>34</v>
      </c>
      <c r="P776" s="3">
        <f t="shared" si="63"/>
        <v>438.71949999999998</v>
      </c>
      <c r="Q776" t="s">
        <v>27</v>
      </c>
      <c r="R776">
        <v>3</v>
      </c>
      <c r="S776" t="str">
        <f t="shared" si="64"/>
        <v>Average</v>
      </c>
    </row>
    <row r="777" spans="1:19" x14ac:dyDescent="0.25">
      <c r="A777" t="s">
        <v>1162</v>
      </c>
      <c r="B777">
        <v>22</v>
      </c>
      <c r="C777" t="s">
        <v>16</v>
      </c>
      <c r="D777" t="s">
        <v>2454</v>
      </c>
      <c r="E777" t="s">
        <v>24</v>
      </c>
      <c r="F777" t="s">
        <v>209</v>
      </c>
      <c r="G777" t="s">
        <v>496</v>
      </c>
      <c r="H777" t="str">
        <f>TEXT(walmart[[#This Row],[Purchase_Date]],"DDD")</f>
        <v>Wed</v>
      </c>
      <c r="I777" t="str">
        <f>TEXT(walmart[[#This Row],[Purchase_Date]],"MMM")</f>
        <v>Jul</v>
      </c>
      <c r="J777" t="str">
        <f>TEXT(walmart[[#This Row],[Purchase_Date]],"YYY")</f>
        <v>2024</v>
      </c>
      <c r="K777" s="3">
        <v>775.75</v>
      </c>
      <c r="L777" t="str">
        <f t="shared" si="60"/>
        <v>15% off</v>
      </c>
      <c r="M777" s="3">
        <f t="shared" si="61"/>
        <v>116.3625</v>
      </c>
      <c r="N777" t="str">
        <f t="shared" si="62"/>
        <v>Yes</v>
      </c>
      <c r="O777" t="s">
        <v>34</v>
      </c>
      <c r="P777" s="3">
        <f t="shared" si="63"/>
        <v>659.38750000000005</v>
      </c>
      <c r="Q777" t="s">
        <v>47</v>
      </c>
      <c r="R777">
        <v>3</v>
      </c>
      <c r="S777" t="str">
        <f t="shared" si="64"/>
        <v>Average</v>
      </c>
    </row>
    <row r="778" spans="1:19" x14ac:dyDescent="0.25">
      <c r="A778" t="s">
        <v>1163</v>
      </c>
      <c r="B778">
        <v>67</v>
      </c>
      <c r="C778" t="s">
        <v>29</v>
      </c>
      <c r="D778" t="s">
        <v>2455</v>
      </c>
      <c r="E778" t="s">
        <v>73</v>
      </c>
      <c r="F778" t="s">
        <v>74</v>
      </c>
      <c r="G778" t="s">
        <v>811</v>
      </c>
      <c r="H778" t="str">
        <f>TEXT(walmart[[#This Row],[Purchase_Date]],"DDD")</f>
        <v>Sun</v>
      </c>
      <c r="I778" t="str">
        <f>TEXT(walmart[[#This Row],[Purchase_Date]],"MMM")</f>
        <v>Sep</v>
      </c>
      <c r="J778" t="str">
        <f>TEXT(walmart[[#This Row],[Purchase_Date]],"YYY")</f>
        <v>2024</v>
      </c>
      <c r="K778" s="3">
        <v>782.29</v>
      </c>
      <c r="L778" t="str">
        <f t="shared" si="60"/>
        <v>15% off</v>
      </c>
      <c r="M778" s="3">
        <f t="shared" si="61"/>
        <v>117.34349999999999</v>
      </c>
      <c r="N778" t="str">
        <f t="shared" si="62"/>
        <v>Yes</v>
      </c>
      <c r="O778" t="s">
        <v>21</v>
      </c>
      <c r="P778" s="3">
        <f t="shared" si="63"/>
        <v>664.94650000000001</v>
      </c>
      <c r="Q778" t="s">
        <v>35</v>
      </c>
      <c r="R778">
        <v>4</v>
      </c>
      <c r="S778" t="str">
        <f t="shared" si="64"/>
        <v>Good</v>
      </c>
    </row>
    <row r="779" spans="1:19" x14ac:dyDescent="0.25">
      <c r="A779" t="s">
        <v>1164</v>
      </c>
      <c r="B779">
        <v>34</v>
      </c>
      <c r="C779" t="s">
        <v>16</v>
      </c>
      <c r="D779" t="s">
        <v>2456</v>
      </c>
      <c r="E779" t="s">
        <v>55</v>
      </c>
      <c r="F779" t="s">
        <v>56</v>
      </c>
      <c r="G779" t="s">
        <v>69</v>
      </c>
      <c r="H779" t="str">
        <f>TEXT(walmart[[#This Row],[Purchase_Date]],"DDD")</f>
        <v>Wed</v>
      </c>
      <c r="I779" t="str">
        <f>TEXT(walmart[[#This Row],[Purchase_Date]],"MMM")</f>
        <v>Dec</v>
      </c>
      <c r="J779" t="str">
        <f>TEXT(walmart[[#This Row],[Purchase_Date]],"YYY")</f>
        <v>2024</v>
      </c>
      <c r="K779" s="3">
        <v>76.81</v>
      </c>
      <c r="L779" t="str">
        <f t="shared" si="60"/>
        <v>0% off</v>
      </c>
      <c r="M779" s="3">
        <f t="shared" si="61"/>
        <v>0</v>
      </c>
      <c r="N779" t="str">
        <f t="shared" si="62"/>
        <v>No</v>
      </c>
      <c r="O779" t="s">
        <v>21</v>
      </c>
      <c r="P779" s="3">
        <f t="shared" si="63"/>
        <v>76.81</v>
      </c>
      <c r="Q779" t="s">
        <v>22</v>
      </c>
      <c r="R779">
        <v>4</v>
      </c>
      <c r="S779" t="str">
        <f t="shared" si="64"/>
        <v>Good</v>
      </c>
    </row>
    <row r="780" spans="1:19" x14ac:dyDescent="0.25">
      <c r="A780" t="s">
        <v>1165</v>
      </c>
      <c r="B780">
        <v>23</v>
      </c>
      <c r="C780" t="s">
        <v>29</v>
      </c>
      <c r="D780" t="s">
        <v>2457</v>
      </c>
      <c r="E780" t="s">
        <v>37</v>
      </c>
      <c r="F780" t="s">
        <v>97</v>
      </c>
      <c r="G780" t="s">
        <v>558</v>
      </c>
      <c r="H780" t="str">
        <f>TEXT(walmart[[#This Row],[Purchase_Date]],"DDD")</f>
        <v>Tue</v>
      </c>
      <c r="I780" t="str">
        <f>TEXT(walmart[[#This Row],[Purchase_Date]],"MMM")</f>
        <v>Dec</v>
      </c>
      <c r="J780" t="str">
        <f>TEXT(walmart[[#This Row],[Purchase_Date]],"YYY")</f>
        <v>2024</v>
      </c>
      <c r="K780" s="3">
        <v>855.21</v>
      </c>
      <c r="L780" t="str">
        <f t="shared" si="60"/>
        <v>15% off</v>
      </c>
      <c r="M780" s="3">
        <f t="shared" si="61"/>
        <v>128.28149999999999</v>
      </c>
      <c r="N780" t="str">
        <f t="shared" si="62"/>
        <v>Yes</v>
      </c>
      <c r="O780" t="s">
        <v>34</v>
      </c>
      <c r="P780" s="3">
        <f t="shared" si="63"/>
        <v>726.92849999999999</v>
      </c>
      <c r="Q780" t="s">
        <v>22</v>
      </c>
      <c r="R780">
        <v>5</v>
      </c>
      <c r="S780" t="str">
        <f t="shared" si="64"/>
        <v>Excellent</v>
      </c>
    </row>
    <row r="781" spans="1:19" x14ac:dyDescent="0.25">
      <c r="A781" t="s">
        <v>1166</v>
      </c>
      <c r="B781">
        <v>68</v>
      </c>
      <c r="C781" t="s">
        <v>29</v>
      </c>
      <c r="D781" t="s">
        <v>2458</v>
      </c>
      <c r="E781" t="s">
        <v>42</v>
      </c>
      <c r="F781" t="s">
        <v>120</v>
      </c>
      <c r="G781" t="s">
        <v>226</v>
      </c>
      <c r="H781" t="str">
        <f>TEXT(walmart[[#This Row],[Purchase_Date]],"DDD")</f>
        <v>Tue</v>
      </c>
      <c r="I781" t="str">
        <f>TEXT(walmart[[#This Row],[Purchase_Date]],"MMM")</f>
        <v>Jan</v>
      </c>
      <c r="J781" t="str">
        <f>TEXT(walmart[[#This Row],[Purchase_Date]],"YYY")</f>
        <v>2025</v>
      </c>
      <c r="K781" s="3">
        <v>260.77999999999997</v>
      </c>
      <c r="L781" t="str">
        <f t="shared" si="60"/>
        <v>5% off</v>
      </c>
      <c r="M781" s="3">
        <f t="shared" si="61"/>
        <v>13.039</v>
      </c>
      <c r="N781" t="str">
        <f t="shared" si="62"/>
        <v>Yes</v>
      </c>
      <c r="O781" t="s">
        <v>21</v>
      </c>
      <c r="P781" s="3">
        <f t="shared" si="63"/>
        <v>247.74099999999999</v>
      </c>
      <c r="Q781" t="s">
        <v>35</v>
      </c>
      <c r="R781">
        <v>4</v>
      </c>
      <c r="S781" t="str">
        <f t="shared" si="64"/>
        <v>Good</v>
      </c>
    </row>
    <row r="782" spans="1:19" x14ac:dyDescent="0.25">
      <c r="A782" t="s">
        <v>1167</v>
      </c>
      <c r="B782">
        <v>51</v>
      </c>
      <c r="C782" t="s">
        <v>29</v>
      </c>
      <c r="D782" t="s">
        <v>2459</v>
      </c>
      <c r="E782" t="s">
        <v>31</v>
      </c>
      <c r="F782" t="s">
        <v>32</v>
      </c>
      <c r="G782" t="s">
        <v>262</v>
      </c>
      <c r="H782" t="str">
        <f>TEXT(walmart[[#This Row],[Purchase_Date]],"DDD")</f>
        <v>Wed</v>
      </c>
      <c r="I782" t="str">
        <f>TEXT(walmart[[#This Row],[Purchase_Date]],"MMM")</f>
        <v>Sep</v>
      </c>
      <c r="J782" t="str">
        <f>TEXT(walmart[[#This Row],[Purchase_Date]],"YYY")</f>
        <v>2024</v>
      </c>
      <c r="K782" s="3">
        <v>493.96</v>
      </c>
      <c r="L782" t="str">
        <f t="shared" si="60"/>
        <v>5% off</v>
      </c>
      <c r="M782" s="3">
        <f t="shared" si="61"/>
        <v>24.698</v>
      </c>
      <c r="N782" t="str">
        <f t="shared" si="62"/>
        <v>Yes</v>
      </c>
      <c r="O782" t="s">
        <v>34</v>
      </c>
      <c r="P782" s="3">
        <f t="shared" si="63"/>
        <v>469.262</v>
      </c>
      <c r="Q782" t="s">
        <v>47</v>
      </c>
      <c r="R782">
        <v>2</v>
      </c>
      <c r="S782" t="str">
        <f t="shared" si="64"/>
        <v>Poor</v>
      </c>
    </row>
    <row r="783" spans="1:19" x14ac:dyDescent="0.25">
      <c r="A783" t="s">
        <v>1168</v>
      </c>
      <c r="B783">
        <v>38</v>
      </c>
      <c r="C783" t="s">
        <v>16</v>
      </c>
      <c r="D783" t="s">
        <v>2460</v>
      </c>
      <c r="E783" t="s">
        <v>73</v>
      </c>
      <c r="F783" t="s">
        <v>74</v>
      </c>
      <c r="G783" t="s">
        <v>244</v>
      </c>
      <c r="H783" t="str">
        <f>TEXT(walmart[[#This Row],[Purchase_Date]],"DDD")</f>
        <v>Sat</v>
      </c>
      <c r="I783" t="str">
        <f>TEXT(walmart[[#This Row],[Purchase_Date]],"MMM")</f>
        <v>Feb</v>
      </c>
      <c r="J783" t="str">
        <f>TEXT(walmart[[#This Row],[Purchase_Date]],"YYY")</f>
        <v>2025</v>
      </c>
      <c r="K783" s="3">
        <v>782.29</v>
      </c>
      <c r="L783" t="str">
        <f t="shared" si="60"/>
        <v>15% off</v>
      </c>
      <c r="M783" s="3">
        <f t="shared" si="61"/>
        <v>117.34349999999999</v>
      </c>
      <c r="N783" t="str">
        <f t="shared" si="62"/>
        <v>Yes</v>
      </c>
      <c r="O783" t="s">
        <v>21</v>
      </c>
      <c r="P783" s="3">
        <f t="shared" si="63"/>
        <v>664.94650000000001</v>
      </c>
      <c r="Q783" t="s">
        <v>35</v>
      </c>
      <c r="R783">
        <v>2</v>
      </c>
      <c r="S783" t="str">
        <f t="shared" si="64"/>
        <v>Poor</v>
      </c>
    </row>
    <row r="784" spans="1:19" x14ac:dyDescent="0.25">
      <c r="A784" t="s">
        <v>1169</v>
      </c>
      <c r="B784">
        <v>55</v>
      </c>
      <c r="C784" t="s">
        <v>16</v>
      </c>
      <c r="D784" t="s">
        <v>2461</v>
      </c>
      <c r="E784" t="s">
        <v>31</v>
      </c>
      <c r="F784" t="s">
        <v>169</v>
      </c>
      <c r="G784" t="s">
        <v>106</v>
      </c>
      <c r="H784" t="str">
        <f>TEXT(walmart[[#This Row],[Purchase_Date]],"DDD")</f>
        <v>Sun</v>
      </c>
      <c r="I784" t="str">
        <f>TEXT(walmart[[#This Row],[Purchase_Date]],"MMM")</f>
        <v>Apr</v>
      </c>
      <c r="J784" t="str">
        <f>TEXT(walmart[[#This Row],[Purchase_Date]],"YYY")</f>
        <v>2024</v>
      </c>
      <c r="K784" s="3">
        <v>52.44</v>
      </c>
      <c r="L784" t="str">
        <f t="shared" si="60"/>
        <v>0% off</v>
      </c>
      <c r="M784" s="3">
        <f t="shared" si="61"/>
        <v>0</v>
      </c>
      <c r="N784" t="str">
        <f t="shared" si="62"/>
        <v>No</v>
      </c>
      <c r="O784" t="s">
        <v>34</v>
      </c>
      <c r="P784" s="3">
        <f t="shared" si="63"/>
        <v>52.44</v>
      </c>
      <c r="Q784" t="s">
        <v>27</v>
      </c>
      <c r="R784">
        <v>2</v>
      </c>
      <c r="S784" t="str">
        <f t="shared" si="64"/>
        <v>Poor</v>
      </c>
    </row>
    <row r="785" spans="1:19" x14ac:dyDescent="0.25">
      <c r="A785" t="s">
        <v>1170</v>
      </c>
      <c r="B785">
        <v>65</v>
      </c>
      <c r="C785" t="s">
        <v>29</v>
      </c>
      <c r="D785" t="s">
        <v>2462</v>
      </c>
      <c r="E785" t="s">
        <v>18</v>
      </c>
      <c r="F785" t="s">
        <v>19</v>
      </c>
      <c r="G785" t="s">
        <v>130</v>
      </c>
      <c r="H785" t="str">
        <f>TEXT(walmart[[#This Row],[Purchase_Date]],"DDD")</f>
        <v>Mon</v>
      </c>
      <c r="I785" t="str">
        <f>TEXT(walmart[[#This Row],[Purchase_Date]],"MMM")</f>
        <v>Nov</v>
      </c>
      <c r="J785" t="str">
        <f>TEXT(walmart[[#This Row],[Purchase_Date]],"YYY")</f>
        <v>2024</v>
      </c>
      <c r="K785" s="3">
        <v>697.86</v>
      </c>
      <c r="L785" t="str">
        <f t="shared" si="60"/>
        <v>10% off</v>
      </c>
      <c r="M785" s="3">
        <f t="shared" si="61"/>
        <v>69.786000000000001</v>
      </c>
      <c r="N785" t="str">
        <f t="shared" si="62"/>
        <v>Yes</v>
      </c>
      <c r="O785" t="s">
        <v>21</v>
      </c>
      <c r="P785" s="3">
        <f t="shared" si="63"/>
        <v>628.07400000000007</v>
      </c>
      <c r="Q785" t="s">
        <v>47</v>
      </c>
      <c r="R785">
        <v>2</v>
      </c>
      <c r="S785" t="str">
        <f t="shared" si="64"/>
        <v>Poor</v>
      </c>
    </row>
    <row r="786" spans="1:19" x14ac:dyDescent="0.25">
      <c r="A786" t="s">
        <v>1171</v>
      </c>
      <c r="B786">
        <v>22</v>
      </c>
      <c r="C786" t="s">
        <v>16</v>
      </c>
      <c r="D786" t="s">
        <v>2463</v>
      </c>
      <c r="E786" t="s">
        <v>73</v>
      </c>
      <c r="F786" t="s">
        <v>91</v>
      </c>
      <c r="G786" t="s">
        <v>983</v>
      </c>
      <c r="H786" t="str">
        <f>TEXT(walmart[[#This Row],[Purchase_Date]],"DDD")</f>
        <v>Wed</v>
      </c>
      <c r="I786" t="str">
        <f>TEXT(walmart[[#This Row],[Purchase_Date]],"MMM")</f>
        <v>Jan</v>
      </c>
      <c r="J786" t="str">
        <f>TEXT(walmart[[#This Row],[Purchase_Date]],"YYY")</f>
        <v>2025</v>
      </c>
      <c r="K786" s="3">
        <v>418.55</v>
      </c>
      <c r="L786" t="str">
        <f t="shared" si="60"/>
        <v>5% off</v>
      </c>
      <c r="M786" s="3">
        <f t="shared" si="61"/>
        <v>20.927500000000002</v>
      </c>
      <c r="N786" t="str">
        <f t="shared" si="62"/>
        <v>Yes</v>
      </c>
      <c r="O786" t="s">
        <v>34</v>
      </c>
      <c r="P786" s="3">
        <f t="shared" si="63"/>
        <v>397.6225</v>
      </c>
      <c r="Q786" t="s">
        <v>47</v>
      </c>
      <c r="R786">
        <v>1</v>
      </c>
      <c r="S786" t="str">
        <f t="shared" si="64"/>
        <v>Very Poor</v>
      </c>
    </row>
    <row r="787" spans="1:19" x14ac:dyDescent="0.25">
      <c r="A787" t="s">
        <v>1172</v>
      </c>
      <c r="B787">
        <v>26</v>
      </c>
      <c r="C787" t="s">
        <v>29</v>
      </c>
      <c r="D787" t="s">
        <v>2464</v>
      </c>
      <c r="E787" t="s">
        <v>55</v>
      </c>
      <c r="F787" t="s">
        <v>67</v>
      </c>
      <c r="G787" t="s">
        <v>189</v>
      </c>
      <c r="H787" t="str">
        <f>TEXT(walmart[[#This Row],[Purchase_Date]],"DDD")</f>
        <v>Sat</v>
      </c>
      <c r="I787" t="str">
        <f>TEXT(walmart[[#This Row],[Purchase_Date]],"MMM")</f>
        <v>Jun</v>
      </c>
      <c r="J787" t="str">
        <f>TEXT(walmart[[#This Row],[Purchase_Date]],"YYY")</f>
        <v>2024</v>
      </c>
      <c r="K787" s="3">
        <v>452.97</v>
      </c>
      <c r="L787" t="str">
        <f t="shared" si="60"/>
        <v>5% off</v>
      </c>
      <c r="M787" s="3">
        <f t="shared" si="61"/>
        <v>22.648500000000002</v>
      </c>
      <c r="N787" t="str">
        <f t="shared" si="62"/>
        <v>Yes</v>
      </c>
      <c r="O787" t="s">
        <v>34</v>
      </c>
      <c r="P787" s="3">
        <f t="shared" si="63"/>
        <v>430.32150000000001</v>
      </c>
      <c r="Q787" t="s">
        <v>47</v>
      </c>
      <c r="R787">
        <v>4</v>
      </c>
      <c r="S787" t="str">
        <f t="shared" si="64"/>
        <v>Good</v>
      </c>
    </row>
    <row r="788" spans="1:19" x14ac:dyDescent="0.25">
      <c r="A788" t="s">
        <v>1173</v>
      </c>
      <c r="B788">
        <v>44</v>
      </c>
      <c r="C788" t="s">
        <v>29</v>
      </c>
      <c r="D788" t="s">
        <v>2465</v>
      </c>
      <c r="E788" t="s">
        <v>55</v>
      </c>
      <c r="F788" t="s">
        <v>67</v>
      </c>
      <c r="G788" t="s">
        <v>766</v>
      </c>
      <c r="H788" t="str">
        <f>TEXT(walmart[[#This Row],[Purchase_Date]],"DDD")</f>
        <v>Fri</v>
      </c>
      <c r="I788" t="str">
        <f>TEXT(walmart[[#This Row],[Purchase_Date]],"MMM")</f>
        <v>Sep</v>
      </c>
      <c r="J788" t="str">
        <f>TEXT(walmart[[#This Row],[Purchase_Date]],"YYY")</f>
        <v>2024</v>
      </c>
      <c r="K788" s="3">
        <v>452.97</v>
      </c>
      <c r="L788" t="str">
        <f t="shared" si="60"/>
        <v>5% off</v>
      </c>
      <c r="M788" s="3">
        <f t="shared" si="61"/>
        <v>22.648500000000002</v>
      </c>
      <c r="N788" t="str">
        <f t="shared" si="62"/>
        <v>Yes</v>
      </c>
      <c r="O788" t="s">
        <v>34</v>
      </c>
      <c r="P788" s="3">
        <f t="shared" si="63"/>
        <v>430.32150000000001</v>
      </c>
      <c r="Q788" t="s">
        <v>27</v>
      </c>
      <c r="R788">
        <v>5</v>
      </c>
      <c r="S788" t="str">
        <f t="shared" si="64"/>
        <v>Excellent</v>
      </c>
    </row>
    <row r="789" spans="1:19" x14ac:dyDescent="0.25">
      <c r="A789" t="s">
        <v>1174</v>
      </c>
      <c r="B789">
        <v>38</v>
      </c>
      <c r="C789" t="s">
        <v>29</v>
      </c>
      <c r="D789" t="s">
        <v>2466</v>
      </c>
      <c r="E789" t="s">
        <v>24</v>
      </c>
      <c r="F789" t="s">
        <v>209</v>
      </c>
      <c r="G789" t="s">
        <v>1175</v>
      </c>
      <c r="H789" t="str">
        <f>TEXT(walmart[[#This Row],[Purchase_Date]],"DDD")</f>
        <v>Mon</v>
      </c>
      <c r="I789" t="str">
        <f>TEXT(walmart[[#This Row],[Purchase_Date]],"MMM")</f>
        <v>Jun</v>
      </c>
      <c r="J789" t="str">
        <f>TEXT(walmart[[#This Row],[Purchase_Date]],"YYY")</f>
        <v>2024</v>
      </c>
      <c r="K789" s="3">
        <v>775.75</v>
      </c>
      <c r="L789" t="str">
        <f t="shared" si="60"/>
        <v>15% off</v>
      </c>
      <c r="M789" s="3">
        <f t="shared" si="61"/>
        <v>116.3625</v>
      </c>
      <c r="N789" t="str">
        <f t="shared" si="62"/>
        <v>Yes</v>
      </c>
      <c r="O789" t="s">
        <v>34</v>
      </c>
      <c r="P789" s="3">
        <f t="shared" si="63"/>
        <v>659.38750000000005</v>
      </c>
      <c r="Q789" t="s">
        <v>22</v>
      </c>
      <c r="R789">
        <v>1</v>
      </c>
      <c r="S789" t="str">
        <f t="shared" si="64"/>
        <v>Very Poor</v>
      </c>
    </row>
    <row r="790" spans="1:19" x14ac:dyDescent="0.25">
      <c r="A790" t="s">
        <v>1176</v>
      </c>
      <c r="B790">
        <v>39</v>
      </c>
      <c r="C790" t="s">
        <v>29</v>
      </c>
      <c r="D790" t="s">
        <v>2467</v>
      </c>
      <c r="E790" t="s">
        <v>42</v>
      </c>
      <c r="F790" t="s">
        <v>103</v>
      </c>
      <c r="G790" t="s">
        <v>229</v>
      </c>
      <c r="H790" t="str">
        <f>TEXT(walmart[[#This Row],[Purchase_Date]],"DDD")</f>
        <v>Fri</v>
      </c>
      <c r="I790" t="str">
        <f>TEXT(walmart[[#This Row],[Purchase_Date]],"MMM")</f>
        <v>Sep</v>
      </c>
      <c r="J790" t="str">
        <f>TEXT(walmart[[#This Row],[Purchase_Date]],"YYY")</f>
        <v>2024</v>
      </c>
      <c r="K790" s="3">
        <v>315.56</v>
      </c>
      <c r="L790" t="str">
        <f t="shared" si="60"/>
        <v>5% off</v>
      </c>
      <c r="M790" s="3">
        <f t="shared" si="61"/>
        <v>15.778</v>
      </c>
      <c r="N790" t="str">
        <f t="shared" si="62"/>
        <v>Yes</v>
      </c>
      <c r="O790" t="s">
        <v>21</v>
      </c>
      <c r="P790" s="3">
        <f t="shared" si="63"/>
        <v>299.78199999999998</v>
      </c>
      <c r="Q790" t="s">
        <v>47</v>
      </c>
      <c r="R790">
        <v>2</v>
      </c>
      <c r="S790" t="str">
        <f t="shared" si="64"/>
        <v>Poor</v>
      </c>
    </row>
    <row r="791" spans="1:19" x14ac:dyDescent="0.25">
      <c r="A791" t="s">
        <v>1177</v>
      </c>
      <c r="B791">
        <v>25</v>
      </c>
      <c r="C791" t="s">
        <v>29</v>
      </c>
      <c r="D791" t="s">
        <v>2468</v>
      </c>
      <c r="E791" t="s">
        <v>24</v>
      </c>
      <c r="F791" t="s">
        <v>25</v>
      </c>
      <c r="G791" t="s">
        <v>151</v>
      </c>
      <c r="H791" t="str">
        <f>TEXT(walmart[[#This Row],[Purchase_Date]],"DDD")</f>
        <v>Mon</v>
      </c>
      <c r="I791" t="str">
        <f>TEXT(walmart[[#This Row],[Purchase_Date]],"MMM")</f>
        <v>May</v>
      </c>
      <c r="J791" t="str">
        <f>TEXT(walmart[[#This Row],[Purchase_Date]],"YYY")</f>
        <v>2024</v>
      </c>
      <c r="K791" s="3">
        <v>67.040000000000006</v>
      </c>
      <c r="L791" t="str">
        <f t="shared" si="60"/>
        <v>0% off</v>
      </c>
      <c r="M791" s="3">
        <f t="shared" si="61"/>
        <v>0</v>
      </c>
      <c r="N791" t="str">
        <f t="shared" si="62"/>
        <v>No</v>
      </c>
      <c r="O791" t="s">
        <v>21</v>
      </c>
      <c r="P791" s="3">
        <f t="shared" si="63"/>
        <v>67.040000000000006</v>
      </c>
      <c r="Q791" t="s">
        <v>47</v>
      </c>
      <c r="R791">
        <v>5</v>
      </c>
      <c r="S791" t="str">
        <f t="shared" si="64"/>
        <v>Excellent</v>
      </c>
    </row>
    <row r="792" spans="1:19" x14ac:dyDescent="0.25">
      <c r="A792" t="s">
        <v>1178</v>
      </c>
      <c r="B792">
        <v>51</v>
      </c>
      <c r="C792" t="s">
        <v>16</v>
      </c>
      <c r="D792" t="s">
        <v>2469</v>
      </c>
      <c r="E792" t="s">
        <v>73</v>
      </c>
      <c r="F792" t="s">
        <v>74</v>
      </c>
      <c r="G792" t="s">
        <v>409</v>
      </c>
      <c r="H792" t="str">
        <f>TEXT(walmart[[#This Row],[Purchase_Date]],"DDD")</f>
        <v>Wed</v>
      </c>
      <c r="I792" t="str">
        <f>TEXT(walmart[[#This Row],[Purchase_Date]],"MMM")</f>
        <v>Jul</v>
      </c>
      <c r="J792" t="str">
        <f>TEXT(walmart[[#This Row],[Purchase_Date]],"YYY")</f>
        <v>2024</v>
      </c>
      <c r="K792" s="3">
        <v>782.29</v>
      </c>
      <c r="L792" t="str">
        <f t="shared" si="60"/>
        <v>15% off</v>
      </c>
      <c r="M792" s="3">
        <f t="shared" si="61"/>
        <v>117.34349999999999</v>
      </c>
      <c r="N792" t="str">
        <f t="shared" si="62"/>
        <v>Yes</v>
      </c>
      <c r="O792" t="s">
        <v>21</v>
      </c>
      <c r="P792" s="3">
        <f t="shared" si="63"/>
        <v>664.94650000000001</v>
      </c>
      <c r="Q792" t="s">
        <v>47</v>
      </c>
      <c r="R792">
        <v>3</v>
      </c>
      <c r="S792" t="str">
        <f t="shared" si="64"/>
        <v>Average</v>
      </c>
    </row>
    <row r="793" spans="1:19" x14ac:dyDescent="0.25">
      <c r="A793" t="s">
        <v>1179</v>
      </c>
      <c r="B793">
        <v>26</v>
      </c>
      <c r="C793" t="s">
        <v>29</v>
      </c>
      <c r="D793" t="s">
        <v>2470</v>
      </c>
      <c r="E793" t="s">
        <v>42</v>
      </c>
      <c r="F793" t="s">
        <v>103</v>
      </c>
      <c r="G793" t="s">
        <v>289</v>
      </c>
      <c r="H793" t="str">
        <f>TEXT(walmart[[#This Row],[Purchase_Date]],"DDD")</f>
        <v>Sat</v>
      </c>
      <c r="I793" t="str">
        <f>TEXT(walmart[[#This Row],[Purchase_Date]],"MMM")</f>
        <v>Sep</v>
      </c>
      <c r="J793" t="str">
        <f>TEXT(walmart[[#This Row],[Purchase_Date]],"YYY")</f>
        <v>2024</v>
      </c>
      <c r="K793" s="3">
        <v>315.56</v>
      </c>
      <c r="L793" t="str">
        <f t="shared" si="60"/>
        <v>5% off</v>
      </c>
      <c r="M793" s="3">
        <f t="shared" si="61"/>
        <v>15.778</v>
      </c>
      <c r="N793" t="str">
        <f t="shared" si="62"/>
        <v>Yes</v>
      </c>
      <c r="O793" t="s">
        <v>21</v>
      </c>
      <c r="P793" s="3">
        <f t="shared" si="63"/>
        <v>299.78199999999998</v>
      </c>
      <c r="Q793" t="s">
        <v>27</v>
      </c>
      <c r="R793">
        <v>2</v>
      </c>
      <c r="S793" t="str">
        <f t="shared" si="64"/>
        <v>Poor</v>
      </c>
    </row>
    <row r="794" spans="1:19" x14ac:dyDescent="0.25">
      <c r="A794" t="s">
        <v>1180</v>
      </c>
      <c r="B794">
        <v>19</v>
      </c>
      <c r="C794" t="s">
        <v>16</v>
      </c>
      <c r="D794" t="s">
        <v>2471</v>
      </c>
      <c r="E794" t="s">
        <v>73</v>
      </c>
      <c r="F794" t="s">
        <v>94</v>
      </c>
      <c r="G794" t="s">
        <v>605</v>
      </c>
      <c r="H794" t="str">
        <f>TEXT(walmart[[#This Row],[Purchase_Date]],"DDD")</f>
        <v>Sun</v>
      </c>
      <c r="I794" t="str">
        <f>TEXT(walmart[[#This Row],[Purchase_Date]],"MMM")</f>
        <v>Mar</v>
      </c>
      <c r="J794" t="str">
        <f>TEXT(walmart[[#This Row],[Purchase_Date]],"YYY")</f>
        <v>2025</v>
      </c>
      <c r="K794" s="3">
        <v>965.09</v>
      </c>
      <c r="L794" t="str">
        <f t="shared" si="60"/>
        <v>20% off</v>
      </c>
      <c r="M794" s="3">
        <f t="shared" si="61"/>
        <v>193.01800000000003</v>
      </c>
      <c r="N794" t="str">
        <f t="shared" si="62"/>
        <v>Yes</v>
      </c>
      <c r="O794" t="s">
        <v>21</v>
      </c>
      <c r="P794" s="3">
        <f t="shared" si="63"/>
        <v>772.072</v>
      </c>
      <c r="Q794" t="s">
        <v>27</v>
      </c>
      <c r="R794">
        <v>2</v>
      </c>
      <c r="S794" t="str">
        <f t="shared" si="64"/>
        <v>Poor</v>
      </c>
    </row>
    <row r="795" spans="1:19" x14ac:dyDescent="0.25">
      <c r="A795" t="s">
        <v>1181</v>
      </c>
      <c r="B795">
        <v>27</v>
      </c>
      <c r="C795" t="s">
        <v>29</v>
      </c>
      <c r="D795" t="s">
        <v>2472</v>
      </c>
      <c r="E795" t="s">
        <v>31</v>
      </c>
      <c r="F795" t="s">
        <v>112</v>
      </c>
      <c r="G795" t="s">
        <v>145</v>
      </c>
      <c r="H795" t="str">
        <f>TEXT(walmart[[#This Row],[Purchase_Date]],"DDD")</f>
        <v>Mon</v>
      </c>
      <c r="I795" t="str">
        <f>TEXT(walmart[[#This Row],[Purchase_Date]],"MMM")</f>
        <v>Jun</v>
      </c>
      <c r="J795" t="str">
        <f>TEXT(walmart[[#This Row],[Purchase_Date]],"YYY")</f>
        <v>2024</v>
      </c>
      <c r="K795" s="3">
        <v>492.1</v>
      </c>
      <c r="L795" t="str">
        <f t="shared" si="60"/>
        <v>5% off</v>
      </c>
      <c r="M795" s="3">
        <f t="shared" si="61"/>
        <v>24.605000000000004</v>
      </c>
      <c r="N795" t="str">
        <f t="shared" si="62"/>
        <v>Yes</v>
      </c>
      <c r="O795" t="s">
        <v>34</v>
      </c>
      <c r="P795" s="3">
        <f t="shared" si="63"/>
        <v>467.495</v>
      </c>
      <c r="Q795" t="s">
        <v>35</v>
      </c>
      <c r="R795">
        <v>1</v>
      </c>
      <c r="S795" t="str">
        <f t="shared" si="64"/>
        <v>Very Poor</v>
      </c>
    </row>
    <row r="796" spans="1:19" x14ac:dyDescent="0.25">
      <c r="A796" t="s">
        <v>1182</v>
      </c>
      <c r="B796">
        <v>63</v>
      </c>
      <c r="C796" t="s">
        <v>29</v>
      </c>
      <c r="D796" t="s">
        <v>2473</v>
      </c>
      <c r="E796" t="s">
        <v>42</v>
      </c>
      <c r="F796" t="s">
        <v>120</v>
      </c>
      <c r="G796" t="s">
        <v>714</v>
      </c>
      <c r="H796" t="str">
        <f>TEXT(walmart[[#This Row],[Purchase_Date]],"DDD")</f>
        <v>Sun</v>
      </c>
      <c r="I796" t="str">
        <f>TEXT(walmart[[#This Row],[Purchase_Date]],"MMM")</f>
        <v>Jan</v>
      </c>
      <c r="J796" t="str">
        <f>TEXT(walmart[[#This Row],[Purchase_Date]],"YYY")</f>
        <v>2025</v>
      </c>
      <c r="K796" s="3">
        <v>260.77999999999997</v>
      </c>
      <c r="L796" t="str">
        <f t="shared" si="60"/>
        <v>5% off</v>
      </c>
      <c r="M796" s="3">
        <f t="shared" si="61"/>
        <v>13.039</v>
      </c>
      <c r="N796" t="str">
        <f t="shared" si="62"/>
        <v>Yes</v>
      </c>
      <c r="O796" t="s">
        <v>34</v>
      </c>
      <c r="P796" s="3">
        <f t="shared" si="63"/>
        <v>247.74099999999999</v>
      </c>
      <c r="Q796" t="s">
        <v>22</v>
      </c>
      <c r="R796">
        <v>4</v>
      </c>
      <c r="S796" t="str">
        <f t="shared" si="64"/>
        <v>Good</v>
      </c>
    </row>
    <row r="797" spans="1:19" x14ac:dyDescent="0.25">
      <c r="A797" t="s">
        <v>1183</v>
      </c>
      <c r="B797">
        <v>49</v>
      </c>
      <c r="C797" t="s">
        <v>16</v>
      </c>
      <c r="D797" t="s">
        <v>2474</v>
      </c>
      <c r="E797" t="s">
        <v>24</v>
      </c>
      <c r="F797" t="s">
        <v>209</v>
      </c>
      <c r="G797" t="s">
        <v>189</v>
      </c>
      <c r="H797" t="str">
        <f>TEXT(walmart[[#This Row],[Purchase_Date]],"DDD")</f>
        <v>Sat</v>
      </c>
      <c r="I797" t="str">
        <f>TEXT(walmart[[#This Row],[Purchase_Date]],"MMM")</f>
        <v>Jun</v>
      </c>
      <c r="J797" t="str">
        <f>TEXT(walmart[[#This Row],[Purchase_Date]],"YYY")</f>
        <v>2024</v>
      </c>
      <c r="K797" s="3">
        <v>775.75</v>
      </c>
      <c r="L797" t="str">
        <f t="shared" si="60"/>
        <v>15% off</v>
      </c>
      <c r="M797" s="3">
        <f t="shared" si="61"/>
        <v>116.3625</v>
      </c>
      <c r="N797" t="str">
        <f t="shared" si="62"/>
        <v>Yes</v>
      </c>
      <c r="O797" t="s">
        <v>34</v>
      </c>
      <c r="P797" s="3">
        <f t="shared" si="63"/>
        <v>659.38750000000005</v>
      </c>
      <c r="Q797" t="s">
        <v>35</v>
      </c>
      <c r="R797">
        <v>5</v>
      </c>
      <c r="S797" t="str">
        <f t="shared" si="64"/>
        <v>Excellent</v>
      </c>
    </row>
    <row r="798" spans="1:19" x14ac:dyDescent="0.25">
      <c r="A798" t="s">
        <v>1184</v>
      </c>
      <c r="B798">
        <v>38</v>
      </c>
      <c r="C798" t="s">
        <v>16</v>
      </c>
      <c r="D798" t="s">
        <v>2475</v>
      </c>
      <c r="E798" t="s">
        <v>55</v>
      </c>
      <c r="F798" t="s">
        <v>67</v>
      </c>
      <c r="G798" t="s">
        <v>106</v>
      </c>
      <c r="H798" t="str">
        <f>TEXT(walmart[[#This Row],[Purchase_Date]],"DDD")</f>
        <v>Sun</v>
      </c>
      <c r="I798" t="str">
        <f>TEXT(walmart[[#This Row],[Purchase_Date]],"MMM")</f>
        <v>Apr</v>
      </c>
      <c r="J798" t="str">
        <f>TEXT(walmart[[#This Row],[Purchase_Date]],"YYY")</f>
        <v>2024</v>
      </c>
      <c r="K798" s="3">
        <v>452.97</v>
      </c>
      <c r="L798" t="str">
        <f t="shared" si="60"/>
        <v>5% off</v>
      </c>
      <c r="M798" s="3">
        <f t="shared" si="61"/>
        <v>22.648500000000002</v>
      </c>
      <c r="N798" t="str">
        <f t="shared" si="62"/>
        <v>Yes</v>
      </c>
      <c r="O798" t="s">
        <v>34</v>
      </c>
      <c r="P798" s="3">
        <f t="shared" si="63"/>
        <v>430.32150000000001</v>
      </c>
      <c r="Q798" t="s">
        <v>22</v>
      </c>
      <c r="R798">
        <v>5</v>
      </c>
      <c r="S798" t="str">
        <f t="shared" si="64"/>
        <v>Excellent</v>
      </c>
    </row>
    <row r="799" spans="1:19" x14ac:dyDescent="0.25">
      <c r="A799" t="s">
        <v>1185</v>
      </c>
      <c r="B799">
        <v>42</v>
      </c>
      <c r="C799" t="s">
        <v>16</v>
      </c>
      <c r="D799" t="s">
        <v>2476</v>
      </c>
      <c r="E799" t="s">
        <v>37</v>
      </c>
      <c r="F799" t="s">
        <v>82</v>
      </c>
      <c r="G799" t="s">
        <v>712</v>
      </c>
      <c r="H799" t="str">
        <f>TEXT(walmart[[#This Row],[Purchase_Date]],"DDD")</f>
        <v>Thu</v>
      </c>
      <c r="I799" t="str">
        <f>TEXT(walmart[[#This Row],[Purchase_Date]],"MMM")</f>
        <v>May</v>
      </c>
      <c r="J799" t="str">
        <f>TEXT(walmart[[#This Row],[Purchase_Date]],"YYY")</f>
        <v>2024</v>
      </c>
      <c r="K799" s="3">
        <v>270.41000000000003</v>
      </c>
      <c r="L799" t="str">
        <f t="shared" si="60"/>
        <v>5% off</v>
      </c>
      <c r="M799" s="3">
        <f t="shared" si="61"/>
        <v>13.520500000000002</v>
      </c>
      <c r="N799" t="str">
        <f t="shared" si="62"/>
        <v>Yes</v>
      </c>
      <c r="O799" t="s">
        <v>21</v>
      </c>
      <c r="P799" s="3">
        <f t="shared" si="63"/>
        <v>256.8895</v>
      </c>
      <c r="Q799" t="s">
        <v>27</v>
      </c>
      <c r="R799">
        <v>4</v>
      </c>
      <c r="S799" t="str">
        <f t="shared" si="64"/>
        <v>Good</v>
      </c>
    </row>
    <row r="800" spans="1:19" x14ac:dyDescent="0.25">
      <c r="A800" t="s">
        <v>1186</v>
      </c>
      <c r="B800">
        <v>68</v>
      </c>
      <c r="C800" t="s">
        <v>16</v>
      </c>
      <c r="D800" t="s">
        <v>2477</v>
      </c>
      <c r="E800" t="s">
        <v>24</v>
      </c>
      <c r="F800" t="s">
        <v>25</v>
      </c>
      <c r="G800" t="s">
        <v>622</v>
      </c>
      <c r="H800" t="str">
        <f>TEXT(walmart[[#This Row],[Purchase_Date]],"DDD")</f>
        <v>Mon</v>
      </c>
      <c r="I800" t="str">
        <f>TEXT(walmart[[#This Row],[Purchase_Date]],"MMM")</f>
        <v>Dec</v>
      </c>
      <c r="J800" t="str">
        <f>TEXT(walmart[[#This Row],[Purchase_Date]],"YYY")</f>
        <v>2024</v>
      </c>
      <c r="K800" s="3">
        <v>67.040000000000006</v>
      </c>
      <c r="L800" t="str">
        <f t="shared" si="60"/>
        <v>0% off</v>
      </c>
      <c r="M800" s="3">
        <f t="shared" si="61"/>
        <v>0</v>
      </c>
      <c r="N800" t="str">
        <f t="shared" si="62"/>
        <v>No</v>
      </c>
      <c r="O800" t="s">
        <v>21</v>
      </c>
      <c r="P800" s="3">
        <f t="shared" si="63"/>
        <v>67.040000000000006</v>
      </c>
      <c r="Q800" t="s">
        <v>22</v>
      </c>
      <c r="R800">
        <v>4</v>
      </c>
      <c r="S800" t="str">
        <f t="shared" si="64"/>
        <v>Good</v>
      </c>
    </row>
    <row r="801" spans="1:19" x14ac:dyDescent="0.25">
      <c r="A801" t="s">
        <v>1187</v>
      </c>
      <c r="B801">
        <v>47</v>
      </c>
      <c r="C801" t="s">
        <v>16</v>
      </c>
      <c r="D801" t="s">
        <v>2478</v>
      </c>
      <c r="E801" t="s">
        <v>73</v>
      </c>
      <c r="F801" t="s">
        <v>91</v>
      </c>
      <c r="G801" t="s">
        <v>157</v>
      </c>
      <c r="H801" t="str">
        <f>TEXT(walmart[[#This Row],[Purchase_Date]],"DDD")</f>
        <v>Mon</v>
      </c>
      <c r="I801" t="str">
        <f>TEXT(walmart[[#This Row],[Purchase_Date]],"MMM")</f>
        <v>Jun</v>
      </c>
      <c r="J801" t="str">
        <f>TEXT(walmart[[#This Row],[Purchase_Date]],"YYY")</f>
        <v>2024</v>
      </c>
      <c r="K801" s="3">
        <v>418.55</v>
      </c>
      <c r="L801" t="str">
        <f t="shared" si="60"/>
        <v>5% off</v>
      </c>
      <c r="M801" s="3">
        <f t="shared" si="61"/>
        <v>20.927500000000002</v>
      </c>
      <c r="N801" t="str">
        <f t="shared" si="62"/>
        <v>Yes</v>
      </c>
      <c r="O801" t="s">
        <v>34</v>
      </c>
      <c r="P801" s="3">
        <f t="shared" si="63"/>
        <v>397.6225</v>
      </c>
      <c r="Q801" t="s">
        <v>35</v>
      </c>
      <c r="R801">
        <v>2</v>
      </c>
      <c r="S801" t="str">
        <f t="shared" si="64"/>
        <v>Poor</v>
      </c>
    </row>
    <row r="802" spans="1:19" x14ac:dyDescent="0.25">
      <c r="A802" t="s">
        <v>1188</v>
      </c>
      <c r="B802">
        <v>41</v>
      </c>
      <c r="C802" t="s">
        <v>16</v>
      </c>
      <c r="D802" t="s">
        <v>2479</v>
      </c>
      <c r="E802" t="s">
        <v>18</v>
      </c>
      <c r="F802" t="s">
        <v>77</v>
      </c>
      <c r="G802" t="s">
        <v>283</v>
      </c>
      <c r="H802" t="str">
        <f>TEXT(walmart[[#This Row],[Purchase_Date]],"DDD")</f>
        <v>Fri</v>
      </c>
      <c r="I802" t="str">
        <f>TEXT(walmart[[#This Row],[Purchase_Date]],"MMM")</f>
        <v>Jan</v>
      </c>
      <c r="J802" t="str">
        <f>TEXT(walmart[[#This Row],[Purchase_Date]],"YYY")</f>
        <v>2025</v>
      </c>
      <c r="K802" s="3">
        <v>116.78</v>
      </c>
      <c r="L802" t="str">
        <f t="shared" si="60"/>
        <v>0% off</v>
      </c>
      <c r="M802" s="3">
        <f t="shared" si="61"/>
        <v>0</v>
      </c>
      <c r="N802" t="str">
        <f t="shared" si="62"/>
        <v>No</v>
      </c>
      <c r="O802" t="s">
        <v>34</v>
      </c>
      <c r="P802" s="3">
        <f t="shared" si="63"/>
        <v>116.78</v>
      </c>
      <c r="Q802" t="s">
        <v>47</v>
      </c>
      <c r="R802">
        <v>3</v>
      </c>
      <c r="S802" t="str">
        <f t="shared" si="64"/>
        <v>Average</v>
      </c>
    </row>
    <row r="803" spans="1:19" x14ac:dyDescent="0.25">
      <c r="A803" t="s">
        <v>1189</v>
      </c>
      <c r="B803">
        <v>66</v>
      </c>
      <c r="C803" t="s">
        <v>29</v>
      </c>
      <c r="D803" t="s">
        <v>2480</v>
      </c>
      <c r="E803" t="s">
        <v>55</v>
      </c>
      <c r="F803" t="s">
        <v>64</v>
      </c>
      <c r="G803" t="s">
        <v>605</v>
      </c>
      <c r="H803" t="str">
        <f>TEXT(walmart[[#This Row],[Purchase_Date]],"DDD")</f>
        <v>Sun</v>
      </c>
      <c r="I803" t="str">
        <f>TEXT(walmart[[#This Row],[Purchase_Date]],"MMM")</f>
        <v>Mar</v>
      </c>
      <c r="J803" t="str">
        <f>TEXT(walmart[[#This Row],[Purchase_Date]],"YYY")</f>
        <v>2025</v>
      </c>
      <c r="K803" s="3">
        <v>374.92</v>
      </c>
      <c r="L803" t="str">
        <f t="shared" si="60"/>
        <v>5% off</v>
      </c>
      <c r="M803" s="3">
        <f t="shared" si="61"/>
        <v>18.746000000000002</v>
      </c>
      <c r="N803" t="str">
        <f t="shared" si="62"/>
        <v>Yes</v>
      </c>
      <c r="O803" t="s">
        <v>34</v>
      </c>
      <c r="P803" s="3">
        <f t="shared" si="63"/>
        <v>356.17400000000004</v>
      </c>
      <c r="Q803" t="s">
        <v>35</v>
      </c>
      <c r="R803">
        <v>2</v>
      </c>
      <c r="S803" t="str">
        <f t="shared" si="64"/>
        <v>Poor</v>
      </c>
    </row>
    <row r="804" spans="1:19" x14ac:dyDescent="0.25">
      <c r="A804" t="s">
        <v>1190</v>
      </c>
      <c r="B804">
        <v>70</v>
      </c>
      <c r="C804" t="s">
        <v>16</v>
      </c>
      <c r="D804" t="s">
        <v>2481</v>
      </c>
      <c r="E804" t="s">
        <v>55</v>
      </c>
      <c r="F804" t="s">
        <v>64</v>
      </c>
      <c r="G804" t="s">
        <v>329</v>
      </c>
      <c r="H804" t="str">
        <f>TEXT(walmart[[#This Row],[Purchase_Date]],"DDD")</f>
        <v>Fri</v>
      </c>
      <c r="I804" t="str">
        <f>TEXT(walmart[[#This Row],[Purchase_Date]],"MMM")</f>
        <v>Jan</v>
      </c>
      <c r="J804" t="str">
        <f>TEXT(walmart[[#This Row],[Purchase_Date]],"YYY")</f>
        <v>2025</v>
      </c>
      <c r="K804" s="3">
        <v>374.92</v>
      </c>
      <c r="L804" t="str">
        <f t="shared" si="60"/>
        <v>5% off</v>
      </c>
      <c r="M804" s="3">
        <f t="shared" si="61"/>
        <v>18.746000000000002</v>
      </c>
      <c r="N804" t="str">
        <f t="shared" si="62"/>
        <v>Yes</v>
      </c>
      <c r="O804" t="s">
        <v>21</v>
      </c>
      <c r="P804" s="3">
        <f t="shared" si="63"/>
        <v>356.17400000000004</v>
      </c>
      <c r="Q804" t="s">
        <v>47</v>
      </c>
      <c r="R804">
        <v>2</v>
      </c>
      <c r="S804" t="str">
        <f t="shared" si="64"/>
        <v>Poor</v>
      </c>
    </row>
    <row r="805" spans="1:19" x14ac:dyDescent="0.25">
      <c r="A805" t="s">
        <v>1191</v>
      </c>
      <c r="B805">
        <v>28</v>
      </c>
      <c r="C805" t="s">
        <v>16</v>
      </c>
      <c r="D805" t="s">
        <v>2482</v>
      </c>
      <c r="E805" t="s">
        <v>42</v>
      </c>
      <c r="F805" t="s">
        <v>103</v>
      </c>
      <c r="G805" t="s">
        <v>708</v>
      </c>
      <c r="H805" t="str">
        <f>TEXT(walmart[[#This Row],[Purchase_Date]],"DDD")</f>
        <v>Mon</v>
      </c>
      <c r="I805" t="str">
        <f>TEXT(walmart[[#This Row],[Purchase_Date]],"MMM")</f>
        <v>Feb</v>
      </c>
      <c r="J805" t="str">
        <f>TEXT(walmart[[#This Row],[Purchase_Date]],"YYY")</f>
        <v>2025</v>
      </c>
      <c r="K805" s="3">
        <v>315.56</v>
      </c>
      <c r="L805" t="str">
        <f t="shared" si="60"/>
        <v>5% off</v>
      </c>
      <c r="M805" s="3">
        <f t="shared" si="61"/>
        <v>15.778</v>
      </c>
      <c r="N805" t="str">
        <f t="shared" si="62"/>
        <v>Yes</v>
      </c>
      <c r="O805" t="s">
        <v>21</v>
      </c>
      <c r="P805" s="3">
        <f t="shared" si="63"/>
        <v>299.78199999999998</v>
      </c>
      <c r="Q805" t="s">
        <v>27</v>
      </c>
      <c r="R805">
        <v>3</v>
      </c>
      <c r="S805" t="str">
        <f t="shared" si="64"/>
        <v>Average</v>
      </c>
    </row>
    <row r="806" spans="1:19" x14ac:dyDescent="0.25">
      <c r="A806" t="s">
        <v>1192</v>
      </c>
      <c r="B806">
        <v>36</v>
      </c>
      <c r="C806" t="s">
        <v>16</v>
      </c>
      <c r="D806" t="s">
        <v>2462</v>
      </c>
      <c r="E806" t="s">
        <v>73</v>
      </c>
      <c r="F806" t="s">
        <v>74</v>
      </c>
      <c r="G806" t="s">
        <v>950</v>
      </c>
      <c r="H806" t="str">
        <f>TEXT(walmart[[#This Row],[Purchase_Date]],"DDD")</f>
        <v>Tue</v>
      </c>
      <c r="I806" t="str">
        <f>TEXT(walmart[[#This Row],[Purchase_Date]],"MMM")</f>
        <v>May</v>
      </c>
      <c r="J806" t="str">
        <f>TEXT(walmart[[#This Row],[Purchase_Date]],"YYY")</f>
        <v>2024</v>
      </c>
      <c r="K806" s="3">
        <v>782.29</v>
      </c>
      <c r="L806" t="str">
        <f t="shared" si="60"/>
        <v>15% off</v>
      </c>
      <c r="M806" s="3">
        <f t="shared" si="61"/>
        <v>117.34349999999999</v>
      </c>
      <c r="N806" t="str">
        <f t="shared" si="62"/>
        <v>Yes</v>
      </c>
      <c r="O806" t="s">
        <v>21</v>
      </c>
      <c r="P806" s="3">
        <f t="shared" si="63"/>
        <v>664.94650000000001</v>
      </c>
      <c r="Q806" t="s">
        <v>22</v>
      </c>
      <c r="R806">
        <v>1</v>
      </c>
      <c r="S806" t="str">
        <f t="shared" si="64"/>
        <v>Very Poor</v>
      </c>
    </row>
    <row r="807" spans="1:19" x14ac:dyDescent="0.25">
      <c r="A807" t="s">
        <v>1193</v>
      </c>
      <c r="B807">
        <v>36</v>
      </c>
      <c r="C807" t="s">
        <v>16</v>
      </c>
      <c r="D807" t="s">
        <v>2483</v>
      </c>
      <c r="E807" t="s">
        <v>42</v>
      </c>
      <c r="F807" t="s">
        <v>120</v>
      </c>
      <c r="G807" t="s">
        <v>53</v>
      </c>
      <c r="H807" t="str">
        <f>TEXT(walmart[[#This Row],[Purchase_Date]],"DDD")</f>
        <v>Sat</v>
      </c>
      <c r="I807" t="str">
        <f>TEXT(walmart[[#This Row],[Purchase_Date]],"MMM")</f>
        <v>Mar</v>
      </c>
      <c r="J807" t="str">
        <f>TEXT(walmart[[#This Row],[Purchase_Date]],"YYY")</f>
        <v>2025</v>
      </c>
      <c r="K807" s="3">
        <v>260.77999999999997</v>
      </c>
      <c r="L807" t="str">
        <f t="shared" si="60"/>
        <v>5% off</v>
      </c>
      <c r="M807" s="3">
        <f t="shared" si="61"/>
        <v>13.039</v>
      </c>
      <c r="N807" t="str">
        <f t="shared" si="62"/>
        <v>Yes</v>
      </c>
      <c r="O807" t="s">
        <v>21</v>
      </c>
      <c r="P807" s="3">
        <f t="shared" si="63"/>
        <v>247.74099999999999</v>
      </c>
      <c r="Q807" t="s">
        <v>35</v>
      </c>
      <c r="R807">
        <v>3</v>
      </c>
      <c r="S807" t="str">
        <f t="shared" si="64"/>
        <v>Average</v>
      </c>
    </row>
    <row r="808" spans="1:19" x14ac:dyDescent="0.25">
      <c r="A808" t="s">
        <v>1194</v>
      </c>
      <c r="B808">
        <v>66</v>
      </c>
      <c r="C808" t="s">
        <v>16</v>
      </c>
      <c r="D808" t="s">
        <v>2484</v>
      </c>
      <c r="E808" t="s">
        <v>18</v>
      </c>
      <c r="F808" t="s">
        <v>142</v>
      </c>
      <c r="G808" t="s">
        <v>550</v>
      </c>
      <c r="H808" t="str">
        <f>TEXT(walmart[[#This Row],[Purchase_Date]],"DDD")</f>
        <v>Sun</v>
      </c>
      <c r="I808" t="str">
        <f>TEXT(walmart[[#This Row],[Purchase_Date]],"MMM")</f>
        <v>May</v>
      </c>
      <c r="J808" t="str">
        <f>TEXT(walmart[[#This Row],[Purchase_Date]],"YYY")</f>
        <v>2024</v>
      </c>
      <c r="K808" s="3">
        <v>485.26</v>
      </c>
      <c r="L808" t="str">
        <f t="shared" si="60"/>
        <v>5% off</v>
      </c>
      <c r="M808" s="3">
        <f t="shared" si="61"/>
        <v>24.263000000000002</v>
      </c>
      <c r="N808" t="str">
        <f t="shared" si="62"/>
        <v>Yes</v>
      </c>
      <c r="O808" t="s">
        <v>21</v>
      </c>
      <c r="P808" s="3">
        <f t="shared" si="63"/>
        <v>460.99700000000001</v>
      </c>
      <c r="Q808" t="s">
        <v>27</v>
      </c>
      <c r="R808">
        <v>4</v>
      </c>
      <c r="S808" t="str">
        <f t="shared" si="64"/>
        <v>Good</v>
      </c>
    </row>
    <row r="809" spans="1:19" x14ac:dyDescent="0.25">
      <c r="A809" t="s">
        <v>1195</v>
      </c>
      <c r="B809">
        <v>53</v>
      </c>
      <c r="C809" t="s">
        <v>29</v>
      </c>
      <c r="D809" t="s">
        <v>2485</v>
      </c>
      <c r="E809" t="s">
        <v>24</v>
      </c>
      <c r="F809" t="s">
        <v>209</v>
      </c>
      <c r="G809" t="s">
        <v>794</v>
      </c>
      <c r="H809" t="str">
        <f>TEXT(walmart[[#This Row],[Purchase_Date]],"DDD")</f>
        <v>Wed</v>
      </c>
      <c r="I809" t="str">
        <f>TEXT(walmart[[#This Row],[Purchase_Date]],"MMM")</f>
        <v>Jan</v>
      </c>
      <c r="J809" t="str">
        <f>TEXT(walmart[[#This Row],[Purchase_Date]],"YYY")</f>
        <v>2025</v>
      </c>
      <c r="K809" s="3">
        <v>775.75</v>
      </c>
      <c r="L809" t="str">
        <f t="shared" si="60"/>
        <v>15% off</v>
      </c>
      <c r="M809" s="3">
        <f t="shared" si="61"/>
        <v>116.3625</v>
      </c>
      <c r="N809" t="str">
        <f t="shared" si="62"/>
        <v>Yes</v>
      </c>
      <c r="O809" t="s">
        <v>34</v>
      </c>
      <c r="P809" s="3">
        <f t="shared" si="63"/>
        <v>659.38750000000005</v>
      </c>
      <c r="Q809" t="s">
        <v>47</v>
      </c>
      <c r="R809">
        <v>3</v>
      </c>
      <c r="S809" t="str">
        <f t="shared" si="64"/>
        <v>Average</v>
      </c>
    </row>
    <row r="810" spans="1:19" x14ac:dyDescent="0.25">
      <c r="A810" t="s">
        <v>1196</v>
      </c>
      <c r="B810">
        <v>30</v>
      </c>
      <c r="C810" t="s">
        <v>16</v>
      </c>
      <c r="D810" t="s">
        <v>2486</v>
      </c>
      <c r="E810" t="s">
        <v>55</v>
      </c>
      <c r="F810" t="s">
        <v>100</v>
      </c>
      <c r="G810" t="s">
        <v>289</v>
      </c>
      <c r="H810" t="str">
        <f>TEXT(walmart[[#This Row],[Purchase_Date]],"DDD")</f>
        <v>Sat</v>
      </c>
      <c r="I810" t="str">
        <f>TEXT(walmart[[#This Row],[Purchase_Date]],"MMM")</f>
        <v>Sep</v>
      </c>
      <c r="J810" t="str">
        <f>TEXT(walmart[[#This Row],[Purchase_Date]],"YYY")</f>
        <v>2024</v>
      </c>
      <c r="K810" s="3">
        <v>592.26</v>
      </c>
      <c r="L810" t="str">
        <f t="shared" si="60"/>
        <v>10% off</v>
      </c>
      <c r="M810" s="3">
        <f t="shared" si="61"/>
        <v>59.225999999999999</v>
      </c>
      <c r="N810" t="str">
        <f t="shared" si="62"/>
        <v>Yes</v>
      </c>
      <c r="O810" t="s">
        <v>21</v>
      </c>
      <c r="P810" s="3">
        <f t="shared" si="63"/>
        <v>533.03399999999999</v>
      </c>
      <c r="Q810" t="s">
        <v>35</v>
      </c>
      <c r="R810">
        <v>1</v>
      </c>
      <c r="S810" t="str">
        <f t="shared" si="64"/>
        <v>Very Poor</v>
      </c>
    </row>
    <row r="811" spans="1:19" x14ac:dyDescent="0.25">
      <c r="A811" t="s">
        <v>1197</v>
      </c>
      <c r="B811">
        <v>68</v>
      </c>
      <c r="C811" t="s">
        <v>16</v>
      </c>
      <c r="D811" t="s">
        <v>2487</v>
      </c>
      <c r="E811" t="s">
        <v>24</v>
      </c>
      <c r="F811" t="s">
        <v>186</v>
      </c>
      <c r="G811" t="s">
        <v>502</v>
      </c>
      <c r="H811" t="str">
        <f>TEXT(walmart[[#This Row],[Purchase_Date]],"DDD")</f>
        <v>Thu</v>
      </c>
      <c r="I811" t="str">
        <f>TEXT(walmart[[#This Row],[Purchase_Date]],"MMM")</f>
        <v>Jul</v>
      </c>
      <c r="J811" t="str">
        <f>TEXT(walmart[[#This Row],[Purchase_Date]],"YYY")</f>
        <v>2024</v>
      </c>
      <c r="K811" s="3">
        <v>527.16999999999996</v>
      </c>
      <c r="L811" t="str">
        <f t="shared" si="60"/>
        <v>10% off</v>
      </c>
      <c r="M811" s="3">
        <f t="shared" si="61"/>
        <v>52.716999999999999</v>
      </c>
      <c r="N811" t="str">
        <f t="shared" si="62"/>
        <v>Yes</v>
      </c>
      <c r="O811" t="s">
        <v>21</v>
      </c>
      <c r="P811" s="3">
        <f t="shared" si="63"/>
        <v>474.45299999999997</v>
      </c>
      <c r="Q811" t="s">
        <v>22</v>
      </c>
      <c r="R811">
        <v>3</v>
      </c>
      <c r="S811" t="str">
        <f t="shared" si="64"/>
        <v>Average</v>
      </c>
    </row>
    <row r="812" spans="1:19" x14ac:dyDescent="0.25">
      <c r="A812" t="s">
        <v>1198</v>
      </c>
      <c r="B812">
        <v>32</v>
      </c>
      <c r="C812" t="s">
        <v>29</v>
      </c>
      <c r="D812" t="s">
        <v>2488</v>
      </c>
      <c r="E812" t="s">
        <v>73</v>
      </c>
      <c r="F812" t="s">
        <v>91</v>
      </c>
      <c r="G812" t="s">
        <v>439</v>
      </c>
      <c r="H812" t="str">
        <f>TEXT(walmart[[#This Row],[Purchase_Date]],"DDD")</f>
        <v>Sat</v>
      </c>
      <c r="I812" t="str">
        <f>TEXT(walmart[[#This Row],[Purchase_Date]],"MMM")</f>
        <v>Aug</v>
      </c>
      <c r="J812" t="str">
        <f>TEXT(walmart[[#This Row],[Purchase_Date]],"YYY")</f>
        <v>2024</v>
      </c>
      <c r="K812" s="3">
        <v>418.55</v>
      </c>
      <c r="L812" t="str">
        <f t="shared" si="60"/>
        <v>5% off</v>
      </c>
      <c r="M812" s="3">
        <f t="shared" si="61"/>
        <v>20.927500000000002</v>
      </c>
      <c r="N812" t="str">
        <f t="shared" si="62"/>
        <v>Yes</v>
      </c>
      <c r="O812" t="s">
        <v>21</v>
      </c>
      <c r="P812" s="3">
        <f t="shared" si="63"/>
        <v>397.6225</v>
      </c>
      <c r="Q812" t="s">
        <v>47</v>
      </c>
      <c r="R812">
        <v>2</v>
      </c>
      <c r="S812" t="str">
        <f t="shared" si="64"/>
        <v>Poor</v>
      </c>
    </row>
    <row r="813" spans="1:19" x14ac:dyDescent="0.25">
      <c r="A813" t="s">
        <v>1199</v>
      </c>
      <c r="B813">
        <v>39</v>
      </c>
      <c r="C813" t="s">
        <v>16</v>
      </c>
      <c r="D813" t="s">
        <v>2489</v>
      </c>
      <c r="E813" t="s">
        <v>73</v>
      </c>
      <c r="F813" t="s">
        <v>74</v>
      </c>
      <c r="G813" t="s">
        <v>242</v>
      </c>
      <c r="H813" t="str">
        <f>TEXT(walmart[[#This Row],[Purchase_Date]],"DDD")</f>
        <v>Fri</v>
      </c>
      <c r="I813" t="str">
        <f>TEXT(walmart[[#This Row],[Purchase_Date]],"MMM")</f>
        <v>Nov</v>
      </c>
      <c r="J813" t="str">
        <f>TEXT(walmart[[#This Row],[Purchase_Date]],"YYY")</f>
        <v>2024</v>
      </c>
      <c r="K813" s="3">
        <v>782.29</v>
      </c>
      <c r="L813" t="str">
        <f t="shared" si="60"/>
        <v>15% off</v>
      </c>
      <c r="M813" s="3">
        <f t="shared" si="61"/>
        <v>117.34349999999999</v>
      </c>
      <c r="N813" t="str">
        <f t="shared" si="62"/>
        <v>Yes</v>
      </c>
      <c r="O813" t="s">
        <v>21</v>
      </c>
      <c r="P813" s="3">
        <f t="shared" si="63"/>
        <v>664.94650000000001</v>
      </c>
      <c r="Q813" t="s">
        <v>22</v>
      </c>
      <c r="R813">
        <v>4</v>
      </c>
      <c r="S813" t="str">
        <f t="shared" si="64"/>
        <v>Good</v>
      </c>
    </row>
    <row r="814" spans="1:19" x14ac:dyDescent="0.25">
      <c r="A814" t="s">
        <v>1200</v>
      </c>
      <c r="B814">
        <v>37</v>
      </c>
      <c r="C814" t="s">
        <v>16</v>
      </c>
      <c r="D814" t="s">
        <v>2490</v>
      </c>
      <c r="E814" t="s">
        <v>55</v>
      </c>
      <c r="F814" t="s">
        <v>64</v>
      </c>
      <c r="G814" t="s">
        <v>510</v>
      </c>
      <c r="H814" t="str">
        <f>TEXT(walmart[[#This Row],[Purchase_Date]],"DDD")</f>
        <v>Tue</v>
      </c>
      <c r="I814" t="str">
        <f>TEXT(walmart[[#This Row],[Purchase_Date]],"MMM")</f>
        <v>Feb</v>
      </c>
      <c r="J814" t="str">
        <f>TEXT(walmart[[#This Row],[Purchase_Date]],"YYY")</f>
        <v>2025</v>
      </c>
      <c r="K814" s="3">
        <v>374.92</v>
      </c>
      <c r="L814" t="str">
        <f t="shared" si="60"/>
        <v>5% off</v>
      </c>
      <c r="M814" s="3">
        <f t="shared" si="61"/>
        <v>18.746000000000002</v>
      </c>
      <c r="N814" t="str">
        <f t="shared" si="62"/>
        <v>Yes</v>
      </c>
      <c r="O814" t="s">
        <v>34</v>
      </c>
      <c r="P814" s="3">
        <f t="shared" si="63"/>
        <v>356.17400000000004</v>
      </c>
      <c r="Q814" t="s">
        <v>35</v>
      </c>
      <c r="R814">
        <v>1</v>
      </c>
      <c r="S814" t="str">
        <f t="shared" si="64"/>
        <v>Very Poor</v>
      </c>
    </row>
    <row r="815" spans="1:19" x14ac:dyDescent="0.25">
      <c r="A815" t="s">
        <v>1201</v>
      </c>
      <c r="B815">
        <v>42</v>
      </c>
      <c r="C815" t="s">
        <v>29</v>
      </c>
      <c r="D815" t="s">
        <v>2471</v>
      </c>
      <c r="E815" t="s">
        <v>37</v>
      </c>
      <c r="F815" t="s">
        <v>117</v>
      </c>
      <c r="G815" t="s">
        <v>319</v>
      </c>
      <c r="H815" t="str">
        <f>TEXT(walmart[[#This Row],[Purchase_Date]],"DDD")</f>
        <v>Tue</v>
      </c>
      <c r="I815" t="str">
        <f>TEXT(walmart[[#This Row],[Purchase_Date]],"MMM")</f>
        <v>May</v>
      </c>
      <c r="J815" t="str">
        <f>TEXT(walmart[[#This Row],[Purchase_Date]],"YYY")</f>
        <v>2024</v>
      </c>
      <c r="K815" s="3">
        <v>165.68</v>
      </c>
      <c r="L815" t="str">
        <f t="shared" si="60"/>
        <v>5% off</v>
      </c>
      <c r="M815" s="3">
        <f t="shared" si="61"/>
        <v>8.2840000000000007</v>
      </c>
      <c r="N815" t="str">
        <f t="shared" si="62"/>
        <v>Yes</v>
      </c>
      <c r="O815" t="s">
        <v>34</v>
      </c>
      <c r="P815" s="3">
        <f t="shared" si="63"/>
        <v>157.39600000000002</v>
      </c>
      <c r="Q815" t="s">
        <v>22</v>
      </c>
      <c r="R815">
        <v>1</v>
      </c>
      <c r="S815" t="str">
        <f t="shared" si="64"/>
        <v>Very Poor</v>
      </c>
    </row>
    <row r="816" spans="1:19" x14ac:dyDescent="0.25">
      <c r="A816" t="s">
        <v>1202</v>
      </c>
      <c r="B816">
        <v>66</v>
      </c>
      <c r="C816" t="s">
        <v>29</v>
      </c>
      <c r="D816" t="s">
        <v>2491</v>
      </c>
      <c r="E816" t="s">
        <v>18</v>
      </c>
      <c r="F816" t="s">
        <v>77</v>
      </c>
      <c r="G816" t="s">
        <v>1203</v>
      </c>
      <c r="H816" t="str">
        <f>TEXT(walmart[[#This Row],[Purchase_Date]],"DDD")</f>
        <v>Mon</v>
      </c>
      <c r="I816" t="str">
        <f>TEXT(walmart[[#This Row],[Purchase_Date]],"MMM")</f>
        <v>Jul</v>
      </c>
      <c r="J816" t="str">
        <f>TEXT(walmart[[#This Row],[Purchase_Date]],"YYY")</f>
        <v>2024</v>
      </c>
      <c r="K816" s="3">
        <v>116.78</v>
      </c>
      <c r="L816" t="str">
        <f t="shared" si="60"/>
        <v>0% off</v>
      </c>
      <c r="M816" s="3">
        <f t="shared" si="61"/>
        <v>0</v>
      </c>
      <c r="N816" t="str">
        <f t="shared" si="62"/>
        <v>No</v>
      </c>
      <c r="O816" t="s">
        <v>21</v>
      </c>
      <c r="P816" s="3">
        <f t="shared" si="63"/>
        <v>116.78</v>
      </c>
      <c r="Q816" t="s">
        <v>35</v>
      </c>
      <c r="R816">
        <v>4</v>
      </c>
      <c r="S816" t="str">
        <f t="shared" si="64"/>
        <v>Good</v>
      </c>
    </row>
    <row r="817" spans="1:19" x14ac:dyDescent="0.25">
      <c r="A817" t="s">
        <v>1204</v>
      </c>
      <c r="B817">
        <v>57</v>
      </c>
      <c r="C817" t="s">
        <v>16</v>
      </c>
      <c r="D817" t="s">
        <v>2492</v>
      </c>
      <c r="E817" t="s">
        <v>73</v>
      </c>
      <c r="F817" t="s">
        <v>94</v>
      </c>
      <c r="G817" t="s">
        <v>449</v>
      </c>
      <c r="H817" t="str">
        <f>TEXT(walmart[[#This Row],[Purchase_Date]],"DDD")</f>
        <v>Tue</v>
      </c>
      <c r="I817" t="str">
        <f>TEXT(walmart[[#This Row],[Purchase_Date]],"MMM")</f>
        <v>Aug</v>
      </c>
      <c r="J817" t="str">
        <f>TEXT(walmart[[#This Row],[Purchase_Date]],"YYY")</f>
        <v>2024</v>
      </c>
      <c r="K817" s="3">
        <v>965.09</v>
      </c>
      <c r="L817" t="str">
        <f t="shared" si="60"/>
        <v>20% off</v>
      </c>
      <c r="M817" s="3">
        <f t="shared" si="61"/>
        <v>193.01800000000003</v>
      </c>
      <c r="N817" t="str">
        <f t="shared" si="62"/>
        <v>Yes</v>
      </c>
      <c r="O817" t="s">
        <v>34</v>
      </c>
      <c r="P817" s="3">
        <f t="shared" si="63"/>
        <v>772.072</v>
      </c>
      <c r="Q817" t="s">
        <v>47</v>
      </c>
      <c r="R817">
        <v>3</v>
      </c>
      <c r="S817" t="str">
        <f t="shared" si="64"/>
        <v>Average</v>
      </c>
    </row>
    <row r="818" spans="1:19" x14ac:dyDescent="0.25">
      <c r="A818" t="s">
        <v>1205</v>
      </c>
      <c r="B818">
        <v>26</v>
      </c>
      <c r="C818" t="s">
        <v>29</v>
      </c>
      <c r="D818" t="s">
        <v>2493</v>
      </c>
      <c r="E818" t="s">
        <v>18</v>
      </c>
      <c r="F818" t="s">
        <v>77</v>
      </c>
      <c r="G818" t="s">
        <v>553</v>
      </c>
      <c r="H818" t="str">
        <f>TEXT(walmart[[#This Row],[Purchase_Date]],"DDD")</f>
        <v>Thu</v>
      </c>
      <c r="I818" t="str">
        <f>TEXT(walmart[[#This Row],[Purchase_Date]],"MMM")</f>
        <v>Jan</v>
      </c>
      <c r="J818" t="str">
        <f>TEXT(walmart[[#This Row],[Purchase_Date]],"YYY")</f>
        <v>2025</v>
      </c>
      <c r="K818" s="3">
        <v>116.78</v>
      </c>
      <c r="L818" t="str">
        <f t="shared" si="60"/>
        <v>0% off</v>
      </c>
      <c r="M818" s="3">
        <f t="shared" si="61"/>
        <v>0</v>
      </c>
      <c r="N818" t="str">
        <f t="shared" si="62"/>
        <v>No</v>
      </c>
      <c r="O818" t="s">
        <v>21</v>
      </c>
      <c r="P818" s="3">
        <f t="shared" si="63"/>
        <v>116.78</v>
      </c>
      <c r="Q818" t="s">
        <v>47</v>
      </c>
      <c r="R818">
        <v>3</v>
      </c>
      <c r="S818" t="str">
        <f t="shared" si="64"/>
        <v>Average</v>
      </c>
    </row>
    <row r="819" spans="1:19" x14ac:dyDescent="0.25">
      <c r="A819" t="s">
        <v>1206</v>
      </c>
      <c r="B819">
        <v>28</v>
      </c>
      <c r="C819" t="s">
        <v>16</v>
      </c>
      <c r="D819" t="s">
        <v>2494</v>
      </c>
      <c r="E819" t="s">
        <v>18</v>
      </c>
      <c r="F819" t="s">
        <v>142</v>
      </c>
      <c r="G819" t="s">
        <v>355</v>
      </c>
      <c r="H819" t="str">
        <f>TEXT(walmart[[#This Row],[Purchase_Date]],"DDD")</f>
        <v>Fri</v>
      </c>
      <c r="I819" t="str">
        <f>TEXT(walmart[[#This Row],[Purchase_Date]],"MMM")</f>
        <v>Nov</v>
      </c>
      <c r="J819" t="str">
        <f>TEXT(walmart[[#This Row],[Purchase_Date]],"YYY")</f>
        <v>2024</v>
      </c>
      <c r="K819" s="3">
        <v>485.26</v>
      </c>
      <c r="L819" t="str">
        <f t="shared" si="60"/>
        <v>5% off</v>
      </c>
      <c r="M819" s="3">
        <f t="shared" si="61"/>
        <v>24.263000000000002</v>
      </c>
      <c r="N819" t="str">
        <f t="shared" si="62"/>
        <v>Yes</v>
      </c>
      <c r="O819" t="s">
        <v>21</v>
      </c>
      <c r="P819" s="3">
        <f t="shared" si="63"/>
        <v>460.99700000000001</v>
      </c>
      <c r="Q819" t="s">
        <v>27</v>
      </c>
      <c r="R819">
        <v>3</v>
      </c>
      <c r="S819" t="str">
        <f t="shared" si="64"/>
        <v>Average</v>
      </c>
    </row>
    <row r="820" spans="1:19" x14ac:dyDescent="0.25">
      <c r="A820" t="s">
        <v>1207</v>
      </c>
      <c r="B820">
        <v>40</v>
      </c>
      <c r="C820" t="s">
        <v>29</v>
      </c>
      <c r="D820" t="s">
        <v>2495</v>
      </c>
      <c r="E820" t="s">
        <v>24</v>
      </c>
      <c r="F820" t="s">
        <v>209</v>
      </c>
      <c r="G820" t="s">
        <v>201</v>
      </c>
      <c r="H820" t="str">
        <f>TEXT(walmart[[#This Row],[Purchase_Date]],"DDD")</f>
        <v>Sat</v>
      </c>
      <c r="I820" t="str">
        <f>TEXT(walmart[[#This Row],[Purchase_Date]],"MMM")</f>
        <v>Aug</v>
      </c>
      <c r="J820" t="str">
        <f>TEXT(walmart[[#This Row],[Purchase_Date]],"YYY")</f>
        <v>2024</v>
      </c>
      <c r="K820" s="3">
        <v>775.75</v>
      </c>
      <c r="L820" t="str">
        <f t="shared" si="60"/>
        <v>15% off</v>
      </c>
      <c r="M820" s="3">
        <f t="shared" si="61"/>
        <v>116.3625</v>
      </c>
      <c r="N820" t="str">
        <f t="shared" si="62"/>
        <v>Yes</v>
      </c>
      <c r="O820" t="s">
        <v>34</v>
      </c>
      <c r="P820" s="3">
        <f t="shared" si="63"/>
        <v>659.38750000000005</v>
      </c>
      <c r="Q820" t="s">
        <v>47</v>
      </c>
      <c r="R820">
        <v>1</v>
      </c>
      <c r="S820" t="str">
        <f t="shared" si="64"/>
        <v>Very Poor</v>
      </c>
    </row>
    <row r="821" spans="1:19" x14ac:dyDescent="0.25">
      <c r="A821" t="s">
        <v>1208</v>
      </c>
      <c r="B821">
        <v>65</v>
      </c>
      <c r="C821" t="s">
        <v>29</v>
      </c>
      <c r="D821" t="s">
        <v>2496</v>
      </c>
      <c r="E821" t="s">
        <v>73</v>
      </c>
      <c r="F821" t="s">
        <v>138</v>
      </c>
      <c r="G821" t="s">
        <v>590</v>
      </c>
      <c r="H821" t="str">
        <f>TEXT(walmart[[#This Row],[Purchase_Date]],"DDD")</f>
        <v>Sun</v>
      </c>
      <c r="I821" t="str">
        <f>TEXT(walmart[[#This Row],[Purchase_Date]],"MMM")</f>
        <v>Aug</v>
      </c>
      <c r="J821" t="str">
        <f>TEXT(walmart[[#This Row],[Purchase_Date]],"YYY")</f>
        <v>2024</v>
      </c>
      <c r="K821" s="3">
        <v>461.81</v>
      </c>
      <c r="L821" t="str">
        <f t="shared" si="60"/>
        <v>5% off</v>
      </c>
      <c r="M821" s="3">
        <f t="shared" si="61"/>
        <v>23.090500000000002</v>
      </c>
      <c r="N821" t="str">
        <f t="shared" si="62"/>
        <v>Yes</v>
      </c>
      <c r="O821" t="s">
        <v>21</v>
      </c>
      <c r="P821" s="3">
        <f t="shared" si="63"/>
        <v>438.71949999999998</v>
      </c>
      <c r="Q821" t="s">
        <v>22</v>
      </c>
      <c r="R821">
        <v>3</v>
      </c>
      <c r="S821" t="str">
        <f t="shared" si="64"/>
        <v>Average</v>
      </c>
    </row>
    <row r="822" spans="1:19" x14ac:dyDescent="0.25">
      <c r="A822" t="s">
        <v>1209</v>
      </c>
      <c r="B822">
        <v>42</v>
      </c>
      <c r="C822" t="s">
        <v>16</v>
      </c>
      <c r="D822" t="s">
        <v>2497</v>
      </c>
      <c r="E822" t="s">
        <v>55</v>
      </c>
      <c r="F822" t="s">
        <v>67</v>
      </c>
      <c r="G822" t="s">
        <v>329</v>
      </c>
      <c r="H822" t="str">
        <f>TEXT(walmart[[#This Row],[Purchase_Date]],"DDD")</f>
        <v>Fri</v>
      </c>
      <c r="I822" t="str">
        <f>TEXT(walmart[[#This Row],[Purchase_Date]],"MMM")</f>
        <v>Jan</v>
      </c>
      <c r="J822" t="str">
        <f>TEXT(walmart[[#This Row],[Purchase_Date]],"YYY")</f>
        <v>2025</v>
      </c>
      <c r="K822" s="3">
        <v>452.97</v>
      </c>
      <c r="L822" t="str">
        <f t="shared" si="60"/>
        <v>5% off</v>
      </c>
      <c r="M822" s="3">
        <f t="shared" si="61"/>
        <v>22.648500000000002</v>
      </c>
      <c r="N822" t="str">
        <f t="shared" si="62"/>
        <v>Yes</v>
      </c>
      <c r="O822" t="s">
        <v>21</v>
      </c>
      <c r="P822" s="3">
        <f t="shared" si="63"/>
        <v>430.32150000000001</v>
      </c>
      <c r="Q822" t="s">
        <v>27</v>
      </c>
      <c r="R822">
        <v>1</v>
      </c>
      <c r="S822" t="str">
        <f t="shared" si="64"/>
        <v>Very Poor</v>
      </c>
    </row>
    <row r="823" spans="1:19" x14ac:dyDescent="0.25">
      <c r="A823" t="s">
        <v>1210</v>
      </c>
      <c r="B823">
        <v>56</v>
      </c>
      <c r="C823" t="s">
        <v>16</v>
      </c>
      <c r="D823" t="s">
        <v>2498</v>
      </c>
      <c r="E823" t="s">
        <v>31</v>
      </c>
      <c r="F823" t="s">
        <v>300</v>
      </c>
      <c r="G823" t="s">
        <v>632</v>
      </c>
      <c r="H823" t="str">
        <f>TEXT(walmart[[#This Row],[Purchase_Date]],"DDD")</f>
        <v>Wed</v>
      </c>
      <c r="I823" t="str">
        <f>TEXT(walmart[[#This Row],[Purchase_Date]],"MMM")</f>
        <v>Jan</v>
      </c>
      <c r="J823" t="str">
        <f>TEXT(walmart[[#This Row],[Purchase_Date]],"YYY")</f>
        <v>2025</v>
      </c>
      <c r="K823" s="3">
        <v>340.04</v>
      </c>
      <c r="L823" t="str">
        <f t="shared" si="60"/>
        <v>5% off</v>
      </c>
      <c r="M823" s="3">
        <f t="shared" si="61"/>
        <v>17.002000000000002</v>
      </c>
      <c r="N823" t="str">
        <f t="shared" si="62"/>
        <v>Yes</v>
      </c>
      <c r="O823" t="s">
        <v>34</v>
      </c>
      <c r="P823" s="3">
        <f t="shared" si="63"/>
        <v>323.03800000000001</v>
      </c>
      <c r="Q823" t="s">
        <v>27</v>
      </c>
      <c r="R823">
        <v>2</v>
      </c>
      <c r="S823" t="str">
        <f t="shared" si="64"/>
        <v>Poor</v>
      </c>
    </row>
    <row r="824" spans="1:19" x14ac:dyDescent="0.25">
      <c r="A824" t="s">
        <v>1211</v>
      </c>
      <c r="B824">
        <v>32</v>
      </c>
      <c r="C824" t="s">
        <v>16</v>
      </c>
      <c r="D824" t="s">
        <v>2499</v>
      </c>
      <c r="E824" t="s">
        <v>18</v>
      </c>
      <c r="F824" t="s">
        <v>77</v>
      </c>
      <c r="G824" t="s">
        <v>95</v>
      </c>
      <c r="H824" t="str">
        <f>TEXT(walmart[[#This Row],[Purchase_Date]],"DDD")</f>
        <v>Wed</v>
      </c>
      <c r="I824" t="str">
        <f>TEXT(walmart[[#This Row],[Purchase_Date]],"MMM")</f>
        <v>Dec</v>
      </c>
      <c r="J824" t="str">
        <f>TEXT(walmart[[#This Row],[Purchase_Date]],"YYY")</f>
        <v>2024</v>
      </c>
      <c r="K824" s="3">
        <v>116.78</v>
      </c>
      <c r="L824" t="str">
        <f t="shared" si="60"/>
        <v>0% off</v>
      </c>
      <c r="M824" s="3">
        <f t="shared" si="61"/>
        <v>0</v>
      </c>
      <c r="N824" t="str">
        <f t="shared" si="62"/>
        <v>No</v>
      </c>
      <c r="O824" t="s">
        <v>34</v>
      </c>
      <c r="P824" s="3">
        <f t="shared" si="63"/>
        <v>116.78</v>
      </c>
      <c r="Q824" t="s">
        <v>35</v>
      </c>
      <c r="R824">
        <v>5</v>
      </c>
      <c r="S824" t="str">
        <f t="shared" si="64"/>
        <v>Excellent</v>
      </c>
    </row>
    <row r="825" spans="1:19" x14ac:dyDescent="0.25">
      <c r="A825" t="s">
        <v>1212</v>
      </c>
      <c r="B825">
        <v>53</v>
      </c>
      <c r="C825" t="s">
        <v>29</v>
      </c>
      <c r="D825" t="s">
        <v>2500</v>
      </c>
      <c r="E825" t="s">
        <v>73</v>
      </c>
      <c r="F825" t="s">
        <v>138</v>
      </c>
      <c r="G825" t="s">
        <v>101</v>
      </c>
      <c r="H825" t="str">
        <f>TEXT(walmart[[#This Row],[Purchase_Date]],"DDD")</f>
        <v>Mon</v>
      </c>
      <c r="I825" t="str">
        <f>TEXT(walmart[[#This Row],[Purchase_Date]],"MMM")</f>
        <v>Feb</v>
      </c>
      <c r="J825" t="str">
        <f>TEXT(walmart[[#This Row],[Purchase_Date]],"YYY")</f>
        <v>2025</v>
      </c>
      <c r="K825" s="3">
        <v>461.81</v>
      </c>
      <c r="L825" t="str">
        <f t="shared" si="60"/>
        <v>5% off</v>
      </c>
      <c r="M825" s="3">
        <f t="shared" si="61"/>
        <v>23.090500000000002</v>
      </c>
      <c r="N825" t="str">
        <f t="shared" si="62"/>
        <v>Yes</v>
      </c>
      <c r="O825" t="s">
        <v>21</v>
      </c>
      <c r="P825" s="3">
        <f t="shared" si="63"/>
        <v>438.71949999999998</v>
      </c>
      <c r="Q825" t="s">
        <v>27</v>
      </c>
      <c r="R825">
        <v>1</v>
      </c>
      <c r="S825" t="str">
        <f t="shared" si="64"/>
        <v>Very Poor</v>
      </c>
    </row>
    <row r="826" spans="1:19" x14ac:dyDescent="0.25">
      <c r="A826" t="s">
        <v>1213</v>
      </c>
      <c r="B826">
        <v>23</v>
      </c>
      <c r="C826" t="s">
        <v>16</v>
      </c>
      <c r="D826" t="s">
        <v>2501</v>
      </c>
      <c r="E826" t="s">
        <v>55</v>
      </c>
      <c r="F826" t="s">
        <v>64</v>
      </c>
      <c r="G826" t="s">
        <v>566</v>
      </c>
      <c r="H826" t="str">
        <f>TEXT(walmart[[#This Row],[Purchase_Date]],"DDD")</f>
        <v>Wed</v>
      </c>
      <c r="I826" t="str">
        <f>TEXT(walmart[[#This Row],[Purchase_Date]],"MMM")</f>
        <v>Oct</v>
      </c>
      <c r="J826" t="str">
        <f>TEXT(walmart[[#This Row],[Purchase_Date]],"YYY")</f>
        <v>2024</v>
      </c>
      <c r="K826" s="3">
        <v>374.92</v>
      </c>
      <c r="L826" t="str">
        <f t="shared" si="60"/>
        <v>5% off</v>
      </c>
      <c r="M826" s="3">
        <f t="shared" si="61"/>
        <v>18.746000000000002</v>
      </c>
      <c r="N826" t="str">
        <f t="shared" si="62"/>
        <v>Yes</v>
      </c>
      <c r="O826" t="s">
        <v>21</v>
      </c>
      <c r="P826" s="3">
        <f t="shared" si="63"/>
        <v>356.17400000000004</v>
      </c>
      <c r="Q826" t="s">
        <v>27</v>
      </c>
      <c r="R826">
        <v>1</v>
      </c>
      <c r="S826" t="str">
        <f t="shared" si="64"/>
        <v>Very Poor</v>
      </c>
    </row>
    <row r="827" spans="1:19" x14ac:dyDescent="0.25">
      <c r="A827" t="s">
        <v>1214</v>
      </c>
      <c r="B827">
        <v>43</v>
      </c>
      <c r="C827" t="s">
        <v>29</v>
      </c>
      <c r="D827" t="s">
        <v>2502</v>
      </c>
      <c r="E827" t="s">
        <v>42</v>
      </c>
      <c r="F827" t="s">
        <v>43</v>
      </c>
      <c r="G827" t="s">
        <v>685</v>
      </c>
      <c r="H827" t="str">
        <f>TEXT(walmart[[#This Row],[Purchase_Date]],"DDD")</f>
        <v>Fri</v>
      </c>
      <c r="I827" t="str">
        <f>TEXT(walmart[[#This Row],[Purchase_Date]],"MMM")</f>
        <v>May</v>
      </c>
      <c r="J827" t="str">
        <f>TEXT(walmart[[#This Row],[Purchase_Date]],"YYY")</f>
        <v>2024</v>
      </c>
      <c r="K827" s="3">
        <v>512.94000000000005</v>
      </c>
      <c r="L827" t="str">
        <f t="shared" si="60"/>
        <v>10% off</v>
      </c>
      <c r="M827" s="3">
        <f t="shared" si="61"/>
        <v>51.294000000000011</v>
      </c>
      <c r="N827" t="str">
        <f t="shared" si="62"/>
        <v>Yes</v>
      </c>
      <c r="O827" t="s">
        <v>34</v>
      </c>
      <c r="P827" s="3">
        <f t="shared" si="63"/>
        <v>461.64600000000007</v>
      </c>
      <c r="Q827" t="s">
        <v>35</v>
      </c>
      <c r="R827">
        <v>1</v>
      </c>
      <c r="S827" t="str">
        <f t="shared" si="64"/>
        <v>Very Poor</v>
      </c>
    </row>
    <row r="828" spans="1:19" x14ac:dyDescent="0.25">
      <c r="A828" t="s">
        <v>1215</v>
      </c>
      <c r="B828">
        <v>55</v>
      </c>
      <c r="C828" t="s">
        <v>16</v>
      </c>
      <c r="D828" t="s">
        <v>2503</v>
      </c>
      <c r="E828" t="s">
        <v>37</v>
      </c>
      <c r="F828" t="s">
        <v>82</v>
      </c>
      <c r="G828" t="s">
        <v>658</v>
      </c>
      <c r="H828" t="str">
        <f>TEXT(walmart[[#This Row],[Purchase_Date]],"DDD")</f>
        <v>Fri</v>
      </c>
      <c r="I828" t="str">
        <f>TEXT(walmart[[#This Row],[Purchase_Date]],"MMM")</f>
        <v>Jun</v>
      </c>
      <c r="J828" t="str">
        <f>TEXT(walmart[[#This Row],[Purchase_Date]],"YYY")</f>
        <v>2024</v>
      </c>
      <c r="K828" s="3">
        <v>270.41000000000003</v>
      </c>
      <c r="L828" t="str">
        <f t="shared" si="60"/>
        <v>5% off</v>
      </c>
      <c r="M828" s="3">
        <f t="shared" si="61"/>
        <v>13.520500000000002</v>
      </c>
      <c r="N828" t="str">
        <f t="shared" si="62"/>
        <v>Yes</v>
      </c>
      <c r="O828" t="s">
        <v>21</v>
      </c>
      <c r="P828" s="3">
        <f t="shared" si="63"/>
        <v>256.8895</v>
      </c>
      <c r="Q828" t="s">
        <v>35</v>
      </c>
      <c r="R828">
        <v>3</v>
      </c>
      <c r="S828" t="str">
        <f t="shared" si="64"/>
        <v>Average</v>
      </c>
    </row>
    <row r="829" spans="1:19" x14ac:dyDescent="0.25">
      <c r="A829" t="s">
        <v>1216</v>
      </c>
      <c r="B829">
        <v>33</v>
      </c>
      <c r="C829" t="s">
        <v>16</v>
      </c>
      <c r="D829" t="s">
        <v>2504</v>
      </c>
      <c r="E829" t="s">
        <v>55</v>
      </c>
      <c r="F829" t="s">
        <v>67</v>
      </c>
      <c r="G829" t="s">
        <v>449</v>
      </c>
      <c r="H829" t="str">
        <f>TEXT(walmart[[#This Row],[Purchase_Date]],"DDD")</f>
        <v>Tue</v>
      </c>
      <c r="I829" t="str">
        <f>TEXT(walmart[[#This Row],[Purchase_Date]],"MMM")</f>
        <v>Aug</v>
      </c>
      <c r="J829" t="str">
        <f>TEXT(walmart[[#This Row],[Purchase_Date]],"YYY")</f>
        <v>2024</v>
      </c>
      <c r="K829" s="3">
        <v>452.97</v>
      </c>
      <c r="L829" t="str">
        <f t="shared" si="60"/>
        <v>5% off</v>
      </c>
      <c r="M829" s="3">
        <f t="shared" si="61"/>
        <v>22.648500000000002</v>
      </c>
      <c r="N829" t="str">
        <f t="shared" si="62"/>
        <v>Yes</v>
      </c>
      <c r="O829" t="s">
        <v>34</v>
      </c>
      <c r="P829" s="3">
        <f t="shared" si="63"/>
        <v>430.32150000000001</v>
      </c>
      <c r="Q829" t="s">
        <v>35</v>
      </c>
      <c r="R829">
        <v>1</v>
      </c>
      <c r="S829" t="str">
        <f t="shared" si="64"/>
        <v>Very Poor</v>
      </c>
    </row>
    <row r="830" spans="1:19" x14ac:dyDescent="0.25">
      <c r="A830" t="s">
        <v>1217</v>
      </c>
      <c r="B830">
        <v>45</v>
      </c>
      <c r="C830" t="s">
        <v>29</v>
      </c>
      <c r="D830" t="s">
        <v>2505</v>
      </c>
      <c r="E830" t="s">
        <v>73</v>
      </c>
      <c r="F830" t="s">
        <v>91</v>
      </c>
      <c r="G830" t="s">
        <v>1218</v>
      </c>
      <c r="H830" t="str">
        <f>TEXT(walmart[[#This Row],[Purchase_Date]],"DDD")</f>
        <v>Thu</v>
      </c>
      <c r="I830" t="str">
        <f>TEXT(walmart[[#This Row],[Purchase_Date]],"MMM")</f>
        <v>May</v>
      </c>
      <c r="J830" t="str">
        <f>TEXT(walmart[[#This Row],[Purchase_Date]],"YYY")</f>
        <v>2024</v>
      </c>
      <c r="K830" s="3">
        <v>418.55</v>
      </c>
      <c r="L830" t="str">
        <f t="shared" si="60"/>
        <v>5% off</v>
      </c>
      <c r="M830" s="3">
        <f t="shared" si="61"/>
        <v>20.927500000000002</v>
      </c>
      <c r="N830" t="str">
        <f t="shared" si="62"/>
        <v>Yes</v>
      </c>
      <c r="O830" t="s">
        <v>21</v>
      </c>
      <c r="P830" s="3">
        <f t="shared" si="63"/>
        <v>397.6225</v>
      </c>
      <c r="Q830" t="s">
        <v>35</v>
      </c>
      <c r="R830">
        <v>3</v>
      </c>
      <c r="S830" t="str">
        <f t="shared" si="64"/>
        <v>Average</v>
      </c>
    </row>
    <row r="831" spans="1:19" x14ac:dyDescent="0.25">
      <c r="A831" t="s">
        <v>1219</v>
      </c>
      <c r="B831">
        <v>58</v>
      </c>
      <c r="C831" t="s">
        <v>16</v>
      </c>
      <c r="D831" t="s">
        <v>2506</v>
      </c>
      <c r="E831" t="s">
        <v>31</v>
      </c>
      <c r="F831" t="s">
        <v>112</v>
      </c>
      <c r="G831" t="s">
        <v>176</v>
      </c>
      <c r="H831" t="str">
        <f>TEXT(walmart[[#This Row],[Purchase_Date]],"DDD")</f>
        <v>Sat</v>
      </c>
      <c r="I831" t="str">
        <f>TEXT(walmart[[#This Row],[Purchase_Date]],"MMM")</f>
        <v>Oct</v>
      </c>
      <c r="J831" t="str">
        <f>TEXT(walmart[[#This Row],[Purchase_Date]],"YYY")</f>
        <v>2024</v>
      </c>
      <c r="K831" s="3">
        <v>492.1</v>
      </c>
      <c r="L831" t="str">
        <f t="shared" si="60"/>
        <v>5% off</v>
      </c>
      <c r="M831" s="3">
        <f t="shared" si="61"/>
        <v>24.605000000000004</v>
      </c>
      <c r="N831" t="str">
        <f t="shared" si="62"/>
        <v>Yes</v>
      </c>
      <c r="O831" t="s">
        <v>34</v>
      </c>
      <c r="P831" s="3">
        <f t="shared" si="63"/>
        <v>467.495</v>
      </c>
      <c r="Q831" t="s">
        <v>22</v>
      </c>
      <c r="R831">
        <v>1</v>
      </c>
      <c r="S831" t="str">
        <f t="shared" si="64"/>
        <v>Very Poor</v>
      </c>
    </row>
    <row r="832" spans="1:19" x14ac:dyDescent="0.25">
      <c r="A832" t="s">
        <v>1220</v>
      </c>
      <c r="B832">
        <v>65</v>
      </c>
      <c r="C832" t="s">
        <v>29</v>
      </c>
      <c r="D832" t="s">
        <v>2507</v>
      </c>
      <c r="E832" t="s">
        <v>24</v>
      </c>
      <c r="F832" t="s">
        <v>162</v>
      </c>
      <c r="G832" t="s">
        <v>428</v>
      </c>
      <c r="H832" t="str">
        <f>TEXT(walmart[[#This Row],[Purchase_Date]],"DDD")</f>
        <v>Wed</v>
      </c>
      <c r="I832" t="str">
        <f>TEXT(walmart[[#This Row],[Purchase_Date]],"MMM")</f>
        <v>May</v>
      </c>
      <c r="J832" t="str">
        <f>TEXT(walmart[[#This Row],[Purchase_Date]],"YYY")</f>
        <v>2024</v>
      </c>
      <c r="K832" s="3">
        <v>362.55</v>
      </c>
      <c r="L832" t="str">
        <f t="shared" si="60"/>
        <v>5% off</v>
      </c>
      <c r="M832" s="3">
        <f t="shared" si="61"/>
        <v>18.127500000000001</v>
      </c>
      <c r="N832" t="str">
        <f t="shared" si="62"/>
        <v>Yes</v>
      </c>
      <c r="O832" t="s">
        <v>34</v>
      </c>
      <c r="P832" s="3">
        <f t="shared" si="63"/>
        <v>344.42250000000001</v>
      </c>
      <c r="Q832" t="s">
        <v>22</v>
      </c>
      <c r="R832">
        <v>5</v>
      </c>
      <c r="S832" t="str">
        <f t="shared" si="64"/>
        <v>Excellent</v>
      </c>
    </row>
    <row r="833" spans="1:19" x14ac:dyDescent="0.25">
      <c r="A833" t="s">
        <v>1221</v>
      </c>
      <c r="B833">
        <v>24</v>
      </c>
      <c r="C833" t="s">
        <v>16</v>
      </c>
      <c r="D833" t="s">
        <v>2508</v>
      </c>
      <c r="E833" t="s">
        <v>31</v>
      </c>
      <c r="F833" t="s">
        <v>32</v>
      </c>
      <c r="G833" t="s">
        <v>457</v>
      </c>
      <c r="H833" t="str">
        <f>TEXT(walmart[[#This Row],[Purchase_Date]],"DDD")</f>
        <v>Thu</v>
      </c>
      <c r="I833" t="str">
        <f>TEXT(walmart[[#This Row],[Purchase_Date]],"MMM")</f>
        <v>Apr</v>
      </c>
      <c r="J833" t="str">
        <f>TEXT(walmart[[#This Row],[Purchase_Date]],"YYY")</f>
        <v>2024</v>
      </c>
      <c r="K833" s="3">
        <v>493.96</v>
      </c>
      <c r="L833" t="str">
        <f t="shared" si="60"/>
        <v>5% off</v>
      </c>
      <c r="M833" s="3">
        <f t="shared" si="61"/>
        <v>24.698</v>
      </c>
      <c r="N833" t="str">
        <f t="shared" si="62"/>
        <v>Yes</v>
      </c>
      <c r="O833" t="s">
        <v>21</v>
      </c>
      <c r="P833" s="3">
        <f t="shared" si="63"/>
        <v>469.262</v>
      </c>
      <c r="Q833" t="s">
        <v>35</v>
      </c>
      <c r="R833">
        <v>5</v>
      </c>
      <c r="S833" t="str">
        <f t="shared" si="64"/>
        <v>Excellent</v>
      </c>
    </row>
    <row r="834" spans="1:19" x14ac:dyDescent="0.25">
      <c r="A834" t="s">
        <v>1222</v>
      </c>
      <c r="B834">
        <v>23</v>
      </c>
      <c r="C834" t="s">
        <v>16</v>
      </c>
      <c r="D834" t="s">
        <v>2509</v>
      </c>
      <c r="E834" t="s">
        <v>55</v>
      </c>
      <c r="F834" t="s">
        <v>67</v>
      </c>
      <c r="G834" t="s">
        <v>221</v>
      </c>
      <c r="H834" t="str">
        <f>TEXT(walmart[[#This Row],[Purchase_Date]],"DDD")</f>
        <v>Fri</v>
      </c>
      <c r="I834" t="str">
        <f>TEXT(walmart[[#This Row],[Purchase_Date]],"MMM")</f>
        <v>Dec</v>
      </c>
      <c r="J834" t="str">
        <f>TEXT(walmart[[#This Row],[Purchase_Date]],"YYY")</f>
        <v>2024</v>
      </c>
      <c r="K834" s="3">
        <v>452.97</v>
      </c>
      <c r="L834" t="str">
        <f t="shared" si="60"/>
        <v>5% off</v>
      </c>
      <c r="M834" s="3">
        <f t="shared" si="61"/>
        <v>22.648500000000002</v>
      </c>
      <c r="N834" t="str">
        <f t="shared" si="62"/>
        <v>Yes</v>
      </c>
      <c r="O834" t="s">
        <v>34</v>
      </c>
      <c r="P834" s="3">
        <f t="shared" si="63"/>
        <v>430.32150000000001</v>
      </c>
      <c r="Q834" t="s">
        <v>47</v>
      </c>
      <c r="R834">
        <v>4</v>
      </c>
      <c r="S834" t="str">
        <f t="shared" si="64"/>
        <v>Good</v>
      </c>
    </row>
    <row r="835" spans="1:19" x14ac:dyDescent="0.25">
      <c r="A835" t="s">
        <v>1223</v>
      </c>
      <c r="B835">
        <v>49</v>
      </c>
      <c r="C835" t="s">
        <v>29</v>
      </c>
      <c r="D835" t="s">
        <v>2510</v>
      </c>
      <c r="E835" t="s">
        <v>73</v>
      </c>
      <c r="F835" t="s">
        <v>74</v>
      </c>
      <c r="G835" t="s">
        <v>1224</v>
      </c>
      <c r="H835" t="str">
        <f>TEXT(walmart[[#This Row],[Purchase_Date]],"DDD")</f>
        <v>Sat</v>
      </c>
      <c r="I835" t="str">
        <f>TEXT(walmart[[#This Row],[Purchase_Date]],"MMM")</f>
        <v>Nov</v>
      </c>
      <c r="J835" t="str">
        <f>TEXT(walmart[[#This Row],[Purchase_Date]],"YYY")</f>
        <v>2024</v>
      </c>
      <c r="K835" s="3">
        <v>782.29</v>
      </c>
      <c r="L835" t="str">
        <f t="shared" ref="L835:L898" si="65">IF(K835&lt;150,"0% off",IF(K835&lt;500,"5% off",IF(K835&lt;700,"10% off",IF(K835&lt;900,"15% off","20% off"))))</f>
        <v>15% off</v>
      </c>
      <c r="M835" s="3">
        <f t="shared" ref="M835:M898" si="66">K835 * (LEFT(L835, LEN(L835)-5) / 100)</f>
        <v>117.34349999999999</v>
      </c>
      <c r="N835" t="str">
        <f t="shared" ref="N835:N898" si="67">IF(L835="0% off", "No", "Yes")</f>
        <v>Yes</v>
      </c>
      <c r="O835" t="s">
        <v>21</v>
      </c>
      <c r="P835" s="3">
        <f t="shared" ref="P835:P898" si="68">K835-M835</f>
        <v>664.94650000000001</v>
      </c>
      <c r="Q835" t="s">
        <v>27</v>
      </c>
      <c r="R835">
        <v>3</v>
      </c>
      <c r="S835" t="str">
        <f t="shared" ref="S835:S898" si="69">IF(R835=5, "Excellent", IF(R835=4, "Good", IF(R835=3, "Average", IF(R835=2, "Poor", IF(R835=1, "Very Poor", "Invalid Rating")))))</f>
        <v>Average</v>
      </c>
    </row>
    <row r="836" spans="1:19" x14ac:dyDescent="0.25">
      <c r="A836" t="s">
        <v>1225</v>
      </c>
      <c r="B836">
        <v>63</v>
      </c>
      <c r="C836" t="s">
        <v>29</v>
      </c>
      <c r="D836" t="s">
        <v>2511</v>
      </c>
      <c r="E836" t="s">
        <v>42</v>
      </c>
      <c r="F836" t="s">
        <v>43</v>
      </c>
      <c r="G836" t="s">
        <v>147</v>
      </c>
      <c r="H836" t="str">
        <f>TEXT(walmart[[#This Row],[Purchase_Date]],"DDD")</f>
        <v>Sat</v>
      </c>
      <c r="I836" t="str">
        <f>TEXT(walmart[[#This Row],[Purchase_Date]],"MMM")</f>
        <v>Apr</v>
      </c>
      <c r="J836" t="str">
        <f>TEXT(walmart[[#This Row],[Purchase_Date]],"YYY")</f>
        <v>2024</v>
      </c>
      <c r="K836" s="3">
        <v>512.94000000000005</v>
      </c>
      <c r="L836" t="str">
        <f t="shared" si="65"/>
        <v>10% off</v>
      </c>
      <c r="M836" s="3">
        <f t="shared" si="66"/>
        <v>51.294000000000011</v>
      </c>
      <c r="N836" t="str">
        <f t="shared" si="67"/>
        <v>Yes</v>
      </c>
      <c r="O836" t="s">
        <v>34</v>
      </c>
      <c r="P836" s="3">
        <f t="shared" si="68"/>
        <v>461.64600000000007</v>
      </c>
      <c r="Q836" t="s">
        <v>47</v>
      </c>
      <c r="R836">
        <v>1</v>
      </c>
      <c r="S836" t="str">
        <f t="shared" si="69"/>
        <v>Very Poor</v>
      </c>
    </row>
    <row r="837" spans="1:19" x14ac:dyDescent="0.25">
      <c r="A837" t="s">
        <v>1226</v>
      </c>
      <c r="B837">
        <v>37</v>
      </c>
      <c r="C837" t="s">
        <v>29</v>
      </c>
      <c r="D837" t="s">
        <v>2512</v>
      </c>
      <c r="E837" t="s">
        <v>24</v>
      </c>
      <c r="F837" t="s">
        <v>186</v>
      </c>
      <c r="G837" t="s">
        <v>722</v>
      </c>
      <c r="H837" t="str">
        <f>TEXT(walmart[[#This Row],[Purchase_Date]],"DDD")</f>
        <v>Mon</v>
      </c>
      <c r="I837" t="str">
        <f>TEXT(walmart[[#This Row],[Purchase_Date]],"MMM")</f>
        <v>Sep</v>
      </c>
      <c r="J837" t="str">
        <f>TEXT(walmart[[#This Row],[Purchase_Date]],"YYY")</f>
        <v>2024</v>
      </c>
      <c r="K837" s="3">
        <v>527.16999999999996</v>
      </c>
      <c r="L837" t="str">
        <f t="shared" si="65"/>
        <v>10% off</v>
      </c>
      <c r="M837" s="3">
        <f t="shared" si="66"/>
        <v>52.716999999999999</v>
      </c>
      <c r="N837" t="str">
        <f t="shared" si="67"/>
        <v>Yes</v>
      </c>
      <c r="O837" t="s">
        <v>34</v>
      </c>
      <c r="P837" s="3">
        <f t="shared" si="68"/>
        <v>474.45299999999997</v>
      </c>
      <c r="Q837" t="s">
        <v>47</v>
      </c>
      <c r="R837">
        <v>1</v>
      </c>
      <c r="S837" t="str">
        <f t="shared" si="69"/>
        <v>Very Poor</v>
      </c>
    </row>
    <row r="838" spans="1:19" x14ac:dyDescent="0.25">
      <c r="A838" t="s">
        <v>1227</v>
      </c>
      <c r="B838">
        <v>69</v>
      </c>
      <c r="C838" t="s">
        <v>29</v>
      </c>
      <c r="D838" t="s">
        <v>2513</v>
      </c>
      <c r="E838" t="s">
        <v>31</v>
      </c>
      <c r="F838" t="s">
        <v>112</v>
      </c>
      <c r="G838" t="s">
        <v>366</v>
      </c>
      <c r="H838" t="str">
        <f>TEXT(walmart[[#This Row],[Purchase_Date]],"DDD")</f>
        <v>Fri</v>
      </c>
      <c r="I838" t="str">
        <f>TEXT(walmart[[#This Row],[Purchase_Date]],"MMM")</f>
        <v>Apr</v>
      </c>
      <c r="J838" t="str">
        <f>TEXT(walmart[[#This Row],[Purchase_Date]],"YYY")</f>
        <v>2024</v>
      </c>
      <c r="K838" s="3">
        <v>492.1</v>
      </c>
      <c r="L838" t="str">
        <f t="shared" si="65"/>
        <v>5% off</v>
      </c>
      <c r="M838" s="3">
        <f t="shared" si="66"/>
        <v>24.605000000000004</v>
      </c>
      <c r="N838" t="str">
        <f t="shared" si="67"/>
        <v>Yes</v>
      </c>
      <c r="O838" t="s">
        <v>21</v>
      </c>
      <c r="P838" s="3">
        <f t="shared" si="68"/>
        <v>467.495</v>
      </c>
      <c r="Q838" t="s">
        <v>22</v>
      </c>
      <c r="R838">
        <v>1</v>
      </c>
      <c r="S838" t="str">
        <f t="shared" si="69"/>
        <v>Very Poor</v>
      </c>
    </row>
    <row r="839" spans="1:19" x14ac:dyDescent="0.25">
      <c r="A839" t="s">
        <v>1228</v>
      </c>
      <c r="B839">
        <v>46</v>
      </c>
      <c r="C839" t="s">
        <v>16</v>
      </c>
      <c r="D839" t="s">
        <v>2514</v>
      </c>
      <c r="E839" t="s">
        <v>31</v>
      </c>
      <c r="F839" t="s">
        <v>32</v>
      </c>
      <c r="G839" t="s">
        <v>570</v>
      </c>
      <c r="H839" t="str">
        <f>TEXT(walmart[[#This Row],[Purchase_Date]],"DDD")</f>
        <v>Tue</v>
      </c>
      <c r="I839" t="str">
        <f>TEXT(walmart[[#This Row],[Purchase_Date]],"MMM")</f>
        <v>Jun</v>
      </c>
      <c r="J839" t="str">
        <f>TEXT(walmart[[#This Row],[Purchase_Date]],"YYY")</f>
        <v>2024</v>
      </c>
      <c r="K839" s="3">
        <v>493.96</v>
      </c>
      <c r="L839" t="str">
        <f t="shared" si="65"/>
        <v>5% off</v>
      </c>
      <c r="M839" s="3">
        <f t="shared" si="66"/>
        <v>24.698</v>
      </c>
      <c r="N839" t="str">
        <f t="shared" si="67"/>
        <v>Yes</v>
      </c>
      <c r="O839" t="s">
        <v>21</v>
      </c>
      <c r="P839" s="3">
        <f t="shared" si="68"/>
        <v>469.262</v>
      </c>
      <c r="Q839" t="s">
        <v>22</v>
      </c>
      <c r="R839">
        <v>4</v>
      </c>
      <c r="S839" t="str">
        <f t="shared" si="69"/>
        <v>Good</v>
      </c>
    </row>
    <row r="840" spans="1:19" x14ac:dyDescent="0.25">
      <c r="A840" t="s">
        <v>1229</v>
      </c>
      <c r="B840">
        <v>62</v>
      </c>
      <c r="C840" t="s">
        <v>29</v>
      </c>
      <c r="D840" t="s">
        <v>2515</v>
      </c>
      <c r="E840" t="s">
        <v>24</v>
      </c>
      <c r="F840" t="s">
        <v>25</v>
      </c>
      <c r="G840" t="s">
        <v>1230</v>
      </c>
      <c r="H840" t="str">
        <f>TEXT(walmart[[#This Row],[Purchase_Date]],"DDD")</f>
        <v>Sat</v>
      </c>
      <c r="I840" t="str">
        <f>TEXT(walmart[[#This Row],[Purchase_Date]],"MMM")</f>
        <v>May</v>
      </c>
      <c r="J840" t="str">
        <f>TEXT(walmart[[#This Row],[Purchase_Date]],"YYY")</f>
        <v>2024</v>
      </c>
      <c r="K840" s="3">
        <v>67.040000000000006</v>
      </c>
      <c r="L840" t="str">
        <f t="shared" si="65"/>
        <v>0% off</v>
      </c>
      <c r="M840" s="3">
        <f t="shared" si="66"/>
        <v>0</v>
      </c>
      <c r="N840" t="str">
        <f t="shared" si="67"/>
        <v>No</v>
      </c>
      <c r="O840" t="s">
        <v>21</v>
      </c>
      <c r="P840" s="3">
        <f t="shared" si="68"/>
        <v>67.040000000000006</v>
      </c>
      <c r="Q840" t="s">
        <v>22</v>
      </c>
      <c r="R840">
        <v>5</v>
      </c>
      <c r="S840" t="str">
        <f t="shared" si="69"/>
        <v>Excellent</v>
      </c>
    </row>
    <row r="841" spans="1:19" x14ac:dyDescent="0.25">
      <c r="A841" t="s">
        <v>1231</v>
      </c>
      <c r="B841">
        <v>54</v>
      </c>
      <c r="C841" t="s">
        <v>16</v>
      </c>
      <c r="D841" t="s">
        <v>2516</v>
      </c>
      <c r="E841" t="s">
        <v>18</v>
      </c>
      <c r="F841" t="s">
        <v>59</v>
      </c>
      <c r="G841" t="s">
        <v>759</v>
      </c>
      <c r="H841" t="str">
        <f>TEXT(walmart[[#This Row],[Purchase_Date]],"DDD")</f>
        <v>Sun</v>
      </c>
      <c r="I841" t="str">
        <f>TEXT(walmart[[#This Row],[Purchase_Date]],"MMM")</f>
        <v>Dec</v>
      </c>
      <c r="J841" t="str">
        <f>TEXT(walmart[[#This Row],[Purchase_Date]],"YYY")</f>
        <v>2024</v>
      </c>
      <c r="K841" s="3">
        <v>78.349999999999994</v>
      </c>
      <c r="L841" t="str">
        <f t="shared" si="65"/>
        <v>0% off</v>
      </c>
      <c r="M841" s="3">
        <f t="shared" si="66"/>
        <v>0</v>
      </c>
      <c r="N841" t="str">
        <f t="shared" si="67"/>
        <v>No</v>
      </c>
      <c r="O841" t="s">
        <v>34</v>
      </c>
      <c r="P841" s="3">
        <f t="shared" si="68"/>
        <v>78.349999999999994</v>
      </c>
      <c r="Q841" t="s">
        <v>35</v>
      </c>
      <c r="R841">
        <v>4</v>
      </c>
      <c r="S841" t="str">
        <f t="shared" si="69"/>
        <v>Good</v>
      </c>
    </row>
    <row r="842" spans="1:19" x14ac:dyDescent="0.25">
      <c r="A842" t="s">
        <v>1232</v>
      </c>
      <c r="B842">
        <v>18</v>
      </c>
      <c r="C842" t="s">
        <v>29</v>
      </c>
      <c r="D842" t="s">
        <v>2517</v>
      </c>
      <c r="E842" t="s">
        <v>24</v>
      </c>
      <c r="F842" t="s">
        <v>162</v>
      </c>
      <c r="G842" t="s">
        <v>875</v>
      </c>
      <c r="H842" t="str">
        <f>TEXT(walmart[[#This Row],[Purchase_Date]],"DDD")</f>
        <v>Fri</v>
      </c>
      <c r="I842" t="str">
        <f>TEXT(walmart[[#This Row],[Purchase_Date]],"MMM")</f>
        <v>Jul</v>
      </c>
      <c r="J842" t="str">
        <f>TEXT(walmart[[#This Row],[Purchase_Date]],"YYY")</f>
        <v>2024</v>
      </c>
      <c r="K842" s="3">
        <v>362.55</v>
      </c>
      <c r="L842" t="str">
        <f t="shared" si="65"/>
        <v>5% off</v>
      </c>
      <c r="M842" s="3">
        <f t="shared" si="66"/>
        <v>18.127500000000001</v>
      </c>
      <c r="N842" t="str">
        <f t="shared" si="67"/>
        <v>Yes</v>
      </c>
      <c r="O842" t="s">
        <v>34</v>
      </c>
      <c r="P842" s="3">
        <f t="shared" si="68"/>
        <v>344.42250000000001</v>
      </c>
      <c r="Q842" t="s">
        <v>22</v>
      </c>
      <c r="R842">
        <v>2</v>
      </c>
      <c r="S842" t="str">
        <f t="shared" si="69"/>
        <v>Poor</v>
      </c>
    </row>
    <row r="843" spans="1:19" x14ac:dyDescent="0.25">
      <c r="A843" t="s">
        <v>1233</v>
      </c>
      <c r="B843">
        <v>64</v>
      </c>
      <c r="C843" t="s">
        <v>16</v>
      </c>
      <c r="D843" t="s">
        <v>2518</v>
      </c>
      <c r="E843" t="s">
        <v>42</v>
      </c>
      <c r="F843" t="s">
        <v>120</v>
      </c>
      <c r="G843" t="s">
        <v>262</v>
      </c>
      <c r="H843" t="str">
        <f>TEXT(walmart[[#This Row],[Purchase_Date]],"DDD")</f>
        <v>Wed</v>
      </c>
      <c r="I843" t="str">
        <f>TEXT(walmart[[#This Row],[Purchase_Date]],"MMM")</f>
        <v>Sep</v>
      </c>
      <c r="J843" t="str">
        <f>TEXT(walmart[[#This Row],[Purchase_Date]],"YYY")</f>
        <v>2024</v>
      </c>
      <c r="K843" s="3">
        <v>260.77999999999997</v>
      </c>
      <c r="L843" t="str">
        <f t="shared" si="65"/>
        <v>5% off</v>
      </c>
      <c r="M843" s="3">
        <f t="shared" si="66"/>
        <v>13.039</v>
      </c>
      <c r="N843" t="str">
        <f t="shared" si="67"/>
        <v>Yes</v>
      </c>
      <c r="O843" t="s">
        <v>21</v>
      </c>
      <c r="P843" s="3">
        <f t="shared" si="68"/>
        <v>247.74099999999999</v>
      </c>
      <c r="Q843" t="s">
        <v>27</v>
      </c>
      <c r="R843">
        <v>2</v>
      </c>
      <c r="S843" t="str">
        <f t="shared" si="69"/>
        <v>Poor</v>
      </c>
    </row>
    <row r="844" spans="1:19" x14ac:dyDescent="0.25">
      <c r="A844" t="s">
        <v>1234</v>
      </c>
      <c r="B844">
        <v>26</v>
      </c>
      <c r="C844" t="s">
        <v>16</v>
      </c>
      <c r="D844" t="s">
        <v>2519</v>
      </c>
      <c r="E844" t="s">
        <v>55</v>
      </c>
      <c r="F844" t="s">
        <v>100</v>
      </c>
      <c r="G844" t="s">
        <v>258</v>
      </c>
      <c r="H844" t="str">
        <f>TEXT(walmart[[#This Row],[Purchase_Date]],"DDD")</f>
        <v>Fri</v>
      </c>
      <c r="I844" t="str">
        <f>TEXT(walmart[[#This Row],[Purchase_Date]],"MMM")</f>
        <v>Oct</v>
      </c>
      <c r="J844" t="str">
        <f>TEXT(walmart[[#This Row],[Purchase_Date]],"YYY")</f>
        <v>2024</v>
      </c>
      <c r="K844" s="3">
        <v>592.26</v>
      </c>
      <c r="L844" t="str">
        <f t="shared" si="65"/>
        <v>10% off</v>
      </c>
      <c r="M844" s="3">
        <f t="shared" si="66"/>
        <v>59.225999999999999</v>
      </c>
      <c r="N844" t="str">
        <f t="shared" si="67"/>
        <v>Yes</v>
      </c>
      <c r="O844" t="s">
        <v>34</v>
      </c>
      <c r="P844" s="3">
        <f t="shared" si="68"/>
        <v>533.03399999999999</v>
      </c>
      <c r="Q844" t="s">
        <v>35</v>
      </c>
      <c r="R844">
        <v>5</v>
      </c>
      <c r="S844" t="str">
        <f t="shared" si="69"/>
        <v>Excellent</v>
      </c>
    </row>
    <row r="845" spans="1:19" x14ac:dyDescent="0.25">
      <c r="A845" t="s">
        <v>1235</v>
      </c>
      <c r="B845">
        <v>21</v>
      </c>
      <c r="C845" t="s">
        <v>16</v>
      </c>
      <c r="D845" t="s">
        <v>2520</v>
      </c>
      <c r="E845" t="s">
        <v>37</v>
      </c>
      <c r="F845" t="s">
        <v>117</v>
      </c>
      <c r="G845" t="s">
        <v>1236</v>
      </c>
      <c r="H845" t="str">
        <f>TEXT(walmart[[#This Row],[Purchase_Date]],"DDD")</f>
        <v>Tue</v>
      </c>
      <c r="I845" t="str">
        <f>TEXT(walmart[[#This Row],[Purchase_Date]],"MMM")</f>
        <v>Jul</v>
      </c>
      <c r="J845" t="str">
        <f>TEXT(walmart[[#This Row],[Purchase_Date]],"YYY")</f>
        <v>2024</v>
      </c>
      <c r="K845" s="3">
        <v>165.68</v>
      </c>
      <c r="L845" t="str">
        <f t="shared" si="65"/>
        <v>5% off</v>
      </c>
      <c r="M845" s="3">
        <f t="shared" si="66"/>
        <v>8.2840000000000007</v>
      </c>
      <c r="N845" t="str">
        <f t="shared" si="67"/>
        <v>Yes</v>
      </c>
      <c r="O845" t="s">
        <v>21</v>
      </c>
      <c r="P845" s="3">
        <f t="shared" si="68"/>
        <v>157.39600000000002</v>
      </c>
      <c r="Q845" t="s">
        <v>22</v>
      </c>
      <c r="R845">
        <v>5</v>
      </c>
      <c r="S845" t="str">
        <f t="shared" si="69"/>
        <v>Excellent</v>
      </c>
    </row>
    <row r="846" spans="1:19" x14ac:dyDescent="0.25">
      <c r="A846" t="s">
        <v>1237</v>
      </c>
      <c r="B846">
        <v>70</v>
      </c>
      <c r="C846" t="s">
        <v>16</v>
      </c>
      <c r="D846" t="s">
        <v>2521</v>
      </c>
      <c r="E846" t="s">
        <v>18</v>
      </c>
      <c r="F846" t="s">
        <v>142</v>
      </c>
      <c r="G846" t="s">
        <v>411</v>
      </c>
      <c r="H846" t="str">
        <f>TEXT(walmart[[#This Row],[Purchase_Date]],"DDD")</f>
        <v>Wed</v>
      </c>
      <c r="I846" t="str">
        <f>TEXT(walmart[[#This Row],[Purchase_Date]],"MMM")</f>
        <v>Apr</v>
      </c>
      <c r="J846" t="str">
        <f>TEXT(walmart[[#This Row],[Purchase_Date]],"YYY")</f>
        <v>2024</v>
      </c>
      <c r="K846" s="3">
        <v>485.26</v>
      </c>
      <c r="L846" t="str">
        <f t="shared" si="65"/>
        <v>5% off</v>
      </c>
      <c r="M846" s="3">
        <f t="shared" si="66"/>
        <v>24.263000000000002</v>
      </c>
      <c r="N846" t="str">
        <f t="shared" si="67"/>
        <v>Yes</v>
      </c>
      <c r="O846" t="s">
        <v>21</v>
      </c>
      <c r="P846" s="3">
        <f t="shared" si="68"/>
        <v>460.99700000000001</v>
      </c>
      <c r="Q846" t="s">
        <v>47</v>
      </c>
      <c r="R846">
        <v>4</v>
      </c>
      <c r="S846" t="str">
        <f t="shared" si="69"/>
        <v>Good</v>
      </c>
    </row>
    <row r="847" spans="1:19" x14ac:dyDescent="0.25">
      <c r="A847" t="s">
        <v>1238</v>
      </c>
      <c r="B847">
        <v>41</v>
      </c>
      <c r="C847" t="s">
        <v>29</v>
      </c>
      <c r="D847" t="s">
        <v>2522</v>
      </c>
      <c r="E847" t="s">
        <v>55</v>
      </c>
      <c r="F847" t="s">
        <v>64</v>
      </c>
      <c r="G847" t="s">
        <v>1239</v>
      </c>
      <c r="H847" t="str">
        <f>TEXT(walmart[[#This Row],[Purchase_Date]],"DDD")</f>
        <v>Sun</v>
      </c>
      <c r="I847" t="str">
        <f>TEXT(walmart[[#This Row],[Purchase_Date]],"MMM")</f>
        <v>Jan</v>
      </c>
      <c r="J847" t="str">
        <f>TEXT(walmart[[#This Row],[Purchase_Date]],"YYY")</f>
        <v>2025</v>
      </c>
      <c r="K847" s="3">
        <v>374.92</v>
      </c>
      <c r="L847" t="str">
        <f t="shared" si="65"/>
        <v>5% off</v>
      </c>
      <c r="M847" s="3">
        <f t="shared" si="66"/>
        <v>18.746000000000002</v>
      </c>
      <c r="N847" t="str">
        <f t="shared" si="67"/>
        <v>Yes</v>
      </c>
      <c r="O847" t="s">
        <v>34</v>
      </c>
      <c r="P847" s="3">
        <f t="shared" si="68"/>
        <v>356.17400000000004</v>
      </c>
      <c r="Q847" t="s">
        <v>27</v>
      </c>
      <c r="R847">
        <v>1</v>
      </c>
      <c r="S847" t="str">
        <f t="shared" si="69"/>
        <v>Very Poor</v>
      </c>
    </row>
    <row r="848" spans="1:19" x14ac:dyDescent="0.25">
      <c r="A848" t="s">
        <v>1240</v>
      </c>
      <c r="B848">
        <v>37</v>
      </c>
      <c r="C848" t="s">
        <v>29</v>
      </c>
      <c r="D848" t="s">
        <v>2485</v>
      </c>
      <c r="E848" t="s">
        <v>42</v>
      </c>
      <c r="F848" t="s">
        <v>120</v>
      </c>
      <c r="G848" t="s">
        <v>317</v>
      </c>
      <c r="H848" t="str">
        <f>TEXT(walmart[[#This Row],[Purchase_Date]],"DDD")</f>
        <v>Mon</v>
      </c>
      <c r="I848" t="str">
        <f>TEXT(walmart[[#This Row],[Purchase_Date]],"MMM")</f>
        <v>Aug</v>
      </c>
      <c r="J848" t="str">
        <f>TEXT(walmart[[#This Row],[Purchase_Date]],"YYY")</f>
        <v>2024</v>
      </c>
      <c r="K848" s="3">
        <v>260.77999999999997</v>
      </c>
      <c r="L848" t="str">
        <f t="shared" si="65"/>
        <v>5% off</v>
      </c>
      <c r="M848" s="3">
        <f t="shared" si="66"/>
        <v>13.039</v>
      </c>
      <c r="N848" t="str">
        <f t="shared" si="67"/>
        <v>Yes</v>
      </c>
      <c r="O848" t="s">
        <v>21</v>
      </c>
      <c r="P848" s="3">
        <f t="shared" si="68"/>
        <v>247.74099999999999</v>
      </c>
      <c r="Q848" t="s">
        <v>35</v>
      </c>
      <c r="R848">
        <v>2</v>
      </c>
      <c r="S848" t="str">
        <f t="shared" si="69"/>
        <v>Poor</v>
      </c>
    </row>
    <row r="849" spans="1:19" x14ac:dyDescent="0.25">
      <c r="A849" t="s">
        <v>1241</v>
      </c>
      <c r="B849">
        <v>22</v>
      </c>
      <c r="C849" t="s">
        <v>16</v>
      </c>
      <c r="D849" t="s">
        <v>2523</v>
      </c>
      <c r="E849" t="s">
        <v>31</v>
      </c>
      <c r="F849" t="s">
        <v>169</v>
      </c>
      <c r="G849" t="s">
        <v>632</v>
      </c>
      <c r="H849" t="str">
        <f>TEXT(walmart[[#This Row],[Purchase_Date]],"DDD")</f>
        <v>Wed</v>
      </c>
      <c r="I849" t="str">
        <f>TEXT(walmart[[#This Row],[Purchase_Date]],"MMM")</f>
        <v>Jan</v>
      </c>
      <c r="J849" t="str">
        <f>TEXT(walmart[[#This Row],[Purchase_Date]],"YYY")</f>
        <v>2025</v>
      </c>
      <c r="K849" s="3">
        <v>52.44</v>
      </c>
      <c r="L849" t="str">
        <f t="shared" si="65"/>
        <v>0% off</v>
      </c>
      <c r="M849" s="3">
        <f t="shared" si="66"/>
        <v>0</v>
      </c>
      <c r="N849" t="str">
        <f t="shared" si="67"/>
        <v>No</v>
      </c>
      <c r="O849" t="s">
        <v>21</v>
      </c>
      <c r="P849" s="3">
        <f t="shared" si="68"/>
        <v>52.44</v>
      </c>
      <c r="Q849" t="s">
        <v>27</v>
      </c>
      <c r="R849">
        <v>1</v>
      </c>
      <c r="S849" t="str">
        <f t="shared" si="69"/>
        <v>Very Poor</v>
      </c>
    </row>
    <row r="850" spans="1:19" x14ac:dyDescent="0.25">
      <c r="A850" t="s">
        <v>1242</v>
      </c>
      <c r="B850">
        <v>66</v>
      </c>
      <c r="C850" t="s">
        <v>16</v>
      </c>
      <c r="D850" t="s">
        <v>2518</v>
      </c>
      <c r="E850" t="s">
        <v>18</v>
      </c>
      <c r="F850" t="s">
        <v>59</v>
      </c>
      <c r="G850" t="s">
        <v>189</v>
      </c>
      <c r="H850" t="str">
        <f>TEXT(walmart[[#This Row],[Purchase_Date]],"DDD")</f>
        <v>Sat</v>
      </c>
      <c r="I850" t="str">
        <f>TEXT(walmart[[#This Row],[Purchase_Date]],"MMM")</f>
        <v>Jun</v>
      </c>
      <c r="J850" t="str">
        <f>TEXT(walmart[[#This Row],[Purchase_Date]],"YYY")</f>
        <v>2024</v>
      </c>
      <c r="K850" s="3">
        <v>78.349999999999994</v>
      </c>
      <c r="L850" t="str">
        <f t="shared" si="65"/>
        <v>0% off</v>
      </c>
      <c r="M850" s="3">
        <f t="shared" si="66"/>
        <v>0</v>
      </c>
      <c r="N850" t="str">
        <f t="shared" si="67"/>
        <v>No</v>
      </c>
      <c r="O850" t="s">
        <v>21</v>
      </c>
      <c r="P850" s="3">
        <f t="shared" si="68"/>
        <v>78.349999999999994</v>
      </c>
      <c r="Q850" t="s">
        <v>35</v>
      </c>
      <c r="R850">
        <v>1</v>
      </c>
      <c r="S850" t="str">
        <f t="shared" si="69"/>
        <v>Very Poor</v>
      </c>
    </row>
    <row r="851" spans="1:19" x14ac:dyDescent="0.25">
      <c r="A851" t="s">
        <v>1243</v>
      </c>
      <c r="B851">
        <v>55</v>
      </c>
      <c r="C851" t="s">
        <v>29</v>
      </c>
      <c r="D851" t="s">
        <v>2524</v>
      </c>
      <c r="E851" t="s">
        <v>31</v>
      </c>
      <c r="F851" t="s">
        <v>300</v>
      </c>
      <c r="G851" t="s">
        <v>441</v>
      </c>
      <c r="H851" t="str">
        <f>TEXT(walmart[[#This Row],[Purchase_Date]],"DDD")</f>
        <v>Tue</v>
      </c>
      <c r="I851" t="str">
        <f>TEXT(walmart[[#This Row],[Purchase_Date]],"MMM")</f>
        <v>Apr</v>
      </c>
      <c r="J851" t="str">
        <f>TEXT(walmart[[#This Row],[Purchase_Date]],"YYY")</f>
        <v>2024</v>
      </c>
      <c r="K851" s="3">
        <v>340.04</v>
      </c>
      <c r="L851" t="str">
        <f t="shared" si="65"/>
        <v>5% off</v>
      </c>
      <c r="M851" s="3">
        <f t="shared" si="66"/>
        <v>17.002000000000002</v>
      </c>
      <c r="N851" t="str">
        <f t="shared" si="67"/>
        <v>Yes</v>
      </c>
      <c r="O851" t="s">
        <v>34</v>
      </c>
      <c r="P851" s="3">
        <f t="shared" si="68"/>
        <v>323.03800000000001</v>
      </c>
      <c r="Q851" t="s">
        <v>35</v>
      </c>
      <c r="R851">
        <v>1</v>
      </c>
      <c r="S851" t="str">
        <f t="shared" si="69"/>
        <v>Very Poor</v>
      </c>
    </row>
    <row r="852" spans="1:19" x14ac:dyDescent="0.25">
      <c r="A852" t="s">
        <v>1244</v>
      </c>
      <c r="B852">
        <v>50</v>
      </c>
      <c r="C852" t="s">
        <v>16</v>
      </c>
      <c r="D852" t="s">
        <v>2525</v>
      </c>
      <c r="E852" t="s">
        <v>37</v>
      </c>
      <c r="F852" t="s">
        <v>82</v>
      </c>
      <c r="G852" t="s">
        <v>407</v>
      </c>
      <c r="H852" t="str">
        <f>TEXT(walmart[[#This Row],[Purchase_Date]],"DDD")</f>
        <v>Tue</v>
      </c>
      <c r="I852" t="str">
        <f>TEXT(walmart[[#This Row],[Purchase_Date]],"MMM")</f>
        <v>Jul</v>
      </c>
      <c r="J852" t="str">
        <f>TEXT(walmart[[#This Row],[Purchase_Date]],"YYY")</f>
        <v>2024</v>
      </c>
      <c r="K852" s="3">
        <v>270.41000000000003</v>
      </c>
      <c r="L852" t="str">
        <f t="shared" si="65"/>
        <v>5% off</v>
      </c>
      <c r="M852" s="3">
        <f t="shared" si="66"/>
        <v>13.520500000000002</v>
      </c>
      <c r="N852" t="str">
        <f t="shared" si="67"/>
        <v>Yes</v>
      </c>
      <c r="O852" t="s">
        <v>34</v>
      </c>
      <c r="P852" s="3">
        <f t="shared" si="68"/>
        <v>256.8895</v>
      </c>
      <c r="Q852" t="s">
        <v>27</v>
      </c>
      <c r="R852">
        <v>4</v>
      </c>
      <c r="S852" t="str">
        <f t="shared" si="69"/>
        <v>Good</v>
      </c>
    </row>
    <row r="853" spans="1:19" x14ac:dyDescent="0.25">
      <c r="A853" t="s">
        <v>1245</v>
      </c>
      <c r="B853">
        <v>52</v>
      </c>
      <c r="C853" t="s">
        <v>16</v>
      </c>
      <c r="D853" t="s">
        <v>2487</v>
      </c>
      <c r="E853" t="s">
        <v>18</v>
      </c>
      <c r="F853" t="s">
        <v>77</v>
      </c>
      <c r="G853" t="s">
        <v>163</v>
      </c>
      <c r="H853" t="str">
        <f>TEXT(walmart[[#This Row],[Purchase_Date]],"DDD")</f>
        <v>Fri</v>
      </c>
      <c r="I853" t="str">
        <f>TEXT(walmart[[#This Row],[Purchase_Date]],"MMM")</f>
        <v>Nov</v>
      </c>
      <c r="J853" t="str">
        <f>TEXT(walmart[[#This Row],[Purchase_Date]],"YYY")</f>
        <v>2024</v>
      </c>
      <c r="K853" s="3">
        <v>116.78</v>
      </c>
      <c r="L853" t="str">
        <f t="shared" si="65"/>
        <v>0% off</v>
      </c>
      <c r="M853" s="3">
        <f t="shared" si="66"/>
        <v>0</v>
      </c>
      <c r="N853" t="str">
        <f t="shared" si="67"/>
        <v>No</v>
      </c>
      <c r="O853" t="s">
        <v>34</v>
      </c>
      <c r="P853" s="3">
        <f t="shared" si="68"/>
        <v>116.78</v>
      </c>
      <c r="Q853" t="s">
        <v>47</v>
      </c>
      <c r="R853">
        <v>3</v>
      </c>
      <c r="S853" t="str">
        <f t="shared" si="69"/>
        <v>Average</v>
      </c>
    </row>
    <row r="854" spans="1:19" x14ac:dyDescent="0.25">
      <c r="A854" t="s">
        <v>1246</v>
      </c>
      <c r="B854">
        <v>56</v>
      </c>
      <c r="C854" t="s">
        <v>16</v>
      </c>
      <c r="D854" t="s">
        <v>2519</v>
      </c>
      <c r="E854" t="s">
        <v>73</v>
      </c>
      <c r="F854" t="s">
        <v>74</v>
      </c>
      <c r="G854" t="s">
        <v>480</v>
      </c>
      <c r="H854" t="str">
        <f>TEXT(walmart[[#This Row],[Purchase_Date]],"DDD")</f>
        <v>Mon</v>
      </c>
      <c r="I854" t="str">
        <f>TEXT(walmart[[#This Row],[Purchase_Date]],"MMM")</f>
        <v>Oct</v>
      </c>
      <c r="J854" t="str">
        <f>TEXT(walmart[[#This Row],[Purchase_Date]],"YYY")</f>
        <v>2024</v>
      </c>
      <c r="K854" s="3">
        <v>782.29</v>
      </c>
      <c r="L854" t="str">
        <f t="shared" si="65"/>
        <v>15% off</v>
      </c>
      <c r="M854" s="3">
        <f t="shared" si="66"/>
        <v>117.34349999999999</v>
      </c>
      <c r="N854" t="str">
        <f t="shared" si="67"/>
        <v>Yes</v>
      </c>
      <c r="O854" t="s">
        <v>34</v>
      </c>
      <c r="P854" s="3">
        <f t="shared" si="68"/>
        <v>664.94650000000001</v>
      </c>
      <c r="Q854" t="s">
        <v>35</v>
      </c>
      <c r="R854">
        <v>2</v>
      </c>
      <c r="S854" t="str">
        <f t="shared" si="69"/>
        <v>Poor</v>
      </c>
    </row>
    <row r="855" spans="1:19" x14ac:dyDescent="0.25">
      <c r="A855" t="s">
        <v>1247</v>
      </c>
      <c r="B855">
        <v>69</v>
      </c>
      <c r="C855" t="s">
        <v>29</v>
      </c>
      <c r="D855" t="s">
        <v>2520</v>
      </c>
      <c r="E855" t="s">
        <v>55</v>
      </c>
      <c r="F855" t="s">
        <v>56</v>
      </c>
      <c r="G855" t="s">
        <v>147</v>
      </c>
      <c r="H855" t="str">
        <f>TEXT(walmart[[#This Row],[Purchase_Date]],"DDD")</f>
        <v>Sat</v>
      </c>
      <c r="I855" t="str">
        <f>TEXT(walmart[[#This Row],[Purchase_Date]],"MMM")</f>
        <v>Apr</v>
      </c>
      <c r="J855" t="str">
        <f>TEXT(walmart[[#This Row],[Purchase_Date]],"YYY")</f>
        <v>2024</v>
      </c>
      <c r="K855" s="3">
        <v>76.81</v>
      </c>
      <c r="L855" t="str">
        <f t="shared" si="65"/>
        <v>0% off</v>
      </c>
      <c r="M855" s="3">
        <f t="shared" si="66"/>
        <v>0</v>
      </c>
      <c r="N855" t="str">
        <f t="shared" si="67"/>
        <v>No</v>
      </c>
      <c r="O855" t="s">
        <v>34</v>
      </c>
      <c r="P855" s="3">
        <f t="shared" si="68"/>
        <v>76.81</v>
      </c>
      <c r="Q855" t="s">
        <v>35</v>
      </c>
      <c r="R855">
        <v>1</v>
      </c>
      <c r="S855" t="str">
        <f t="shared" si="69"/>
        <v>Very Poor</v>
      </c>
    </row>
    <row r="856" spans="1:19" x14ac:dyDescent="0.25">
      <c r="A856" t="s">
        <v>1248</v>
      </c>
      <c r="B856">
        <v>45</v>
      </c>
      <c r="C856" t="s">
        <v>29</v>
      </c>
      <c r="D856" t="s">
        <v>2526</v>
      </c>
      <c r="E856" t="s">
        <v>55</v>
      </c>
      <c r="F856" t="s">
        <v>56</v>
      </c>
      <c r="G856" t="s">
        <v>534</v>
      </c>
      <c r="H856" t="str">
        <f>TEXT(walmart[[#This Row],[Purchase_Date]],"DDD")</f>
        <v>Tue</v>
      </c>
      <c r="I856" t="str">
        <f>TEXT(walmart[[#This Row],[Purchase_Date]],"MMM")</f>
        <v>Feb</v>
      </c>
      <c r="J856" t="str">
        <f>TEXT(walmart[[#This Row],[Purchase_Date]],"YYY")</f>
        <v>2025</v>
      </c>
      <c r="K856" s="3">
        <v>76.81</v>
      </c>
      <c r="L856" t="str">
        <f t="shared" si="65"/>
        <v>0% off</v>
      </c>
      <c r="M856" s="3">
        <f t="shared" si="66"/>
        <v>0</v>
      </c>
      <c r="N856" t="str">
        <f t="shared" si="67"/>
        <v>No</v>
      </c>
      <c r="O856" t="s">
        <v>21</v>
      </c>
      <c r="P856" s="3">
        <f t="shared" si="68"/>
        <v>76.81</v>
      </c>
      <c r="Q856" t="s">
        <v>47</v>
      </c>
      <c r="R856">
        <v>4</v>
      </c>
      <c r="S856" t="str">
        <f t="shared" si="69"/>
        <v>Good</v>
      </c>
    </row>
    <row r="857" spans="1:19" x14ac:dyDescent="0.25">
      <c r="A857" t="s">
        <v>1249</v>
      </c>
      <c r="B857">
        <v>53</v>
      </c>
      <c r="C857" t="s">
        <v>16</v>
      </c>
      <c r="D857" t="s">
        <v>2527</v>
      </c>
      <c r="E857" t="s">
        <v>73</v>
      </c>
      <c r="F857" t="s">
        <v>91</v>
      </c>
      <c r="G857" t="s">
        <v>92</v>
      </c>
      <c r="H857" t="str">
        <f>TEXT(walmart[[#This Row],[Purchase_Date]],"DDD")</f>
        <v>Sun</v>
      </c>
      <c r="I857" t="str">
        <f>TEXT(walmart[[#This Row],[Purchase_Date]],"MMM")</f>
        <v>May</v>
      </c>
      <c r="J857" t="str">
        <f>TEXT(walmart[[#This Row],[Purchase_Date]],"YYY")</f>
        <v>2024</v>
      </c>
      <c r="K857" s="3">
        <v>418.55</v>
      </c>
      <c r="L857" t="str">
        <f t="shared" si="65"/>
        <v>5% off</v>
      </c>
      <c r="M857" s="3">
        <f t="shared" si="66"/>
        <v>20.927500000000002</v>
      </c>
      <c r="N857" t="str">
        <f t="shared" si="67"/>
        <v>Yes</v>
      </c>
      <c r="O857" t="s">
        <v>21</v>
      </c>
      <c r="P857" s="3">
        <f t="shared" si="68"/>
        <v>397.6225</v>
      </c>
      <c r="Q857" t="s">
        <v>22</v>
      </c>
      <c r="R857">
        <v>5</v>
      </c>
      <c r="S857" t="str">
        <f t="shared" si="69"/>
        <v>Excellent</v>
      </c>
    </row>
    <row r="858" spans="1:19" x14ac:dyDescent="0.25">
      <c r="A858" t="s">
        <v>1250</v>
      </c>
      <c r="B858">
        <v>23</v>
      </c>
      <c r="C858" t="s">
        <v>29</v>
      </c>
      <c r="D858" t="s">
        <v>2528</v>
      </c>
      <c r="E858" t="s">
        <v>37</v>
      </c>
      <c r="F858" t="s">
        <v>82</v>
      </c>
      <c r="G858" t="s">
        <v>1251</v>
      </c>
      <c r="H858" t="str">
        <f>TEXT(walmart[[#This Row],[Purchase_Date]],"DDD")</f>
        <v>Wed</v>
      </c>
      <c r="I858" t="str">
        <f>TEXT(walmart[[#This Row],[Purchase_Date]],"MMM")</f>
        <v>Mar</v>
      </c>
      <c r="J858" t="str">
        <f>TEXT(walmart[[#This Row],[Purchase_Date]],"YYY")</f>
        <v>2025</v>
      </c>
      <c r="K858" s="3">
        <v>270.41000000000003</v>
      </c>
      <c r="L858" t="str">
        <f t="shared" si="65"/>
        <v>5% off</v>
      </c>
      <c r="M858" s="3">
        <f t="shared" si="66"/>
        <v>13.520500000000002</v>
      </c>
      <c r="N858" t="str">
        <f t="shared" si="67"/>
        <v>Yes</v>
      </c>
      <c r="O858" t="s">
        <v>34</v>
      </c>
      <c r="P858" s="3">
        <f t="shared" si="68"/>
        <v>256.8895</v>
      </c>
      <c r="Q858" t="s">
        <v>22</v>
      </c>
      <c r="R858">
        <v>5</v>
      </c>
      <c r="S858" t="str">
        <f t="shared" si="69"/>
        <v>Excellent</v>
      </c>
    </row>
    <row r="859" spans="1:19" x14ac:dyDescent="0.25">
      <c r="A859" t="s">
        <v>1252</v>
      </c>
      <c r="B859">
        <v>60</v>
      </c>
      <c r="C859" t="s">
        <v>16</v>
      </c>
      <c r="D859" t="s">
        <v>2529</v>
      </c>
      <c r="E859" t="s">
        <v>73</v>
      </c>
      <c r="F859" t="s">
        <v>94</v>
      </c>
      <c r="G859" t="s">
        <v>1253</v>
      </c>
      <c r="H859" t="str">
        <f>TEXT(walmart[[#This Row],[Purchase_Date]],"DDD")</f>
        <v>Thu</v>
      </c>
      <c r="I859" t="str">
        <f>TEXT(walmart[[#This Row],[Purchase_Date]],"MMM")</f>
        <v>Feb</v>
      </c>
      <c r="J859" t="str">
        <f>TEXT(walmart[[#This Row],[Purchase_Date]],"YYY")</f>
        <v>2025</v>
      </c>
      <c r="K859" s="3">
        <v>965.09</v>
      </c>
      <c r="L859" t="str">
        <f t="shared" si="65"/>
        <v>20% off</v>
      </c>
      <c r="M859" s="3">
        <f t="shared" si="66"/>
        <v>193.01800000000003</v>
      </c>
      <c r="N859" t="str">
        <f t="shared" si="67"/>
        <v>Yes</v>
      </c>
      <c r="O859" t="s">
        <v>34</v>
      </c>
      <c r="P859" s="3">
        <f t="shared" si="68"/>
        <v>772.072</v>
      </c>
      <c r="Q859" t="s">
        <v>47</v>
      </c>
      <c r="R859">
        <v>5</v>
      </c>
      <c r="S859" t="str">
        <f t="shared" si="69"/>
        <v>Excellent</v>
      </c>
    </row>
    <row r="860" spans="1:19" x14ac:dyDescent="0.25">
      <c r="A860" t="s">
        <v>1254</v>
      </c>
      <c r="B860">
        <v>54</v>
      </c>
      <c r="C860" t="s">
        <v>29</v>
      </c>
      <c r="D860" t="s">
        <v>2530</v>
      </c>
      <c r="E860" t="s">
        <v>18</v>
      </c>
      <c r="F860" t="s">
        <v>77</v>
      </c>
      <c r="G860" t="s">
        <v>630</v>
      </c>
      <c r="H860" t="str">
        <f>TEXT(walmart[[#This Row],[Purchase_Date]],"DDD")</f>
        <v>Tue</v>
      </c>
      <c r="I860" t="str">
        <f>TEXT(walmart[[#This Row],[Purchase_Date]],"MMM")</f>
        <v>Mar</v>
      </c>
      <c r="J860" t="str">
        <f>TEXT(walmart[[#This Row],[Purchase_Date]],"YYY")</f>
        <v>2025</v>
      </c>
      <c r="K860" s="3">
        <v>116.78</v>
      </c>
      <c r="L860" t="str">
        <f t="shared" si="65"/>
        <v>0% off</v>
      </c>
      <c r="M860" s="3">
        <f t="shared" si="66"/>
        <v>0</v>
      </c>
      <c r="N860" t="str">
        <f t="shared" si="67"/>
        <v>No</v>
      </c>
      <c r="O860" t="s">
        <v>21</v>
      </c>
      <c r="P860" s="3">
        <f t="shared" si="68"/>
        <v>116.78</v>
      </c>
      <c r="Q860" t="s">
        <v>47</v>
      </c>
      <c r="R860">
        <v>2</v>
      </c>
      <c r="S860" t="str">
        <f t="shared" si="69"/>
        <v>Poor</v>
      </c>
    </row>
    <row r="861" spans="1:19" x14ac:dyDescent="0.25">
      <c r="A861" t="s">
        <v>1255</v>
      </c>
      <c r="B861">
        <v>47</v>
      </c>
      <c r="C861" t="s">
        <v>29</v>
      </c>
      <c r="D861" t="s">
        <v>2531</v>
      </c>
      <c r="E861" t="s">
        <v>24</v>
      </c>
      <c r="F861" t="s">
        <v>186</v>
      </c>
      <c r="G861" t="s">
        <v>250</v>
      </c>
      <c r="H861" t="str">
        <f>TEXT(walmart[[#This Row],[Purchase_Date]],"DDD")</f>
        <v>Sun</v>
      </c>
      <c r="I861" t="str">
        <f>TEXT(walmart[[#This Row],[Purchase_Date]],"MMM")</f>
        <v>Jul</v>
      </c>
      <c r="J861" t="str">
        <f>TEXT(walmart[[#This Row],[Purchase_Date]],"YYY")</f>
        <v>2024</v>
      </c>
      <c r="K861" s="3">
        <v>527.16999999999996</v>
      </c>
      <c r="L861" t="str">
        <f t="shared" si="65"/>
        <v>10% off</v>
      </c>
      <c r="M861" s="3">
        <f t="shared" si="66"/>
        <v>52.716999999999999</v>
      </c>
      <c r="N861" t="str">
        <f t="shared" si="67"/>
        <v>Yes</v>
      </c>
      <c r="O861" t="s">
        <v>21</v>
      </c>
      <c r="P861" s="3">
        <f t="shared" si="68"/>
        <v>474.45299999999997</v>
      </c>
      <c r="Q861" t="s">
        <v>47</v>
      </c>
      <c r="R861">
        <v>1</v>
      </c>
      <c r="S861" t="str">
        <f t="shared" si="69"/>
        <v>Very Poor</v>
      </c>
    </row>
    <row r="862" spans="1:19" x14ac:dyDescent="0.25">
      <c r="A862" t="s">
        <v>1256</v>
      </c>
      <c r="B862">
        <v>21</v>
      </c>
      <c r="C862" t="s">
        <v>16</v>
      </c>
      <c r="D862" t="s">
        <v>2532</v>
      </c>
      <c r="E862" t="s">
        <v>73</v>
      </c>
      <c r="F862" t="s">
        <v>91</v>
      </c>
      <c r="G862" t="s">
        <v>71</v>
      </c>
      <c r="H862" t="str">
        <f>TEXT(walmart[[#This Row],[Purchase_Date]],"DDD")</f>
        <v>Wed</v>
      </c>
      <c r="I862" t="str">
        <f>TEXT(walmart[[#This Row],[Purchase_Date]],"MMM")</f>
        <v>Jul</v>
      </c>
      <c r="J862" t="str">
        <f>TEXT(walmart[[#This Row],[Purchase_Date]],"YYY")</f>
        <v>2024</v>
      </c>
      <c r="K862" s="3">
        <v>418.55</v>
      </c>
      <c r="L862" t="str">
        <f t="shared" si="65"/>
        <v>5% off</v>
      </c>
      <c r="M862" s="3">
        <f t="shared" si="66"/>
        <v>20.927500000000002</v>
      </c>
      <c r="N862" t="str">
        <f t="shared" si="67"/>
        <v>Yes</v>
      </c>
      <c r="O862" t="s">
        <v>34</v>
      </c>
      <c r="P862" s="3">
        <f t="shared" si="68"/>
        <v>397.6225</v>
      </c>
      <c r="Q862" t="s">
        <v>22</v>
      </c>
      <c r="R862">
        <v>3</v>
      </c>
      <c r="S862" t="str">
        <f t="shared" si="69"/>
        <v>Average</v>
      </c>
    </row>
    <row r="863" spans="1:19" x14ac:dyDescent="0.25">
      <c r="A863" t="s">
        <v>1257</v>
      </c>
      <c r="B863">
        <v>36</v>
      </c>
      <c r="C863" t="s">
        <v>16</v>
      </c>
      <c r="D863" t="s">
        <v>2533</v>
      </c>
      <c r="E863" t="s">
        <v>24</v>
      </c>
      <c r="F863" t="s">
        <v>162</v>
      </c>
      <c r="G863" t="s">
        <v>369</v>
      </c>
      <c r="H863" t="str">
        <f>TEXT(walmart[[#This Row],[Purchase_Date]],"DDD")</f>
        <v>Fri</v>
      </c>
      <c r="I863" t="str">
        <f>TEXT(walmart[[#This Row],[Purchase_Date]],"MMM")</f>
        <v>Aug</v>
      </c>
      <c r="J863" t="str">
        <f>TEXT(walmart[[#This Row],[Purchase_Date]],"YYY")</f>
        <v>2024</v>
      </c>
      <c r="K863" s="3">
        <v>362.55</v>
      </c>
      <c r="L863" t="str">
        <f t="shared" si="65"/>
        <v>5% off</v>
      </c>
      <c r="M863" s="3">
        <f t="shared" si="66"/>
        <v>18.127500000000001</v>
      </c>
      <c r="N863" t="str">
        <f t="shared" si="67"/>
        <v>Yes</v>
      </c>
      <c r="O863" t="s">
        <v>34</v>
      </c>
      <c r="P863" s="3">
        <f t="shared" si="68"/>
        <v>344.42250000000001</v>
      </c>
      <c r="Q863" t="s">
        <v>35</v>
      </c>
      <c r="R863">
        <v>4</v>
      </c>
      <c r="S863" t="str">
        <f t="shared" si="69"/>
        <v>Good</v>
      </c>
    </row>
    <row r="864" spans="1:19" x14ac:dyDescent="0.25">
      <c r="A864" t="s">
        <v>1258</v>
      </c>
      <c r="B864">
        <v>53</v>
      </c>
      <c r="C864" t="s">
        <v>16</v>
      </c>
      <c r="D864" t="s">
        <v>2534</v>
      </c>
      <c r="E864" t="s">
        <v>37</v>
      </c>
      <c r="F864" t="s">
        <v>38</v>
      </c>
      <c r="G864" t="s">
        <v>672</v>
      </c>
      <c r="H864" t="str">
        <f>TEXT(walmart[[#This Row],[Purchase_Date]],"DDD")</f>
        <v>Sat</v>
      </c>
      <c r="I864" t="str">
        <f>TEXT(walmart[[#This Row],[Purchase_Date]],"MMM")</f>
        <v>Feb</v>
      </c>
      <c r="J864" t="str">
        <f>TEXT(walmart[[#This Row],[Purchase_Date]],"YYY")</f>
        <v>2025</v>
      </c>
      <c r="K864" s="3">
        <v>211.46</v>
      </c>
      <c r="L864" t="str">
        <f t="shared" si="65"/>
        <v>5% off</v>
      </c>
      <c r="M864" s="3">
        <f t="shared" si="66"/>
        <v>10.573</v>
      </c>
      <c r="N864" t="str">
        <f t="shared" si="67"/>
        <v>Yes</v>
      </c>
      <c r="O864" t="s">
        <v>34</v>
      </c>
      <c r="P864" s="3">
        <f t="shared" si="68"/>
        <v>200.887</v>
      </c>
      <c r="Q864" t="s">
        <v>35</v>
      </c>
      <c r="R864">
        <v>5</v>
      </c>
      <c r="S864" t="str">
        <f t="shared" si="69"/>
        <v>Excellent</v>
      </c>
    </row>
    <row r="865" spans="1:19" x14ac:dyDescent="0.25">
      <c r="A865" t="s">
        <v>1259</v>
      </c>
      <c r="B865">
        <v>55</v>
      </c>
      <c r="C865" t="s">
        <v>16</v>
      </c>
      <c r="D865" t="s">
        <v>2535</v>
      </c>
      <c r="E865" t="s">
        <v>31</v>
      </c>
      <c r="F865" t="s">
        <v>32</v>
      </c>
      <c r="G865" t="s">
        <v>658</v>
      </c>
      <c r="H865" t="str">
        <f>TEXT(walmart[[#This Row],[Purchase_Date]],"DDD")</f>
        <v>Fri</v>
      </c>
      <c r="I865" t="str">
        <f>TEXT(walmart[[#This Row],[Purchase_Date]],"MMM")</f>
        <v>Jun</v>
      </c>
      <c r="J865" t="str">
        <f>TEXT(walmart[[#This Row],[Purchase_Date]],"YYY")</f>
        <v>2024</v>
      </c>
      <c r="K865" s="3">
        <v>493.96</v>
      </c>
      <c r="L865" t="str">
        <f t="shared" si="65"/>
        <v>5% off</v>
      </c>
      <c r="M865" s="3">
        <f t="shared" si="66"/>
        <v>24.698</v>
      </c>
      <c r="N865" t="str">
        <f t="shared" si="67"/>
        <v>Yes</v>
      </c>
      <c r="O865" t="s">
        <v>21</v>
      </c>
      <c r="P865" s="3">
        <f t="shared" si="68"/>
        <v>469.262</v>
      </c>
      <c r="Q865" t="s">
        <v>35</v>
      </c>
      <c r="R865">
        <v>3</v>
      </c>
      <c r="S865" t="str">
        <f t="shared" si="69"/>
        <v>Average</v>
      </c>
    </row>
    <row r="866" spans="1:19" x14ac:dyDescent="0.25">
      <c r="A866" t="s">
        <v>1260</v>
      </c>
      <c r="B866">
        <v>50</v>
      </c>
      <c r="C866" t="s">
        <v>29</v>
      </c>
      <c r="D866" t="s">
        <v>2518</v>
      </c>
      <c r="E866" t="s">
        <v>18</v>
      </c>
      <c r="F866" t="s">
        <v>59</v>
      </c>
      <c r="G866" t="s">
        <v>523</v>
      </c>
      <c r="H866" t="str">
        <f>TEXT(walmart[[#This Row],[Purchase_Date]],"DDD")</f>
        <v>Fri</v>
      </c>
      <c r="I866" t="str">
        <f>TEXT(walmart[[#This Row],[Purchase_Date]],"MMM")</f>
        <v>Oct</v>
      </c>
      <c r="J866" t="str">
        <f>TEXT(walmart[[#This Row],[Purchase_Date]],"YYY")</f>
        <v>2024</v>
      </c>
      <c r="K866" s="3">
        <v>78.349999999999994</v>
      </c>
      <c r="L866" t="str">
        <f t="shared" si="65"/>
        <v>0% off</v>
      </c>
      <c r="M866" s="3">
        <f t="shared" si="66"/>
        <v>0</v>
      </c>
      <c r="N866" t="str">
        <f t="shared" si="67"/>
        <v>No</v>
      </c>
      <c r="O866" t="s">
        <v>34</v>
      </c>
      <c r="P866" s="3">
        <f t="shared" si="68"/>
        <v>78.349999999999994</v>
      </c>
      <c r="Q866" t="s">
        <v>47</v>
      </c>
      <c r="R866">
        <v>1</v>
      </c>
      <c r="S866" t="str">
        <f t="shared" si="69"/>
        <v>Very Poor</v>
      </c>
    </row>
    <row r="867" spans="1:19" x14ac:dyDescent="0.25">
      <c r="A867" t="s">
        <v>1261</v>
      </c>
      <c r="B867">
        <v>19</v>
      </c>
      <c r="C867" t="s">
        <v>16</v>
      </c>
      <c r="D867" t="s">
        <v>2536</v>
      </c>
      <c r="E867" t="s">
        <v>24</v>
      </c>
      <c r="F867" t="s">
        <v>186</v>
      </c>
      <c r="G867" t="s">
        <v>609</v>
      </c>
      <c r="H867" t="str">
        <f>TEXT(walmart[[#This Row],[Purchase_Date]],"DDD")</f>
        <v>Sat</v>
      </c>
      <c r="I867" t="str">
        <f>TEXT(walmart[[#This Row],[Purchase_Date]],"MMM")</f>
        <v>Sep</v>
      </c>
      <c r="J867" t="str">
        <f>TEXT(walmart[[#This Row],[Purchase_Date]],"YYY")</f>
        <v>2024</v>
      </c>
      <c r="K867" s="3">
        <v>527.16999999999996</v>
      </c>
      <c r="L867" t="str">
        <f t="shared" si="65"/>
        <v>10% off</v>
      </c>
      <c r="M867" s="3">
        <f t="shared" si="66"/>
        <v>52.716999999999999</v>
      </c>
      <c r="N867" t="str">
        <f t="shared" si="67"/>
        <v>Yes</v>
      </c>
      <c r="O867" t="s">
        <v>34</v>
      </c>
      <c r="P867" s="3">
        <f t="shared" si="68"/>
        <v>474.45299999999997</v>
      </c>
      <c r="Q867" t="s">
        <v>47</v>
      </c>
      <c r="R867">
        <v>3</v>
      </c>
      <c r="S867" t="str">
        <f t="shared" si="69"/>
        <v>Average</v>
      </c>
    </row>
    <row r="868" spans="1:19" x14ac:dyDescent="0.25">
      <c r="A868" t="s">
        <v>1262</v>
      </c>
      <c r="B868">
        <v>20</v>
      </c>
      <c r="C868" t="s">
        <v>16</v>
      </c>
      <c r="D868" t="s">
        <v>2537</v>
      </c>
      <c r="E868" t="s">
        <v>42</v>
      </c>
      <c r="F868" t="s">
        <v>120</v>
      </c>
      <c r="G868" t="s">
        <v>319</v>
      </c>
      <c r="H868" t="str">
        <f>TEXT(walmart[[#This Row],[Purchase_Date]],"DDD")</f>
        <v>Tue</v>
      </c>
      <c r="I868" t="str">
        <f>TEXT(walmart[[#This Row],[Purchase_Date]],"MMM")</f>
        <v>May</v>
      </c>
      <c r="J868" t="str">
        <f>TEXT(walmart[[#This Row],[Purchase_Date]],"YYY")</f>
        <v>2024</v>
      </c>
      <c r="K868" s="3">
        <v>260.77999999999997</v>
      </c>
      <c r="L868" t="str">
        <f t="shared" si="65"/>
        <v>5% off</v>
      </c>
      <c r="M868" s="3">
        <f t="shared" si="66"/>
        <v>13.039</v>
      </c>
      <c r="N868" t="str">
        <f t="shared" si="67"/>
        <v>Yes</v>
      </c>
      <c r="O868" t="s">
        <v>21</v>
      </c>
      <c r="P868" s="3">
        <f t="shared" si="68"/>
        <v>247.74099999999999</v>
      </c>
      <c r="Q868" t="s">
        <v>47</v>
      </c>
      <c r="R868">
        <v>3</v>
      </c>
      <c r="S868" t="str">
        <f t="shared" si="69"/>
        <v>Average</v>
      </c>
    </row>
    <row r="869" spans="1:19" x14ac:dyDescent="0.25">
      <c r="A869" t="s">
        <v>1263</v>
      </c>
      <c r="B869">
        <v>45</v>
      </c>
      <c r="C869" t="s">
        <v>16</v>
      </c>
      <c r="D869" t="s">
        <v>2538</v>
      </c>
      <c r="E869" t="s">
        <v>73</v>
      </c>
      <c r="F869" t="s">
        <v>138</v>
      </c>
      <c r="G869" t="s">
        <v>490</v>
      </c>
      <c r="H869" t="str">
        <f>TEXT(walmart[[#This Row],[Purchase_Date]],"DDD")</f>
        <v>Mon</v>
      </c>
      <c r="I869" t="str">
        <f>TEXT(walmart[[#This Row],[Purchase_Date]],"MMM")</f>
        <v>Dec</v>
      </c>
      <c r="J869" t="str">
        <f>TEXT(walmart[[#This Row],[Purchase_Date]],"YYY")</f>
        <v>2024</v>
      </c>
      <c r="K869" s="3">
        <v>461.81</v>
      </c>
      <c r="L869" t="str">
        <f t="shared" si="65"/>
        <v>5% off</v>
      </c>
      <c r="M869" s="3">
        <f t="shared" si="66"/>
        <v>23.090500000000002</v>
      </c>
      <c r="N869" t="str">
        <f t="shared" si="67"/>
        <v>Yes</v>
      </c>
      <c r="O869" t="s">
        <v>21</v>
      </c>
      <c r="P869" s="3">
        <f t="shared" si="68"/>
        <v>438.71949999999998</v>
      </c>
      <c r="Q869" t="s">
        <v>22</v>
      </c>
      <c r="R869">
        <v>2</v>
      </c>
      <c r="S869" t="str">
        <f t="shared" si="69"/>
        <v>Poor</v>
      </c>
    </row>
    <row r="870" spans="1:19" x14ac:dyDescent="0.25">
      <c r="A870" t="s">
        <v>1264</v>
      </c>
      <c r="B870">
        <v>48</v>
      </c>
      <c r="C870" t="s">
        <v>29</v>
      </c>
      <c r="D870" t="s">
        <v>2539</v>
      </c>
      <c r="E870" t="s">
        <v>37</v>
      </c>
      <c r="F870" t="s">
        <v>97</v>
      </c>
      <c r="G870" t="s">
        <v>89</v>
      </c>
      <c r="H870" t="str">
        <f>TEXT(walmart[[#This Row],[Purchase_Date]],"DDD")</f>
        <v>Wed</v>
      </c>
      <c r="I870" t="str">
        <f>TEXT(walmart[[#This Row],[Purchase_Date]],"MMM")</f>
        <v>Jun</v>
      </c>
      <c r="J870" t="str">
        <f>TEXT(walmart[[#This Row],[Purchase_Date]],"YYY")</f>
        <v>2024</v>
      </c>
      <c r="K870" s="3">
        <v>855.21</v>
      </c>
      <c r="L870" t="str">
        <f t="shared" si="65"/>
        <v>15% off</v>
      </c>
      <c r="M870" s="3">
        <f t="shared" si="66"/>
        <v>128.28149999999999</v>
      </c>
      <c r="N870" t="str">
        <f t="shared" si="67"/>
        <v>Yes</v>
      </c>
      <c r="O870" t="s">
        <v>21</v>
      </c>
      <c r="P870" s="3">
        <f t="shared" si="68"/>
        <v>726.92849999999999</v>
      </c>
      <c r="Q870" t="s">
        <v>35</v>
      </c>
      <c r="R870">
        <v>3</v>
      </c>
      <c r="S870" t="str">
        <f t="shared" si="69"/>
        <v>Average</v>
      </c>
    </row>
    <row r="871" spans="1:19" x14ac:dyDescent="0.25">
      <c r="A871" t="s">
        <v>1265</v>
      </c>
      <c r="B871">
        <v>23</v>
      </c>
      <c r="C871" t="s">
        <v>29</v>
      </c>
      <c r="D871" t="s">
        <v>2540</v>
      </c>
      <c r="E871" t="s">
        <v>73</v>
      </c>
      <c r="F871" t="s">
        <v>74</v>
      </c>
      <c r="G871" t="s">
        <v>1266</v>
      </c>
      <c r="H871" t="str">
        <f>TEXT(walmart[[#This Row],[Purchase_Date]],"DDD")</f>
        <v>Fri</v>
      </c>
      <c r="I871" t="str">
        <f>TEXT(walmart[[#This Row],[Purchase_Date]],"MMM")</f>
        <v>Feb</v>
      </c>
      <c r="J871" t="str">
        <f>TEXT(walmart[[#This Row],[Purchase_Date]],"YYY")</f>
        <v>2025</v>
      </c>
      <c r="K871" s="3">
        <v>782.29</v>
      </c>
      <c r="L871" t="str">
        <f t="shared" si="65"/>
        <v>15% off</v>
      </c>
      <c r="M871" s="3">
        <f t="shared" si="66"/>
        <v>117.34349999999999</v>
      </c>
      <c r="N871" t="str">
        <f t="shared" si="67"/>
        <v>Yes</v>
      </c>
      <c r="O871" t="s">
        <v>34</v>
      </c>
      <c r="P871" s="3">
        <f t="shared" si="68"/>
        <v>664.94650000000001</v>
      </c>
      <c r="Q871" t="s">
        <v>35</v>
      </c>
      <c r="R871">
        <v>3</v>
      </c>
      <c r="S871" t="str">
        <f t="shared" si="69"/>
        <v>Average</v>
      </c>
    </row>
    <row r="872" spans="1:19" x14ac:dyDescent="0.25">
      <c r="A872" t="s">
        <v>1267</v>
      </c>
      <c r="B872">
        <v>40</v>
      </c>
      <c r="C872" t="s">
        <v>16</v>
      </c>
      <c r="D872" t="s">
        <v>2488</v>
      </c>
      <c r="E872" t="s">
        <v>31</v>
      </c>
      <c r="F872" t="s">
        <v>169</v>
      </c>
      <c r="G872" t="s">
        <v>746</v>
      </c>
      <c r="H872" t="str">
        <f>TEXT(walmart[[#This Row],[Purchase_Date]],"DDD")</f>
        <v>Tue</v>
      </c>
      <c r="I872" t="str">
        <f>TEXT(walmart[[#This Row],[Purchase_Date]],"MMM")</f>
        <v>Dec</v>
      </c>
      <c r="J872" t="str">
        <f>TEXT(walmart[[#This Row],[Purchase_Date]],"YYY")</f>
        <v>2024</v>
      </c>
      <c r="K872" s="3">
        <v>52.44</v>
      </c>
      <c r="L872" t="str">
        <f t="shared" si="65"/>
        <v>0% off</v>
      </c>
      <c r="M872" s="3">
        <f t="shared" si="66"/>
        <v>0</v>
      </c>
      <c r="N872" t="str">
        <f t="shared" si="67"/>
        <v>No</v>
      </c>
      <c r="O872" t="s">
        <v>34</v>
      </c>
      <c r="P872" s="3">
        <f t="shared" si="68"/>
        <v>52.44</v>
      </c>
      <c r="Q872" t="s">
        <v>35</v>
      </c>
      <c r="R872">
        <v>3</v>
      </c>
      <c r="S872" t="str">
        <f t="shared" si="69"/>
        <v>Average</v>
      </c>
    </row>
    <row r="873" spans="1:19" x14ac:dyDescent="0.25">
      <c r="A873" t="s">
        <v>1268</v>
      </c>
      <c r="B873">
        <v>56</v>
      </c>
      <c r="C873" t="s">
        <v>29</v>
      </c>
      <c r="D873" t="s">
        <v>2541</v>
      </c>
      <c r="E873" t="s">
        <v>24</v>
      </c>
      <c r="F873" t="s">
        <v>162</v>
      </c>
      <c r="G873" t="s">
        <v>465</v>
      </c>
      <c r="H873" t="str">
        <f>TEXT(walmart[[#This Row],[Purchase_Date]],"DDD")</f>
        <v>Tue</v>
      </c>
      <c r="I873" t="str">
        <f>TEXT(walmart[[#This Row],[Purchase_Date]],"MMM")</f>
        <v>Feb</v>
      </c>
      <c r="J873" t="str">
        <f>TEXT(walmart[[#This Row],[Purchase_Date]],"YYY")</f>
        <v>2025</v>
      </c>
      <c r="K873" s="3">
        <v>362.55</v>
      </c>
      <c r="L873" t="str">
        <f t="shared" si="65"/>
        <v>5% off</v>
      </c>
      <c r="M873" s="3">
        <f t="shared" si="66"/>
        <v>18.127500000000001</v>
      </c>
      <c r="N873" t="str">
        <f t="shared" si="67"/>
        <v>Yes</v>
      </c>
      <c r="O873" t="s">
        <v>34</v>
      </c>
      <c r="P873" s="3">
        <f t="shared" si="68"/>
        <v>344.42250000000001</v>
      </c>
      <c r="Q873" t="s">
        <v>27</v>
      </c>
      <c r="R873">
        <v>1</v>
      </c>
      <c r="S873" t="str">
        <f t="shared" si="69"/>
        <v>Very Poor</v>
      </c>
    </row>
    <row r="874" spans="1:19" x14ac:dyDescent="0.25">
      <c r="A874" t="s">
        <v>1269</v>
      </c>
      <c r="B874">
        <v>58</v>
      </c>
      <c r="C874" t="s">
        <v>29</v>
      </c>
      <c r="D874" t="s">
        <v>2542</v>
      </c>
      <c r="E874" t="s">
        <v>31</v>
      </c>
      <c r="F874" t="s">
        <v>32</v>
      </c>
      <c r="G874" t="s">
        <v>801</v>
      </c>
      <c r="H874" t="str">
        <f>TEXT(walmart[[#This Row],[Purchase_Date]],"DDD")</f>
        <v>Sat</v>
      </c>
      <c r="I874" t="str">
        <f>TEXT(walmart[[#This Row],[Purchase_Date]],"MMM")</f>
        <v>Jan</v>
      </c>
      <c r="J874" t="str">
        <f>TEXT(walmart[[#This Row],[Purchase_Date]],"YYY")</f>
        <v>2025</v>
      </c>
      <c r="K874" s="3">
        <v>493.96</v>
      </c>
      <c r="L874" t="str">
        <f t="shared" si="65"/>
        <v>5% off</v>
      </c>
      <c r="M874" s="3">
        <f t="shared" si="66"/>
        <v>24.698</v>
      </c>
      <c r="N874" t="str">
        <f t="shared" si="67"/>
        <v>Yes</v>
      </c>
      <c r="O874" t="s">
        <v>34</v>
      </c>
      <c r="P874" s="3">
        <f t="shared" si="68"/>
        <v>469.262</v>
      </c>
      <c r="Q874" t="s">
        <v>27</v>
      </c>
      <c r="R874">
        <v>1</v>
      </c>
      <c r="S874" t="str">
        <f t="shared" si="69"/>
        <v>Very Poor</v>
      </c>
    </row>
    <row r="875" spans="1:19" x14ac:dyDescent="0.25">
      <c r="A875" t="s">
        <v>1270</v>
      </c>
      <c r="B875">
        <v>24</v>
      </c>
      <c r="C875" t="s">
        <v>16</v>
      </c>
      <c r="D875" t="s">
        <v>2543</v>
      </c>
      <c r="E875" t="s">
        <v>73</v>
      </c>
      <c r="F875" t="s">
        <v>91</v>
      </c>
      <c r="G875" t="s">
        <v>33</v>
      </c>
      <c r="H875" t="str">
        <f>TEXT(walmart[[#This Row],[Purchase_Date]],"DDD")</f>
        <v>Sat</v>
      </c>
      <c r="I875" t="str">
        <f>TEXT(walmart[[#This Row],[Purchase_Date]],"MMM")</f>
        <v>Jul</v>
      </c>
      <c r="J875" t="str">
        <f>TEXT(walmart[[#This Row],[Purchase_Date]],"YYY")</f>
        <v>2024</v>
      </c>
      <c r="K875" s="3">
        <v>418.55</v>
      </c>
      <c r="L875" t="str">
        <f t="shared" si="65"/>
        <v>5% off</v>
      </c>
      <c r="M875" s="3">
        <f t="shared" si="66"/>
        <v>20.927500000000002</v>
      </c>
      <c r="N875" t="str">
        <f t="shared" si="67"/>
        <v>Yes</v>
      </c>
      <c r="O875" t="s">
        <v>34</v>
      </c>
      <c r="P875" s="3">
        <f t="shared" si="68"/>
        <v>397.6225</v>
      </c>
      <c r="Q875" t="s">
        <v>22</v>
      </c>
      <c r="R875">
        <v>5</v>
      </c>
      <c r="S875" t="str">
        <f t="shared" si="69"/>
        <v>Excellent</v>
      </c>
    </row>
    <row r="876" spans="1:19" x14ac:dyDescent="0.25">
      <c r="A876" t="s">
        <v>1271</v>
      </c>
      <c r="B876">
        <v>36</v>
      </c>
      <c r="C876" t="s">
        <v>29</v>
      </c>
      <c r="D876" t="s">
        <v>2544</v>
      </c>
      <c r="E876" t="s">
        <v>55</v>
      </c>
      <c r="F876" t="s">
        <v>67</v>
      </c>
      <c r="G876" t="s">
        <v>712</v>
      </c>
      <c r="H876" t="str">
        <f>TEXT(walmart[[#This Row],[Purchase_Date]],"DDD")</f>
        <v>Thu</v>
      </c>
      <c r="I876" t="str">
        <f>TEXT(walmart[[#This Row],[Purchase_Date]],"MMM")</f>
        <v>May</v>
      </c>
      <c r="J876" t="str">
        <f>TEXT(walmart[[#This Row],[Purchase_Date]],"YYY")</f>
        <v>2024</v>
      </c>
      <c r="K876" s="3">
        <v>452.97</v>
      </c>
      <c r="L876" t="str">
        <f t="shared" si="65"/>
        <v>5% off</v>
      </c>
      <c r="M876" s="3">
        <f t="shared" si="66"/>
        <v>22.648500000000002</v>
      </c>
      <c r="N876" t="str">
        <f t="shared" si="67"/>
        <v>Yes</v>
      </c>
      <c r="O876" t="s">
        <v>34</v>
      </c>
      <c r="P876" s="3">
        <f t="shared" si="68"/>
        <v>430.32150000000001</v>
      </c>
      <c r="Q876" t="s">
        <v>35</v>
      </c>
      <c r="R876">
        <v>5</v>
      </c>
      <c r="S876" t="str">
        <f t="shared" si="69"/>
        <v>Excellent</v>
      </c>
    </row>
    <row r="877" spans="1:19" x14ac:dyDescent="0.25">
      <c r="A877" t="s">
        <v>1272</v>
      </c>
      <c r="B877">
        <v>66</v>
      </c>
      <c r="C877" t="s">
        <v>29</v>
      </c>
      <c r="D877" t="s">
        <v>2545</v>
      </c>
      <c r="E877" t="s">
        <v>18</v>
      </c>
      <c r="F877" t="s">
        <v>19</v>
      </c>
      <c r="G877" t="s">
        <v>33</v>
      </c>
      <c r="H877" t="str">
        <f>TEXT(walmart[[#This Row],[Purchase_Date]],"DDD")</f>
        <v>Sat</v>
      </c>
      <c r="I877" t="str">
        <f>TEXT(walmart[[#This Row],[Purchase_Date]],"MMM")</f>
        <v>Jul</v>
      </c>
      <c r="J877" t="str">
        <f>TEXT(walmart[[#This Row],[Purchase_Date]],"YYY")</f>
        <v>2024</v>
      </c>
      <c r="K877" s="3">
        <v>697.86</v>
      </c>
      <c r="L877" t="str">
        <f t="shared" si="65"/>
        <v>10% off</v>
      </c>
      <c r="M877" s="3">
        <f t="shared" si="66"/>
        <v>69.786000000000001</v>
      </c>
      <c r="N877" t="str">
        <f t="shared" si="67"/>
        <v>Yes</v>
      </c>
      <c r="O877" t="s">
        <v>34</v>
      </c>
      <c r="P877" s="3">
        <f t="shared" si="68"/>
        <v>628.07400000000007</v>
      </c>
      <c r="Q877" t="s">
        <v>22</v>
      </c>
      <c r="R877">
        <v>1</v>
      </c>
      <c r="S877" t="str">
        <f t="shared" si="69"/>
        <v>Very Poor</v>
      </c>
    </row>
    <row r="878" spans="1:19" x14ac:dyDescent="0.25">
      <c r="A878" t="s">
        <v>1273</v>
      </c>
      <c r="B878">
        <v>43</v>
      </c>
      <c r="C878" t="s">
        <v>29</v>
      </c>
      <c r="D878" t="s">
        <v>2546</v>
      </c>
      <c r="E878" t="s">
        <v>24</v>
      </c>
      <c r="F878" t="s">
        <v>209</v>
      </c>
      <c r="G878" t="s">
        <v>187</v>
      </c>
      <c r="H878" t="str">
        <f>TEXT(walmart[[#This Row],[Purchase_Date]],"DDD")</f>
        <v>Sat</v>
      </c>
      <c r="I878" t="str">
        <f>TEXT(walmart[[#This Row],[Purchase_Date]],"MMM")</f>
        <v>Dec</v>
      </c>
      <c r="J878" t="str">
        <f>TEXT(walmart[[#This Row],[Purchase_Date]],"YYY")</f>
        <v>2024</v>
      </c>
      <c r="K878" s="3">
        <v>775.75</v>
      </c>
      <c r="L878" t="str">
        <f t="shared" si="65"/>
        <v>15% off</v>
      </c>
      <c r="M878" s="3">
        <f t="shared" si="66"/>
        <v>116.3625</v>
      </c>
      <c r="N878" t="str">
        <f t="shared" si="67"/>
        <v>Yes</v>
      </c>
      <c r="O878" t="s">
        <v>34</v>
      </c>
      <c r="P878" s="3">
        <f t="shared" si="68"/>
        <v>659.38750000000005</v>
      </c>
      <c r="Q878" t="s">
        <v>47</v>
      </c>
      <c r="R878">
        <v>2</v>
      </c>
      <c r="S878" t="str">
        <f t="shared" si="69"/>
        <v>Poor</v>
      </c>
    </row>
    <row r="879" spans="1:19" x14ac:dyDescent="0.25">
      <c r="A879" t="s">
        <v>1274</v>
      </c>
      <c r="B879">
        <v>28</v>
      </c>
      <c r="C879" t="s">
        <v>16</v>
      </c>
      <c r="D879" t="s">
        <v>2547</v>
      </c>
      <c r="E879" t="s">
        <v>24</v>
      </c>
      <c r="F879" t="s">
        <v>209</v>
      </c>
      <c r="G879" t="s">
        <v>950</v>
      </c>
      <c r="H879" t="str">
        <f>TEXT(walmart[[#This Row],[Purchase_Date]],"DDD")</f>
        <v>Tue</v>
      </c>
      <c r="I879" t="str">
        <f>TEXT(walmart[[#This Row],[Purchase_Date]],"MMM")</f>
        <v>May</v>
      </c>
      <c r="J879" t="str">
        <f>TEXT(walmart[[#This Row],[Purchase_Date]],"YYY")</f>
        <v>2024</v>
      </c>
      <c r="K879" s="3">
        <v>775.75</v>
      </c>
      <c r="L879" t="str">
        <f t="shared" si="65"/>
        <v>15% off</v>
      </c>
      <c r="M879" s="3">
        <f t="shared" si="66"/>
        <v>116.3625</v>
      </c>
      <c r="N879" t="str">
        <f t="shared" si="67"/>
        <v>Yes</v>
      </c>
      <c r="O879" t="s">
        <v>34</v>
      </c>
      <c r="P879" s="3">
        <f t="shared" si="68"/>
        <v>659.38750000000005</v>
      </c>
      <c r="Q879" t="s">
        <v>35</v>
      </c>
      <c r="R879">
        <v>3</v>
      </c>
      <c r="S879" t="str">
        <f t="shared" si="69"/>
        <v>Average</v>
      </c>
    </row>
    <row r="880" spans="1:19" x14ac:dyDescent="0.25">
      <c r="A880" t="s">
        <v>1275</v>
      </c>
      <c r="B880">
        <v>54</v>
      </c>
      <c r="C880" t="s">
        <v>29</v>
      </c>
      <c r="D880" t="s">
        <v>2548</v>
      </c>
      <c r="E880" t="s">
        <v>73</v>
      </c>
      <c r="F880" t="s">
        <v>74</v>
      </c>
      <c r="G880" t="s">
        <v>762</v>
      </c>
      <c r="H880" t="str">
        <f>TEXT(walmart[[#This Row],[Purchase_Date]],"DDD")</f>
        <v>Fri</v>
      </c>
      <c r="I880" t="str">
        <f>TEXT(walmart[[#This Row],[Purchase_Date]],"MMM")</f>
        <v>Jun</v>
      </c>
      <c r="J880" t="str">
        <f>TEXT(walmart[[#This Row],[Purchase_Date]],"YYY")</f>
        <v>2024</v>
      </c>
      <c r="K880" s="3">
        <v>782.29</v>
      </c>
      <c r="L880" t="str">
        <f t="shared" si="65"/>
        <v>15% off</v>
      </c>
      <c r="M880" s="3">
        <f t="shared" si="66"/>
        <v>117.34349999999999</v>
      </c>
      <c r="N880" t="str">
        <f t="shared" si="67"/>
        <v>Yes</v>
      </c>
      <c r="O880" t="s">
        <v>21</v>
      </c>
      <c r="P880" s="3">
        <f t="shared" si="68"/>
        <v>664.94650000000001</v>
      </c>
      <c r="Q880" t="s">
        <v>35</v>
      </c>
      <c r="R880">
        <v>5</v>
      </c>
      <c r="S880" t="str">
        <f t="shared" si="69"/>
        <v>Excellent</v>
      </c>
    </row>
    <row r="881" spans="1:19" x14ac:dyDescent="0.25">
      <c r="A881" t="s">
        <v>1276</v>
      </c>
      <c r="B881">
        <v>43</v>
      </c>
      <c r="C881" t="s">
        <v>16</v>
      </c>
      <c r="D881" t="s">
        <v>2549</v>
      </c>
      <c r="E881" t="s">
        <v>37</v>
      </c>
      <c r="F881" t="s">
        <v>97</v>
      </c>
      <c r="G881" t="s">
        <v>741</v>
      </c>
      <c r="H881" t="str">
        <f>TEXT(walmart[[#This Row],[Purchase_Date]],"DDD")</f>
        <v>Mon</v>
      </c>
      <c r="I881" t="str">
        <f>TEXT(walmart[[#This Row],[Purchase_Date]],"MMM")</f>
        <v>Sep</v>
      </c>
      <c r="J881" t="str">
        <f>TEXT(walmart[[#This Row],[Purchase_Date]],"YYY")</f>
        <v>2024</v>
      </c>
      <c r="K881" s="3">
        <v>855.21</v>
      </c>
      <c r="L881" t="str">
        <f t="shared" si="65"/>
        <v>15% off</v>
      </c>
      <c r="M881" s="3">
        <f t="shared" si="66"/>
        <v>128.28149999999999</v>
      </c>
      <c r="N881" t="str">
        <f t="shared" si="67"/>
        <v>Yes</v>
      </c>
      <c r="O881" t="s">
        <v>21</v>
      </c>
      <c r="P881" s="3">
        <f t="shared" si="68"/>
        <v>726.92849999999999</v>
      </c>
      <c r="Q881" t="s">
        <v>35</v>
      </c>
      <c r="R881">
        <v>5</v>
      </c>
      <c r="S881" t="str">
        <f t="shared" si="69"/>
        <v>Excellent</v>
      </c>
    </row>
    <row r="882" spans="1:19" x14ac:dyDescent="0.25">
      <c r="A882" t="s">
        <v>1277</v>
      </c>
      <c r="B882">
        <v>39</v>
      </c>
      <c r="C882" t="s">
        <v>16</v>
      </c>
      <c r="D882" t="s">
        <v>2550</v>
      </c>
      <c r="E882" t="s">
        <v>73</v>
      </c>
      <c r="F882" t="s">
        <v>91</v>
      </c>
      <c r="G882" t="s">
        <v>1131</v>
      </c>
      <c r="H882" t="str">
        <f>TEXT(walmart[[#This Row],[Purchase_Date]],"DDD")</f>
        <v>Sat</v>
      </c>
      <c r="I882" t="str">
        <f>TEXT(walmart[[#This Row],[Purchase_Date]],"MMM")</f>
        <v>Jan</v>
      </c>
      <c r="J882" t="str">
        <f>TEXT(walmart[[#This Row],[Purchase_Date]],"YYY")</f>
        <v>2025</v>
      </c>
      <c r="K882" s="3">
        <v>418.55</v>
      </c>
      <c r="L882" t="str">
        <f t="shared" si="65"/>
        <v>5% off</v>
      </c>
      <c r="M882" s="3">
        <f t="shared" si="66"/>
        <v>20.927500000000002</v>
      </c>
      <c r="N882" t="str">
        <f t="shared" si="67"/>
        <v>Yes</v>
      </c>
      <c r="O882" t="s">
        <v>21</v>
      </c>
      <c r="P882" s="3">
        <f t="shared" si="68"/>
        <v>397.6225</v>
      </c>
      <c r="Q882" t="s">
        <v>22</v>
      </c>
      <c r="R882">
        <v>3</v>
      </c>
      <c r="S882" t="str">
        <f t="shared" si="69"/>
        <v>Average</v>
      </c>
    </row>
    <row r="883" spans="1:19" x14ac:dyDescent="0.25">
      <c r="A883" t="s">
        <v>1278</v>
      </c>
      <c r="B883">
        <v>48</v>
      </c>
      <c r="C883" t="s">
        <v>16</v>
      </c>
      <c r="D883" t="s">
        <v>2551</v>
      </c>
      <c r="E883" t="s">
        <v>31</v>
      </c>
      <c r="F883" t="s">
        <v>300</v>
      </c>
      <c r="G883" t="s">
        <v>480</v>
      </c>
      <c r="H883" t="str">
        <f>TEXT(walmart[[#This Row],[Purchase_Date]],"DDD")</f>
        <v>Mon</v>
      </c>
      <c r="I883" t="str">
        <f>TEXT(walmart[[#This Row],[Purchase_Date]],"MMM")</f>
        <v>Oct</v>
      </c>
      <c r="J883" t="str">
        <f>TEXT(walmart[[#This Row],[Purchase_Date]],"YYY")</f>
        <v>2024</v>
      </c>
      <c r="K883" s="3">
        <v>340.04</v>
      </c>
      <c r="L883" t="str">
        <f t="shared" si="65"/>
        <v>5% off</v>
      </c>
      <c r="M883" s="3">
        <f t="shared" si="66"/>
        <v>17.002000000000002</v>
      </c>
      <c r="N883" t="str">
        <f t="shared" si="67"/>
        <v>Yes</v>
      </c>
      <c r="O883" t="s">
        <v>21</v>
      </c>
      <c r="P883" s="3">
        <f t="shared" si="68"/>
        <v>323.03800000000001</v>
      </c>
      <c r="Q883" t="s">
        <v>35</v>
      </c>
      <c r="R883">
        <v>3</v>
      </c>
      <c r="S883" t="str">
        <f t="shared" si="69"/>
        <v>Average</v>
      </c>
    </row>
    <row r="884" spans="1:19" x14ac:dyDescent="0.25">
      <c r="A884" t="s">
        <v>1279</v>
      </c>
      <c r="B884">
        <v>65</v>
      </c>
      <c r="C884" t="s">
        <v>16</v>
      </c>
      <c r="D884" t="s">
        <v>2552</v>
      </c>
      <c r="E884" t="s">
        <v>73</v>
      </c>
      <c r="F884" t="s">
        <v>91</v>
      </c>
      <c r="G884" t="s">
        <v>195</v>
      </c>
      <c r="H884" t="str">
        <f>TEXT(walmart[[#This Row],[Purchase_Date]],"DDD")</f>
        <v>Thu</v>
      </c>
      <c r="I884" t="str">
        <f>TEXT(walmart[[#This Row],[Purchase_Date]],"MMM")</f>
        <v>Feb</v>
      </c>
      <c r="J884" t="str">
        <f>TEXT(walmart[[#This Row],[Purchase_Date]],"YYY")</f>
        <v>2025</v>
      </c>
      <c r="K884" s="3">
        <v>418.55</v>
      </c>
      <c r="L884" t="str">
        <f t="shared" si="65"/>
        <v>5% off</v>
      </c>
      <c r="M884" s="3">
        <f t="shared" si="66"/>
        <v>20.927500000000002</v>
      </c>
      <c r="N884" t="str">
        <f t="shared" si="67"/>
        <v>Yes</v>
      </c>
      <c r="O884" t="s">
        <v>21</v>
      </c>
      <c r="P884" s="3">
        <f t="shared" si="68"/>
        <v>397.6225</v>
      </c>
      <c r="Q884" t="s">
        <v>47</v>
      </c>
      <c r="R884">
        <v>3</v>
      </c>
      <c r="S884" t="str">
        <f t="shared" si="69"/>
        <v>Average</v>
      </c>
    </row>
    <row r="885" spans="1:19" x14ac:dyDescent="0.25">
      <c r="A885" t="s">
        <v>1280</v>
      </c>
      <c r="B885">
        <v>21</v>
      </c>
      <c r="C885" t="s">
        <v>16</v>
      </c>
      <c r="D885" t="s">
        <v>2553</v>
      </c>
      <c r="E885" t="s">
        <v>37</v>
      </c>
      <c r="F885" t="s">
        <v>97</v>
      </c>
      <c r="G885" t="s">
        <v>600</v>
      </c>
      <c r="H885" t="str">
        <f>TEXT(walmart[[#This Row],[Purchase_Date]],"DDD")</f>
        <v>Sun</v>
      </c>
      <c r="I885" t="str">
        <f>TEXT(walmart[[#This Row],[Purchase_Date]],"MMM")</f>
        <v>Dec</v>
      </c>
      <c r="J885" t="str">
        <f>TEXT(walmart[[#This Row],[Purchase_Date]],"YYY")</f>
        <v>2024</v>
      </c>
      <c r="K885" s="3">
        <v>855.21</v>
      </c>
      <c r="L885" t="str">
        <f t="shared" si="65"/>
        <v>15% off</v>
      </c>
      <c r="M885" s="3">
        <f t="shared" si="66"/>
        <v>128.28149999999999</v>
      </c>
      <c r="N885" t="str">
        <f t="shared" si="67"/>
        <v>Yes</v>
      </c>
      <c r="O885" t="s">
        <v>34</v>
      </c>
      <c r="P885" s="3">
        <f t="shared" si="68"/>
        <v>726.92849999999999</v>
      </c>
      <c r="Q885" t="s">
        <v>47</v>
      </c>
      <c r="R885">
        <v>4</v>
      </c>
      <c r="S885" t="str">
        <f t="shared" si="69"/>
        <v>Good</v>
      </c>
    </row>
    <row r="886" spans="1:19" x14ac:dyDescent="0.25">
      <c r="A886" t="s">
        <v>1281</v>
      </c>
      <c r="B886">
        <v>57</v>
      </c>
      <c r="C886" t="s">
        <v>16</v>
      </c>
      <c r="D886" t="s">
        <v>2554</v>
      </c>
      <c r="E886" t="s">
        <v>37</v>
      </c>
      <c r="F886" t="s">
        <v>117</v>
      </c>
      <c r="G886" t="s">
        <v>236</v>
      </c>
      <c r="H886" t="str">
        <f>TEXT(walmart[[#This Row],[Purchase_Date]],"DDD")</f>
        <v>Wed</v>
      </c>
      <c r="I886" t="str">
        <f>TEXT(walmart[[#This Row],[Purchase_Date]],"MMM")</f>
        <v>Dec</v>
      </c>
      <c r="J886" t="str">
        <f>TEXT(walmart[[#This Row],[Purchase_Date]],"YYY")</f>
        <v>2024</v>
      </c>
      <c r="K886" s="3">
        <v>165.68</v>
      </c>
      <c r="L886" t="str">
        <f t="shared" si="65"/>
        <v>5% off</v>
      </c>
      <c r="M886" s="3">
        <f t="shared" si="66"/>
        <v>8.2840000000000007</v>
      </c>
      <c r="N886" t="str">
        <f t="shared" si="67"/>
        <v>Yes</v>
      </c>
      <c r="O886" t="s">
        <v>34</v>
      </c>
      <c r="P886" s="3">
        <f t="shared" si="68"/>
        <v>157.39600000000002</v>
      </c>
      <c r="Q886" t="s">
        <v>22</v>
      </c>
      <c r="R886">
        <v>1</v>
      </c>
      <c r="S886" t="str">
        <f t="shared" si="69"/>
        <v>Very Poor</v>
      </c>
    </row>
    <row r="887" spans="1:19" x14ac:dyDescent="0.25">
      <c r="A887" t="s">
        <v>1282</v>
      </c>
      <c r="B887">
        <v>40</v>
      </c>
      <c r="C887" t="s">
        <v>29</v>
      </c>
      <c r="D887" t="s">
        <v>2555</v>
      </c>
      <c r="E887" t="s">
        <v>73</v>
      </c>
      <c r="F887" t="s">
        <v>94</v>
      </c>
      <c r="G887" t="s">
        <v>1283</v>
      </c>
      <c r="H887" t="str">
        <f>TEXT(walmart[[#This Row],[Purchase_Date]],"DDD")</f>
        <v>Wed</v>
      </c>
      <c r="I887" t="str">
        <f>TEXT(walmart[[#This Row],[Purchase_Date]],"MMM")</f>
        <v>Nov</v>
      </c>
      <c r="J887" t="str">
        <f>TEXT(walmart[[#This Row],[Purchase_Date]],"YYY")</f>
        <v>2024</v>
      </c>
      <c r="K887" s="3">
        <v>965.09</v>
      </c>
      <c r="L887" t="str">
        <f t="shared" si="65"/>
        <v>20% off</v>
      </c>
      <c r="M887" s="3">
        <f t="shared" si="66"/>
        <v>193.01800000000003</v>
      </c>
      <c r="N887" t="str">
        <f t="shared" si="67"/>
        <v>Yes</v>
      </c>
      <c r="O887" t="s">
        <v>21</v>
      </c>
      <c r="P887" s="3">
        <f t="shared" si="68"/>
        <v>772.072</v>
      </c>
      <c r="Q887" t="s">
        <v>27</v>
      </c>
      <c r="R887">
        <v>3</v>
      </c>
      <c r="S887" t="str">
        <f t="shared" si="69"/>
        <v>Average</v>
      </c>
    </row>
    <row r="888" spans="1:19" x14ac:dyDescent="0.25">
      <c r="A888" t="s">
        <v>1284</v>
      </c>
      <c r="B888">
        <v>50</v>
      </c>
      <c r="C888" t="s">
        <v>29</v>
      </c>
      <c r="D888" t="s">
        <v>2556</v>
      </c>
      <c r="E888" t="s">
        <v>18</v>
      </c>
      <c r="F888" t="s">
        <v>77</v>
      </c>
      <c r="G888" t="s">
        <v>85</v>
      </c>
      <c r="H888" t="str">
        <f>TEXT(walmart[[#This Row],[Purchase_Date]],"DDD")</f>
        <v>Mon</v>
      </c>
      <c r="I888" t="str">
        <f>TEXT(walmart[[#This Row],[Purchase_Date]],"MMM")</f>
        <v>Jan</v>
      </c>
      <c r="J888" t="str">
        <f>TEXT(walmart[[#This Row],[Purchase_Date]],"YYY")</f>
        <v>2025</v>
      </c>
      <c r="K888" s="3">
        <v>116.78</v>
      </c>
      <c r="L888" t="str">
        <f t="shared" si="65"/>
        <v>0% off</v>
      </c>
      <c r="M888" s="3">
        <f t="shared" si="66"/>
        <v>0</v>
      </c>
      <c r="N888" t="str">
        <f t="shared" si="67"/>
        <v>No</v>
      </c>
      <c r="O888" t="s">
        <v>21</v>
      </c>
      <c r="P888" s="3">
        <f t="shared" si="68"/>
        <v>116.78</v>
      </c>
      <c r="Q888" t="s">
        <v>27</v>
      </c>
      <c r="R888">
        <v>2</v>
      </c>
      <c r="S888" t="str">
        <f t="shared" si="69"/>
        <v>Poor</v>
      </c>
    </row>
    <row r="889" spans="1:19" x14ac:dyDescent="0.25">
      <c r="A889" t="s">
        <v>1285</v>
      </c>
      <c r="B889">
        <v>18</v>
      </c>
      <c r="C889" t="s">
        <v>16</v>
      </c>
      <c r="D889" t="s">
        <v>2557</v>
      </c>
      <c r="E889" t="s">
        <v>55</v>
      </c>
      <c r="F889" t="s">
        <v>56</v>
      </c>
      <c r="G889" t="s">
        <v>1286</v>
      </c>
      <c r="H889" t="str">
        <f>TEXT(walmart[[#This Row],[Purchase_Date]],"DDD")</f>
        <v>Mon</v>
      </c>
      <c r="I889" t="str">
        <f>TEXT(walmart[[#This Row],[Purchase_Date]],"MMM")</f>
        <v>Apr</v>
      </c>
      <c r="J889" t="str">
        <f>TEXT(walmart[[#This Row],[Purchase_Date]],"YYY")</f>
        <v>2024</v>
      </c>
      <c r="K889" s="3">
        <v>76.81</v>
      </c>
      <c r="L889" t="str">
        <f t="shared" si="65"/>
        <v>0% off</v>
      </c>
      <c r="M889" s="3">
        <f t="shared" si="66"/>
        <v>0</v>
      </c>
      <c r="N889" t="str">
        <f t="shared" si="67"/>
        <v>No</v>
      </c>
      <c r="O889" t="s">
        <v>34</v>
      </c>
      <c r="P889" s="3">
        <f t="shared" si="68"/>
        <v>76.81</v>
      </c>
      <c r="Q889" t="s">
        <v>35</v>
      </c>
      <c r="R889">
        <v>1</v>
      </c>
      <c r="S889" t="str">
        <f t="shared" si="69"/>
        <v>Very Poor</v>
      </c>
    </row>
    <row r="890" spans="1:19" x14ac:dyDescent="0.25">
      <c r="A890" t="s">
        <v>1287</v>
      </c>
      <c r="B890">
        <v>24</v>
      </c>
      <c r="C890" t="s">
        <v>29</v>
      </c>
      <c r="D890" t="s">
        <v>2558</v>
      </c>
      <c r="E890" t="s">
        <v>31</v>
      </c>
      <c r="F890" t="s">
        <v>300</v>
      </c>
      <c r="G890" t="s">
        <v>291</v>
      </c>
      <c r="H890" t="str">
        <f>TEXT(walmart[[#This Row],[Purchase_Date]],"DDD")</f>
        <v>Fri</v>
      </c>
      <c r="I890" t="str">
        <f>TEXT(walmart[[#This Row],[Purchase_Date]],"MMM")</f>
        <v>Sep</v>
      </c>
      <c r="J890" t="str">
        <f>TEXT(walmart[[#This Row],[Purchase_Date]],"YYY")</f>
        <v>2024</v>
      </c>
      <c r="K890" s="3">
        <v>340.04</v>
      </c>
      <c r="L890" t="str">
        <f t="shared" si="65"/>
        <v>5% off</v>
      </c>
      <c r="M890" s="3">
        <f t="shared" si="66"/>
        <v>17.002000000000002</v>
      </c>
      <c r="N890" t="str">
        <f t="shared" si="67"/>
        <v>Yes</v>
      </c>
      <c r="O890" t="s">
        <v>21</v>
      </c>
      <c r="P890" s="3">
        <f t="shared" si="68"/>
        <v>323.03800000000001</v>
      </c>
      <c r="Q890" t="s">
        <v>22</v>
      </c>
      <c r="R890">
        <v>1</v>
      </c>
      <c r="S890" t="str">
        <f t="shared" si="69"/>
        <v>Very Poor</v>
      </c>
    </row>
    <row r="891" spans="1:19" x14ac:dyDescent="0.25">
      <c r="A891" t="s">
        <v>1288</v>
      </c>
      <c r="B891">
        <v>59</v>
      </c>
      <c r="C891" t="s">
        <v>29</v>
      </c>
      <c r="D891" t="s">
        <v>2559</v>
      </c>
      <c r="E891" t="s">
        <v>31</v>
      </c>
      <c r="F891" t="s">
        <v>169</v>
      </c>
      <c r="G891" t="s">
        <v>199</v>
      </c>
      <c r="H891" t="str">
        <f>TEXT(walmart[[#This Row],[Purchase_Date]],"DDD")</f>
        <v>Sun</v>
      </c>
      <c r="I891" t="str">
        <f>TEXT(walmart[[#This Row],[Purchase_Date]],"MMM")</f>
        <v>May</v>
      </c>
      <c r="J891" t="str">
        <f>TEXT(walmart[[#This Row],[Purchase_Date]],"YYY")</f>
        <v>2024</v>
      </c>
      <c r="K891" s="3">
        <v>52.44</v>
      </c>
      <c r="L891" t="str">
        <f t="shared" si="65"/>
        <v>0% off</v>
      </c>
      <c r="M891" s="3">
        <f t="shared" si="66"/>
        <v>0</v>
      </c>
      <c r="N891" t="str">
        <f t="shared" si="67"/>
        <v>No</v>
      </c>
      <c r="O891" t="s">
        <v>21</v>
      </c>
      <c r="P891" s="3">
        <f t="shared" si="68"/>
        <v>52.44</v>
      </c>
      <c r="Q891" t="s">
        <v>47</v>
      </c>
      <c r="R891">
        <v>2</v>
      </c>
      <c r="S891" t="str">
        <f t="shared" si="69"/>
        <v>Poor</v>
      </c>
    </row>
    <row r="892" spans="1:19" x14ac:dyDescent="0.25">
      <c r="A892" t="s">
        <v>1289</v>
      </c>
      <c r="B892">
        <v>23</v>
      </c>
      <c r="C892" t="s">
        <v>16</v>
      </c>
      <c r="D892" t="s">
        <v>2560</v>
      </c>
      <c r="E892" t="s">
        <v>37</v>
      </c>
      <c r="F892" t="s">
        <v>82</v>
      </c>
      <c r="G892" t="s">
        <v>399</v>
      </c>
      <c r="H892" t="str">
        <f>TEXT(walmart[[#This Row],[Purchase_Date]],"DDD")</f>
        <v>Wed</v>
      </c>
      <c r="I892" t="str">
        <f>TEXT(walmart[[#This Row],[Purchase_Date]],"MMM")</f>
        <v>Feb</v>
      </c>
      <c r="J892" t="str">
        <f>TEXT(walmart[[#This Row],[Purchase_Date]],"YYY")</f>
        <v>2025</v>
      </c>
      <c r="K892" s="3">
        <v>270.41000000000003</v>
      </c>
      <c r="L892" t="str">
        <f t="shared" si="65"/>
        <v>5% off</v>
      </c>
      <c r="M892" s="3">
        <f t="shared" si="66"/>
        <v>13.520500000000002</v>
      </c>
      <c r="N892" t="str">
        <f t="shared" si="67"/>
        <v>Yes</v>
      </c>
      <c r="O892" t="s">
        <v>21</v>
      </c>
      <c r="P892" s="3">
        <f t="shared" si="68"/>
        <v>256.8895</v>
      </c>
      <c r="Q892" t="s">
        <v>22</v>
      </c>
      <c r="R892">
        <v>1</v>
      </c>
      <c r="S892" t="str">
        <f t="shared" si="69"/>
        <v>Very Poor</v>
      </c>
    </row>
    <row r="893" spans="1:19" x14ac:dyDescent="0.25">
      <c r="A893" t="s">
        <v>1290</v>
      </c>
      <c r="B893">
        <v>41</v>
      </c>
      <c r="C893" t="s">
        <v>16</v>
      </c>
      <c r="D893" t="s">
        <v>2561</v>
      </c>
      <c r="E893" t="s">
        <v>55</v>
      </c>
      <c r="F893" t="s">
        <v>100</v>
      </c>
      <c r="G893" t="s">
        <v>1291</v>
      </c>
      <c r="H893" t="str">
        <f>TEXT(walmart[[#This Row],[Purchase_Date]],"DDD")</f>
        <v>Sat</v>
      </c>
      <c r="I893" t="str">
        <f>TEXT(walmart[[#This Row],[Purchase_Date]],"MMM")</f>
        <v>Oct</v>
      </c>
      <c r="J893" t="str">
        <f>TEXT(walmart[[#This Row],[Purchase_Date]],"YYY")</f>
        <v>2024</v>
      </c>
      <c r="K893" s="3">
        <v>592.26</v>
      </c>
      <c r="L893" t="str">
        <f t="shared" si="65"/>
        <v>10% off</v>
      </c>
      <c r="M893" s="3">
        <f t="shared" si="66"/>
        <v>59.225999999999999</v>
      </c>
      <c r="N893" t="str">
        <f t="shared" si="67"/>
        <v>Yes</v>
      </c>
      <c r="O893" t="s">
        <v>21</v>
      </c>
      <c r="P893" s="3">
        <f t="shared" si="68"/>
        <v>533.03399999999999</v>
      </c>
      <c r="Q893" t="s">
        <v>22</v>
      </c>
      <c r="R893">
        <v>2</v>
      </c>
      <c r="S893" t="str">
        <f t="shared" si="69"/>
        <v>Poor</v>
      </c>
    </row>
    <row r="894" spans="1:19" x14ac:dyDescent="0.25">
      <c r="A894" t="s">
        <v>1292</v>
      </c>
      <c r="B894">
        <v>38</v>
      </c>
      <c r="C894" t="s">
        <v>16</v>
      </c>
      <c r="D894" t="s">
        <v>2501</v>
      </c>
      <c r="E894" t="s">
        <v>18</v>
      </c>
      <c r="F894" t="s">
        <v>142</v>
      </c>
      <c r="G894" t="s">
        <v>1293</v>
      </c>
      <c r="H894" t="str">
        <f>TEXT(walmart[[#This Row],[Purchase_Date]],"DDD")</f>
        <v>Sun</v>
      </c>
      <c r="I894" t="str">
        <f>TEXT(walmart[[#This Row],[Purchase_Date]],"MMM")</f>
        <v>Nov</v>
      </c>
      <c r="J894" t="str">
        <f>TEXT(walmart[[#This Row],[Purchase_Date]],"YYY")</f>
        <v>2024</v>
      </c>
      <c r="K894" s="3">
        <v>485.26</v>
      </c>
      <c r="L894" t="str">
        <f t="shared" si="65"/>
        <v>5% off</v>
      </c>
      <c r="M894" s="3">
        <f t="shared" si="66"/>
        <v>24.263000000000002</v>
      </c>
      <c r="N894" t="str">
        <f t="shared" si="67"/>
        <v>Yes</v>
      </c>
      <c r="O894" t="s">
        <v>34</v>
      </c>
      <c r="P894" s="3">
        <f t="shared" si="68"/>
        <v>460.99700000000001</v>
      </c>
      <c r="Q894" t="s">
        <v>22</v>
      </c>
      <c r="R894">
        <v>4</v>
      </c>
      <c r="S894" t="str">
        <f t="shared" si="69"/>
        <v>Good</v>
      </c>
    </row>
    <row r="895" spans="1:19" x14ac:dyDescent="0.25">
      <c r="A895" t="s">
        <v>1294</v>
      </c>
      <c r="B895">
        <v>41</v>
      </c>
      <c r="C895" t="s">
        <v>16</v>
      </c>
      <c r="D895" t="s">
        <v>2504</v>
      </c>
      <c r="E895" t="s">
        <v>37</v>
      </c>
      <c r="F895" t="s">
        <v>38</v>
      </c>
      <c r="G895" t="s">
        <v>602</v>
      </c>
      <c r="H895" t="str">
        <f>TEXT(walmart[[#This Row],[Purchase_Date]],"DDD")</f>
        <v>Fri</v>
      </c>
      <c r="I895" t="str">
        <f>TEXT(walmart[[#This Row],[Purchase_Date]],"MMM")</f>
        <v>Jun</v>
      </c>
      <c r="J895" t="str">
        <f>TEXT(walmart[[#This Row],[Purchase_Date]],"YYY")</f>
        <v>2024</v>
      </c>
      <c r="K895" s="3">
        <v>211.46</v>
      </c>
      <c r="L895" t="str">
        <f t="shared" si="65"/>
        <v>5% off</v>
      </c>
      <c r="M895" s="3">
        <f t="shared" si="66"/>
        <v>10.573</v>
      </c>
      <c r="N895" t="str">
        <f t="shared" si="67"/>
        <v>Yes</v>
      </c>
      <c r="O895" t="s">
        <v>34</v>
      </c>
      <c r="P895" s="3">
        <f t="shared" si="68"/>
        <v>200.887</v>
      </c>
      <c r="Q895" t="s">
        <v>27</v>
      </c>
      <c r="R895">
        <v>3</v>
      </c>
      <c r="S895" t="str">
        <f t="shared" si="69"/>
        <v>Average</v>
      </c>
    </row>
    <row r="896" spans="1:19" x14ac:dyDescent="0.25">
      <c r="A896" t="s">
        <v>1295</v>
      </c>
      <c r="B896">
        <v>28</v>
      </c>
      <c r="C896" t="s">
        <v>16</v>
      </c>
      <c r="D896" t="s">
        <v>2505</v>
      </c>
      <c r="E896" t="s">
        <v>73</v>
      </c>
      <c r="F896" t="s">
        <v>91</v>
      </c>
      <c r="G896" t="s">
        <v>234</v>
      </c>
      <c r="H896" t="str">
        <f>TEXT(walmart[[#This Row],[Purchase_Date]],"DDD")</f>
        <v>Fri</v>
      </c>
      <c r="I896" t="str">
        <f>TEXT(walmart[[#This Row],[Purchase_Date]],"MMM")</f>
        <v>Jul</v>
      </c>
      <c r="J896" t="str">
        <f>TEXT(walmart[[#This Row],[Purchase_Date]],"YYY")</f>
        <v>2024</v>
      </c>
      <c r="K896" s="3">
        <v>418.55</v>
      </c>
      <c r="L896" t="str">
        <f t="shared" si="65"/>
        <v>5% off</v>
      </c>
      <c r="M896" s="3">
        <f t="shared" si="66"/>
        <v>20.927500000000002</v>
      </c>
      <c r="N896" t="str">
        <f t="shared" si="67"/>
        <v>Yes</v>
      </c>
      <c r="O896" t="s">
        <v>34</v>
      </c>
      <c r="P896" s="3">
        <f t="shared" si="68"/>
        <v>397.6225</v>
      </c>
      <c r="Q896" t="s">
        <v>47</v>
      </c>
      <c r="R896">
        <v>4</v>
      </c>
      <c r="S896" t="str">
        <f t="shared" si="69"/>
        <v>Good</v>
      </c>
    </row>
    <row r="897" spans="1:19" x14ac:dyDescent="0.25">
      <c r="A897" t="s">
        <v>1296</v>
      </c>
      <c r="B897">
        <v>68</v>
      </c>
      <c r="C897" t="s">
        <v>29</v>
      </c>
      <c r="D897" t="s">
        <v>2562</v>
      </c>
      <c r="E897" t="s">
        <v>24</v>
      </c>
      <c r="F897" t="s">
        <v>209</v>
      </c>
      <c r="G897" t="s">
        <v>1060</v>
      </c>
      <c r="H897" t="str">
        <f>TEXT(walmart[[#This Row],[Purchase_Date]],"DDD")</f>
        <v>Fri</v>
      </c>
      <c r="I897" t="str">
        <f>TEXT(walmart[[#This Row],[Purchase_Date]],"MMM")</f>
        <v>Dec</v>
      </c>
      <c r="J897" t="str">
        <f>TEXT(walmart[[#This Row],[Purchase_Date]],"YYY")</f>
        <v>2024</v>
      </c>
      <c r="K897" s="3">
        <v>775.75</v>
      </c>
      <c r="L897" t="str">
        <f t="shared" si="65"/>
        <v>15% off</v>
      </c>
      <c r="M897" s="3">
        <f t="shared" si="66"/>
        <v>116.3625</v>
      </c>
      <c r="N897" t="str">
        <f t="shared" si="67"/>
        <v>Yes</v>
      </c>
      <c r="O897" t="s">
        <v>34</v>
      </c>
      <c r="P897" s="3">
        <f t="shared" si="68"/>
        <v>659.38750000000005</v>
      </c>
      <c r="Q897" t="s">
        <v>27</v>
      </c>
      <c r="R897">
        <v>2</v>
      </c>
      <c r="S897" t="str">
        <f t="shared" si="69"/>
        <v>Poor</v>
      </c>
    </row>
    <row r="898" spans="1:19" x14ac:dyDescent="0.25">
      <c r="A898" t="s">
        <v>1297</v>
      </c>
      <c r="B898">
        <v>48</v>
      </c>
      <c r="C898" t="s">
        <v>29</v>
      </c>
      <c r="D898" t="s">
        <v>2563</v>
      </c>
      <c r="E898" t="s">
        <v>73</v>
      </c>
      <c r="F898" t="s">
        <v>138</v>
      </c>
      <c r="G898" t="s">
        <v>333</v>
      </c>
      <c r="H898" t="str">
        <f>TEXT(walmart[[#This Row],[Purchase_Date]],"DDD")</f>
        <v>Sat</v>
      </c>
      <c r="I898" t="str">
        <f>TEXT(walmart[[#This Row],[Purchase_Date]],"MMM")</f>
        <v>Jul</v>
      </c>
      <c r="J898" t="str">
        <f>TEXT(walmart[[#This Row],[Purchase_Date]],"YYY")</f>
        <v>2024</v>
      </c>
      <c r="K898" s="3">
        <v>461.81</v>
      </c>
      <c r="L898" t="str">
        <f t="shared" si="65"/>
        <v>5% off</v>
      </c>
      <c r="M898" s="3">
        <f t="shared" si="66"/>
        <v>23.090500000000002</v>
      </c>
      <c r="N898" t="str">
        <f t="shared" si="67"/>
        <v>Yes</v>
      </c>
      <c r="O898" t="s">
        <v>34</v>
      </c>
      <c r="P898" s="3">
        <f t="shared" si="68"/>
        <v>438.71949999999998</v>
      </c>
      <c r="Q898" t="s">
        <v>47</v>
      </c>
      <c r="R898">
        <v>2</v>
      </c>
      <c r="S898" t="str">
        <f t="shared" si="69"/>
        <v>Poor</v>
      </c>
    </row>
    <row r="899" spans="1:19" x14ac:dyDescent="0.25">
      <c r="A899" t="s">
        <v>1298</v>
      </c>
      <c r="B899">
        <v>18</v>
      </c>
      <c r="C899" t="s">
        <v>29</v>
      </c>
      <c r="D899" t="s">
        <v>2564</v>
      </c>
      <c r="E899" t="s">
        <v>31</v>
      </c>
      <c r="F899" t="s">
        <v>112</v>
      </c>
      <c r="G899" t="s">
        <v>252</v>
      </c>
      <c r="H899" t="str">
        <f>TEXT(walmart[[#This Row],[Purchase_Date]],"DDD")</f>
        <v>Tue</v>
      </c>
      <c r="I899" t="str">
        <f>TEXT(walmart[[#This Row],[Purchase_Date]],"MMM")</f>
        <v>Jun</v>
      </c>
      <c r="J899" t="str">
        <f>TEXT(walmart[[#This Row],[Purchase_Date]],"YYY")</f>
        <v>2024</v>
      </c>
      <c r="K899" s="3">
        <v>492.1</v>
      </c>
      <c r="L899" t="str">
        <f t="shared" ref="L899:L962" si="70">IF(K899&lt;150,"0% off",IF(K899&lt;500,"5% off",IF(K899&lt;700,"10% off",IF(K899&lt;900,"15% off","20% off"))))</f>
        <v>5% off</v>
      </c>
      <c r="M899" s="3">
        <f t="shared" ref="M899:M962" si="71">K899 * (LEFT(L899, LEN(L899)-5) / 100)</f>
        <v>24.605000000000004</v>
      </c>
      <c r="N899" t="str">
        <f t="shared" ref="N899:N962" si="72">IF(L899="0% off", "No", "Yes")</f>
        <v>Yes</v>
      </c>
      <c r="O899" t="s">
        <v>21</v>
      </c>
      <c r="P899" s="3">
        <f t="shared" ref="P899:P962" si="73">K899-M899</f>
        <v>467.495</v>
      </c>
      <c r="Q899" t="s">
        <v>47</v>
      </c>
      <c r="R899">
        <v>2</v>
      </c>
      <c r="S899" t="str">
        <f t="shared" ref="S899:S962" si="74">IF(R899=5, "Excellent", IF(R899=4, "Good", IF(R899=3, "Average", IF(R899=2, "Poor", IF(R899=1, "Very Poor", "Invalid Rating")))))</f>
        <v>Poor</v>
      </c>
    </row>
    <row r="900" spans="1:19" x14ac:dyDescent="0.25">
      <c r="A900" t="s">
        <v>1299</v>
      </c>
      <c r="B900">
        <v>60</v>
      </c>
      <c r="C900" t="s">
        <v>16</v>
      </c>
      <c r="D900" t="s">
        <v>2565</v>
      </c>
      <c r="E900" t="s">
        <v>24</v>
      </c>
      <c r="F900" t="s">
        <v>209</v>
      </c>
      <c r="G900" t="s">
        <v>656</v>
      </c>
      <c r="H900" t="str">
        <f>TEXT(walmart[[#This Row],[Purchase_Date]],"DDD")</f>
        <v>Tue</v>
      </c>
      <c r="I900" t="str">
        <f>TEXT(walmart[[#This Row],[Purchase_Date]],"MMM")</f>
        <v>Dec</v>
      </c>
      <c r="J900" t="str">
        <f>TEXT(walmart[[#This Row],[Purchase_Date]],"YYY")</f>
        <v>2024</v>
      </c>
      <c r="K900" s="3">
        <v>775.75</v>
      </c>
      <c r="L900" t="str">
        <f t="shared" si="70"/>
        <v>15% off</v>
      </c>
      <c r="M900" s="3">
        <f t="shared" si="71"/>
        <v>116.3625</v>
      </c>
      <c r="N900" t="str">
        <f t="shared" si="72"/>
        <v>Yes</v>
      </c>
      <c r="O900" t="s">
        <v>21</v>
      </c>
      <c r="P900" s="3">
        <f t="shared" si="73"/>
        <v>659.38750000000005</v>
      </c>
      <c r="Q900" t="s">
        <v>22</v>
      </c>
      <c r="R900">
        <v>4</v>
      </c>
      <c r="S900" t="str">
        <f t="shared" si="74"/>
        <v>Good</v>
      </c>
    </row>
    <row r="901" spans="1:19" x14ac:dyDescent="0.25">
      <c r="A901" t="s">
        <v>1300</v>
      </c>
      <c r="B901">
        <v>55</v>
      </c>
      <c r="C901" t="s">
        <v>16</v>
      </c>
      <c r="D901" t="s">
        <v>2566</v>
      </c>
      <c r="E901" t="s">
        <v>31</v>
      </c>
      <c r="F901" t="s">
        <v>32</v>
      </c>
      <c r="G901" t="s">
        <v>568</v>
      </c>
      <c r="H901" t="str">
        <f>TEXT(walmart[[#This Row],[Purchase_Date]],"DDD")</f>
        <v>Sun</v>
      </c>
      <c r="I901" t="str">
        <f>TEXT(walmart[[#This Row],[Purchase_Date]],"MMM")</f>
        <v>Oct</v>
      </c>
      <c r="J901" t="str">
        <f>TEXT(walmart[[#This Row],[Purchase_Date]],"YYY")</f>
        <v>2024</v>
      </c>
      <c r="K901" s="3">
        <v>493.96</v>
      </c>
      <c r="L901" t="str">
        <f t="shared" si="70"/>
        <v>5% off</v>
      </c>
      <c r="M901" s="3">
        <f t="shared" si="71"/>
        <v>24.698</v>
      </c>
      <c r="N901" t="str">
        <f t="shared" si="72"/>
        <v>Yes</v>
      </c>
      <c r="O901" t="s">
        <v>21</v>
      </c>
      <c r="P901" s="3">
        <f t="shared" si="73"/>
        <v>469.262</v>
      </c>
      <c r="Q901" t="s">
        <v>22</v>
      </c>
      <c r="R901">
        <v>4</v>
      </c>
      <c r="S901" t="str">
        <f t="shared" si="74"/>
        <v>Good</v>
      </c>
    </row>
    <row r="902" spans="1:19" x14ac:dyDescent="0.25">
      <c r="A902" t="s">
        <v>1301</v>
      </c>
      <c r="B902">
        <v>55</v>
      </c>
      <c r="C902" t="s">
        <v>29</v>
      </c>
      <c r="D902" t="s">
        <v>2433</v>
      </c>
      <c r="E902" t="s">
        <v>18</v>
      </c>
      <c r="F902" t="s">
        <v>142</v>
      </c>
      <c r="G902" t="s">
        <v>95</v>
      </c>
      <c r="H902" t="str">
        <f>TEXT(walmart[[#This Row],[Purchase_Date]],"DDD")</f>
        <v>Wed</v>
      </c>
      <c r="I902" t="str">
        <f>TEXT(walmart[[#This Row],[Purchase_Date]],"MMM")</f>
        <v>Dec</v>
      </c>
      <c r="J902" t="str">
        <f>TEXT(walmart[[#This Row],[Purchase_Date]],"YYY")</f>
        <v>2024</v>
      </c>
      <c r="K902" s="3">
        <v>485.26</v>
      </c>
      <c r="L902" t="str">
        <f t="shared" si="70"/>
        <v>5% off</v>
      </c>
      <c r="M902" s="3">
        <f t="shared" si="71"/>
        <v>24.263000000000002</v>
      </c>
      <c r="N902" t="str">
        <f t="shared" si="72"/>
        <v>Yes</v>
      </c>
      <c r="O902" t="s">
        <v>34</v>
      </c>
      <c r="P902" s="3">
        <f t="shared" si="73"/>
        <v>460.99700000000001</v>
      </c>
      <c r="Q902" t="s">
        <v>35</v>
      </c>
      <c r="R902">
        <v>1</v>
      </c>
      <c r="S902" t="str">
        <f t="shared" si="74"/>
        <v>Very Poor</v>
      </c>
    </row>
    <row r="903" spans="1:19" x14ac:dyDescent="0.25">
      <c r="A903" t="s">
        <v>1302</v>
      </c>
      <c r="B903">
        <v>18</v>
      </c>
      <c r="C903" t="s">
        <v>16</v>
      </c>
      <c r="D903" t="s">
        <v>49</v>
      </c>
      <c r="E903" t="s">
        <v>42</v>
      </c>
      <c r="F903" t="s">
        <v>43</v>
      </c>
      <c r="G903" t="s">
        <v>441</v>
      </c>
      <c r="H903" t="str">
        <f>TEXT(walmart[[#This Row],[Purchase_Date]],"DDD")</f>
        <v>Tue</v>
      </c>
      <c r="I903" t="str">
        <f>TEXT(walmart[[#This Row],[Purchase_Date]],"MMM")</f>
        <v>Apr</v>
      </c>
      <c r="J903" t="str">
        <f>TEXT(walmart[[#This Row],[Purchase_Date]],"YYY")</f>
        <v>2024</v>
      </c>
      <c r="K903" s="3">
        <v>512.94000000000005</v>
      </c>
      <c r="L903" t="str">
        <f t="shared" si="70"/>
        <v>10% off</v>
      </c>
      <c r="M903" s="3">
        <f t="shared" si="71"/>
        <v>51.294000000000011</v>
      </c>
      <c r="N903" t="str">
        <f t="shared" si="72"/>
        <v>Yes</v>
      </c>
      <c r="O903" t="s">
        <v>34</v>
      </c>
      <c r="P903" s="3">
        <f t="shared" si="73"/>
        <v>461.64600000000007</v>
      </c>
      <c r="Q903" t="s">
        <v>47</v>
      </c>
      <c r="R903">
        <v>3</v>
      </c>
      <c r="S903" t="str">
        <f t="shared" si="74"/>
        <v>Average</v>
      </c>
    </row>
    <row r="904" spans="1:19" x14ac:dyDescent="0.25">
      <c r="A904" t="s">
        <v>1303</v>
      </c>
      <c r="B904">
        <v>21</v>
      </c>
      <c r="C904" t="s">
        <v>29</v>
      </c>
      <c r="D904" t="s">
        <v>30</v>
      </c>
      <c r="E904" t="s">
        <v>55</v>
      </c>
      <c r="F904" t="s">
        <v>56</v>
      </c>
      <c r="G904" t="s">
        <v>1304</v>
      </c>
      <c r="H904" t="str">
        <f>TEXT(walmart[[#This Row],[Purchase_Date]],"DDD")</f>
        <v>Thu</v>
      </c>
      <c r="I904" t="str">
        <f>TEXT(walmart[[#This Row],[Purchase_Date]],"MMM")</f>
        <v>Oct</v>
      </c>
      <c r="J904" t="str">
        <f>TEXT(walmart[[#This Row],[Purchase_Date]],"YYY")</f>
        <v>2024</v>
      </c>
      <c r="K904" s="3">
        <v>76.81</v>
      </c>
      <c r="L904" t="str">
        <f t="shared" si="70"/>
        <v>0% off</v>
      </c>
      <c r="M904" s="3">
        <f t="shared" si="71"/>
        <v>0</v>
      </c>
      <c r="N904" t="str">
        <f t="shared" si="72"/>
        <v>No</v>
      </c>
      <c r="O904" t="s">
        <v>21</v>
      </c>
      <c r="P904" s="3">
        <f t="shared" si="73"/>
        <v>76.81</v>
      </c>
      <c r="Q904" t="s">
        <v>27</v>
      </c>
      <c r="R904">
        <v>4</v>
      </c>
      <c r="S904" t="str">
        <f t="shared" si="74"/>
        <v>Good</v>
      </c>
    </row>
    <row r="905" spans="1:19" x14ac:dyDescent="0.25">
      <c r="A905" t="s">
        <v>1305</v>
      </c>
      <c r="B905">
        <v>33</v>
      </c>
      <c r="C905" t="s">
        <v>29</v>
      </c>
      <c r="D905" t="s">
        <v>41</v>
      </c>
      <c r="E905" t="s">
        <v>73</v>
      </c>
      <c r="F905" t="s">
        <v>74</v>
      </c>
      <c r="G905" t="s">
        <v>295</v>
      </c>
      <c r="H905" t="str">
        <f>TEXT(walmart[[#This Row],[Purchase_Date]],"DDD")</f>
        <v>Sun</v>
      </c>
      <c r="I905" t="str">
        <f>TEXT(walmart[[#This Row],[Purchase_Date]],"MMM")</f>
        <v>Mar</v>
      </c>
      <c r="J905" t="str">
        <f>TEXT(walmart[[#This Row],[Purchase_Date]],"YYY")</f>
        <v>2025</v>
      </c>
      <c r="K905" s="3">
        <v>782.29</v>
      </c>
      <c r="L905" t="str">
        <f t="shared" si="70"/>
        <v>15% off</v>
      </c>
      <c r="M905" s="3">
        <f t="shared" si="71"/>
        <v>117.34349999999999</v>
      </c>
      <c r="N905" t="str">
        <f t="shared" si="72"/>
        <v>Yes</v>
      </c>
      <c r="O905" t="s">
        <v>34</v>
      </c>
      <c r="P905" s="3">
        <f t="shared" si="73"/>
        <v>664.94650000000001</v>
      </c>
      <c r="Q905" t="s">
        <v>27</v>
      </c>
      <c r="R905">
        <v>4</v>
      </c>
      <c r="S905" t="str">
        <f t="shared" si="74"/>
        <v>Good</v>
      </c>
    </row>
    <row r="906" spans="1:19" x14ac:dyDescent="0.25">
      <c r="A906" t="s">
        <v>1306</v>
      </c>
      <c r="B906">
        <v>47</v>
      </c>
      <c r="C906" t="s">
        <v>29</v>
      </c>
      <c r="D906" t="s">
        <v>2434</v>
      </c>
      <c r="E906" t="s">
        <v>31</v>
      </c>
      <c r="F906" t="s">
        <v>169</v>
      </c>
      <c r="G906" t="s">
        <v>909</v>
      </c>
      <c r="H906" t="str">
        <f>TEXT(walmart[[#This Row],[Purchase_Date]],"DDD")</f>
        <v>Mon</v>
      </c>
      <c r="I906" t="str">
        <f>TEXT(walmart[[#This Row],[Purchase_Date]],"MMM")</f>
        <v>Jan</v>
      </c>
      <c r="J906" t="str">
        <f>TEXT(walmart[[#This Row],[Purchase_Date]],"YYY")</f>
        <v>2025</v>
      </c>
      <c r="K906" s="3">
        <v>52.44</v>
      </c>
      <c r="L906" t="str">
        <f t="shared" si="70"/>
        <v>0% off</v>
      </c>
      <c r="M906" s="3">
        <f t="shared" si="71"/>
        <v>0</v>
      </c>
      <c r="N906" t="str">
        <f t="shared" si="72"/>
        <v>No</v>
      </c>
      <c r="O906" t="s">
        <v>21</v>
      </c>
      <c r="P906" s="3">
        <f t="shared" si="73"/>
        <v>52.44</v>
      </c>
      <c r="Q906" t="s">
        <v>35</v>
      </c>
      <c r="R906">
        <v>4</v>
      </c>
      <c r="S906" t="str">
        <f t="shared" si="74"/>
        <v>Good</v>
      </c>
    </row>
    <row r="907" spans="1:19" x14ac:dyDescent="0.25">
      <c r="A907" t="s">
        <v>1307</v>
      </c>
      <c r="B907">
        <v>66</v>
      </c>
      <c r="C907" t="s">
        <v>29</v>
      </c>
      <c r="D907" t="s">
        <v>2435</v>
      </c>
      <c r="E907" t="s">
        <v>42</v>
      </c>
      <c r="F907" t="s">
        <v>52</v>
      </c>
      <c r="G907" t="s">
        <v>514</v>
      </c>
      <c r="H907" t="str">
        <f>TEXT(walmart[[#This Row],[Purchase_Date]],"DDD")</f>
        <v>Sat</v>
      </c>
      <c r="I907" t="str">
        <f>TEXT(walmart[[#This Row],[Purchase_Date]],"MMM")</f>
        <v>Feb</v>
      </c>
      <c r="J907" t="str">
        <f>TEXT(walmart[[#This Row],[Purchase_Date]],"YYY")</f>
        <v>2025</v>
      </c>
      <c r="K907" s="3">
        <v>988.77</v>
      </c>
      <c r="L907" t="str">
        <f t="shared" si="70"/>
        <v>20% off</v>
      </c>
      <c r="M907" s="3">
        <f t="shared" si="71"/>
        <v>197.75400000000002</v>
      </c>
      <c r="N907" t="str">
        <f t="shared" si="72"/>
        <v>Yes</v>
      </c>
      <c r="O907" t="s">
        <v>34</v>
      </c>
      <c r="P907" s="3">
        <f t="shared" si="73"/>
        <v>791.01599999999996</v>
      </c>
      <c r="Q907" t="s">
        <v>35</v>
      </c>
      <c r="R907">
        <v>2</v>
      </c>
      <c r="S907" t="str">
        <f t="shared" si="74"/>
        <v>Poor</v>
      </c>
    </row>
    <row r="908" spans="1:19" x14ac:dyDescent="0.25">
      <c r="A908" t="s">
        <v>1308</v>
      </c>
      <c r="B908">
        <v>28</v>
      </c>
      <c r="C908" t="s">
        <v>16</v>
      </c>
      <c r="D908" t="s">
        <v>2436</v>
      </c>
      <c r="E908" t="s">
        <v>37</v>
      </c>
      <c r="F908" t="s">
        <v>38</v>
      </c>
      <c r="G908" t="s">
        <v>514</v>
      </c>
      <c r="H908" t="str">
        <f>TEXT(walmart[[#This Row],[Purchase_Date]],"DDD")</f>
        <v>Sat</v>
      </c>
      <c r="I908" t="str">
        <f>TEXT(walmart[[#This Row],[Purchase_Date]],"MMM")</f>
        <v>Feb</v>
      </c>
      <c r="J908" t="str">
        <f>TEXT(walmart[[#This Row],[Purchase_Date]],"YYY")</f>
        <v>2025</v>
      </c>
      <c r="K908" s="3">
        <v>211.46</v>
      </c>
      <c r="L908" t="str">
        <f t="shared" si="70"/>
        <v>5% off</v>
      </c>
      <c r="M908" s="3">
        <f t="shared" si="71"/>
        <v>10.573</v>
      </c>
      <c r="N908" t="str">
        <f t="shared" si="72"/>
        <v>Yes</v>
      </c>
      <c r="O908" t="s">
        <v>21</v>
      </c>
      <c r="P908" s="3">
        <f t="shared" si="73"/>
        <v>200.887</v>
      </c>
      <c r="Q908" t="s">
        <v>35</v>
      </c>
      <c r="R908">
        <v>3</v>
      </c>
      <c r="S908" t="str">
        <f t="shared" si="74"/>
        <v>Average</v>
      </c>
    </row>
    <row r="909" spans="1:19" x14ac:dyDescent="0.25">
      <c r="A909" t="s">
        <v>1309</v>
      </c>
      <c r="B909">
        <v>48</v>
      </c>
      <c r="C909" t="s">
        <v>16</v>
      </c>
      <c r="D909" t="s">
        <v>2437</v>
      </c>
      <c r="E909" t="s">
        <v>18</v>
      </c>
      <c r="F909" t="s">
        <v>59</v>
      </c>
      <c r="G909" t="s">
        <v>1126</v>
      </c>
      <c r="H909" t="str">
        <f>TEXT(walmart[[#This Row],[Purchase_Date]],"DDD")</f>
        <v>Wed</v>
      </c>
      <c r="I909" t="str">
        <f>TEXT(walmart[[#This Row],[Purchase_Date]],"MMM")</f>
        <v>Dec</v>
      </c>
      <c r="J909" t="str">
        <f>TEXT(walmart[[#This Row],[Purchase_Date]],"YYY")</f>
        <v>2024</v>
      </c>
      <c r="K909" s="3">
        <v>78.349999999999994</v>
      </c>
      <c r="L909" t="str">
        <f t="shared" si="70"/>
        <v>0% off</v>
      </c>
      <c r="M909" s="3">
        <f t="shared" si="71"/>
        <v>0</v>
      </c>
      <c r="N909" t="str">
        <f t="shared" si="72"/>
        <v>No</v>
      </c>
      <c r="O909" t="s">
        <v>21</v>
      </c>
      <c r="P909" s="3">
        <f t="shared" si="73"/>
        <v>78.349999999999994</v>
      </c>
      <c r="Q909" t="s">
        <v>22</v>
      </c>
      <c r="R909">
        <v>4</v>
      </c>
      <c r="S909" t="str">
        <f t="shared" si="74"/>
        <v>Good</v>
      </c>
    </row>
    <row r="910" spans="1:19" x14ac:dyDescent="0.25">
      <c r="A910" t="s">
        <v>1310</v>
      </c>
      <c r="B910">
        <v>58</v>
      </c>
      <c r="C910" t="s">
        <v>16</v>
      </c>
      <c r="D910" t="s">
        <v>2438</v>
      </c>
      <c r="E910" t="s">
        <v>55</v>
      </c>
      <c r="F910" t="s">
        <v>64</v>
      </c>
      <c r="G910" t="s">
        <v>730</v>
      </c>
      <c r="H910" t="str">
        <f>TEXT(walmart[[#This Row],[Purchase_Date]],"DDD")</f>
        <v>Tue</v>
      </c>
      <c r="I910" t="str">
        <f>TEXT(walmart[[#This Row],[Purchase_Date]],"MMM")</f>
        <v>Jan</v>
      </c>
      <c r="J910" t="str">
        <f>TEXT(walmart[[#This Row],[Purchase_Date]],"YYY")</f>
        <v>2025</v>
      </c>
      <c r="K910" s="3">
        <v>374.92</v>
      </c>
      <c r="L910" t="str">
        <f t="shared" si="70"/>
        <v>5% off</v>
      </c>
      <c r="M910" s="3">
        <f t="shared" si="71"/>
        <v>18.746000000000002</v>
      </c>
      <c r="N910" t="str">
        <f t="shared" si="72"/>
        <v>Yes</v>
      </c>
      <c r="O910" t="s">
        <v>21</v>
      </c>
      <c r="P910" s="3">
        <f t="shared" si="73"/>
        <v>356.17400000000004</v>
      </c>
      <c r="Q910" t="s">
        <v>47</v>
      </c>
      <c r="R910">
        <v>5</v>
      </c>
      <c r="S910" t="str">
        <f t="shared" si="74"/>
        <v>Excellent</v>
      </c>
    </row>
    <row r="911" spans="1:19" x14ac:dyDescent="0.25">
      <c r="A911" t="s">
        <v>1311</v>
      </c>
      <c r="B911">
        <v>39</v>
      </c>
      <c r="C911" t="s">
        <v>29</v>
      </c>
      <c r="D911" t="s">
        <v>2439</v>
      </c>
      <c r="E911" t="s">
        <v>24</v>
      </c>
      <c r="F911" t="s">
        <v>162</v>
      </c>
      <c r="G911" t="s">
        <v>215</v>
      </c>
      <c r="H911" t="str">
        <f>TEXT(walmart[[#This Row],[Purchase_Date]],"DDD")</f>
        <v>Mon</v>
      </c>
      <c r="I911" t="str">
        <f>TEXT(walmart[[#This Row],[Purchase_Date]],"MMM")</f>
        <v>Feb</v>
      </c>
      <c r="J911" t="str">
        <f>TEXT(walmart[[#This Row],[Purchase_Date]],"YYY")</f>
        <v>2025</v>
      </c>
      <c r="K911" s="3">
        <v>362.55</v>
      </c>
      <c r="L911" t="str">
        <f t="shared" si="70"/>
        <v>5% off</v>
      </c>
      <c r="M911" s="3">
        <f t="shared" si="71"/>
        <v>18.127500000000001</v>
      </c>
      <c r="N911" t="str">
        <f t="shared" si="72"/>
        <v>Yes</v>
      </c>
      <c r="O911" t="s">
        <v>21</v>
      </c>
      <c r="P911" s="3">
        <f t="shared" si="73"/>
        <v>344.42250000000001</v>
      </c>
      <c r="Q911" t="s">
        <v>47</v>
      </c>
      <c r="R911">
        <v>2</v>
      </c>
      <c r="S911" t="str">
        <f t="shared" si="74"/>
        <v>Poor</v>
      </c>
    </row>
    <row r="912" spans="1:19" x14ac:dyDescent="0.25">
      <c r="A912" t="s">
        <v>1312</v>
      </c>
      <c r="B912">
        <v>61</v>
      </c>
      <c r="C912" t="s">
        <v>16</v>
      </c>
      <c r="D912" t="s">
        <v>2440</v>
      </c>
      <c r="E912" t="s">
        <v>55</v>
      </c>
      <c r="F912" t="s">
        <v>64</v>
      </c>
      <c r="G912" t="s">
        <v>600</v>
      </c>
      <c r="H912" t="str">
        <f>TEXT(walmart[[#This Row],[Purchase_Date]],"DDD")</f>
        <v>Sun</v>
      </c>
      <c r="I912" t="str">
        <f>TEXT(walmart[[#This Row],[Purchase_Date]],"MMM")</f>
        <v>Dec</v>
      </c>
      <c r="J912" t="str">
        <f>TEXT(walmart[[#This Row],[Purchase_Date]],"YYY")</f>
        <v>2024</v>
      </c>
      <c r="K912" s="3">
        <v>374.92</v>
      </c>
      <c r="L912" t="str">
        <f t="shared" si="70"/>
        <v>5% off</v>
      </c>
      <c r="M912" s="3">
        <f t="shared" si="71"/>
        <v>18.746000000000002</v>
      </c>
      <c r="N912" t="str">
        <f t="shared" si="72"/>
        <v>Yes</v>
      </c>
      <c r="O912" t="s">
        <v>34</v>
      </c>
      <c r="P912" s="3">
        <f t="shared" si="73"/>
        <v>356.17400000000004</v>
      </c>
      <c r="Q912" t="s">
        <v>22</v>
      </c>
      <c r="R912">
        <v>5</v>
      </c>
      <c r="S912" t="str">
        <f t="shared" si="74"/>
        <v>Excellent</v>
      </c>
    </row>
    <row r="913" spans="1:19" x14ac:dyDescent="0.25">
      <c r="A913" t="s">
        <v>1313</v>
      </c>
      <c r="B913">
        <v>66</v>
      </c>
      <c r="C913" t="s">
        <v>29</v>
      </c>
      <c r="D913" t="s">
        <v>2441</v>
      </c>
      <c r="E913" t="s">
        <v>37</v>
      </c>
      <c r="F913" t="s">
        <v>97</v>
      </c>
      <c r="G913" t="s">
        <v>1091</v>
      </c>
      <c r="H913" t="str">
        <f>TEXT(walmart[[#This Row],[Purchase_Date]],"DDD")</f>
        <v>Thu</v>
      </c>
      <c r="I913" t="str">
        <f>TEXT(walmart[[#This Row],[Purchase_Date]],"MMM")</f>
        <v>Aug</v>
      </c>
      <c r="J913" t="str">
        <f>TEXT(walmart[[#This Row],[Purchase_Date]],"YYY")</f>
        <v>2024</v>
      </c>
      <c r="K913" s="3">
        <v>855.21</v>
      </c>
      <c r="L913" t="str">
        <f t="shared" si="70"/>
        <v>15% off</v>
      </c>
      <c r="M913" s="3">
        <f t="shared" si="71"/>
        <v>128.28149999999999</v>
      </c>
      <c r="N913" t="str">
        <f t="shared" si="72"/>
        <v>Yes</v>
      </c>
      <c r="O913" t="s">
        <v>34</v>
      </c>
      <c r="P913" s="3">
        <f t="shared" si="73"/>
        <v>726.92849999999999</v>
      </c>
      <c r="Q913" t="s">
        <v>27</v>
      </c>
      <c r="R913">
        <v>2</v>
      </c>
      <c r="S913" t="str">
        <f t="shared" si="74"/>
        <v>Poor</v>
      </c>
    </row>
    <row r="914" spans="1:19" x14ac:dyDescent="0.25">
      <c r="A914" t="s">
        <v>1314</v>
      </c>
      <c r="B914">
        <v>44</v>
      </c>
      <c r="C914" t="s">
        <v>16</v>
      </c>
      <c r="D914" t="s">
        <v>17</v>
      </c>
      <c r="E914" t="s">
        <v>42</v>
      </c>
      <c r="F914" t="s">
        <v>43</v>
      </c>
      <c r="G914" t="s">
        <v>478</v>
      </c>
      <c r="H914" t="str">
        <f>TEXT(walmart[[#This Row],[Purchase_Date]],"DDD")</f>
        <v>Tue</v>
      </c>
      <c r="I914" t="str">
        <f>TEXT(walmart[[#This Row],[Purchase_Date]],"MMM")</f>
        <v>Sep</v>
      </c>
      <c r="J914" t="str">
        <f>TEXT(walmart[[#This Row],[Purchase_Date]],"YYY")</f>
        <v>2024</v>
      </c>
      <c r="K914" s="3">
        <v>512.94000000000005</v>
      </c>
      <c r="L914" t="str">
        <f t="shared" si="70"/>
        <v>10% off</v>
      </c>
      <c r="M914" s="3">
        <f t="shared" si="71"/>
        <v>51.294000000000011</v>
      </c>
      <c r="N914" t="str">
        <f t="shared" si="72"/>
        <v>Yes</v>
      </c>
      <c r="O914" t="s">
        <v>34</v>
      </c>
      <c r="P914" s="3">
        <f t="shared" si="73"/>
        <v>461.64600000000007</v>
      </c>
      <c r="Q914" t="s">
        <v>47</v>
      </c>
      <c r="R914">
        <v>4</v>
      </c>
      <c r="S914" t="str">
        <f t="shared" si="74"/>
        <v>Good</v>
      </c>
    </row>
    <row r="915" spans="1:19" x14ac:dyDescent="0.25">
      <c r="A915" t="s">
        <v>1315</v>
      </c>
      <c r="B915">
        <v>30</v>
      </c>
      <c r="C915" t="s">
        <v>29</v>
      </c>
      <c r="D915" t="s">
        <v>2442</v>
      </c>
      <c r="E915" t="s">
        <v>37</v>
      </c>
      <c r="F915" t="s">
        <v>117</v>
      </c>
      <c r="G915" t="s">
        <v>140</v>
      </c>
      <c r="H915" t="str">
        <f>TEXT(walmart[[#This Row],[Purchase_Date]],"DDD")</f>
        <v>Sun</v>
      </c>
      <c r="I915" t="str">
        <f>TEXT(walmart[[#This Row],[Purchase_Date]],"MMM")</f>
        <v>Mar</v>
      </c>
      <c r="J915" t="str">
        <f>TEXT(walmart[[#This Row],[Purchase_Date]],"YYY")</f>
        <v>2025</v>
      </c>
      <c r="K915" s="3">
        <v>165.68</v>
      </c>
      <c r="L915" t="str">
        <f t="shared" si="70"/>
        <v>5% off</v>
      </c>
      <c r="M915" s="3">
        <f t="shared" si="71"/>
        <v>8.2840000000000007</v>
      </c>
      <c r="N915" t="str">
        <f t="shared" si="72"/>
        <v>Yes</v>
      </c>
      <c r="O915" t="s">
        <v>21</v>
      </c>
      <c r="P915" s="3">
        <f t="shared" si="73"/>
        <v>157.39600000000002</v>
      </c>
      <c r="Q915" t="s">
        <v>47</v>
      </c>
      <c r="R915">
        <v>4</v>
      </c>
      <c r="S915" t="str">
        <f t="shared" si="74"/>
        <v>Good</v>
      </c>
    </row>
    <row r="916" spans="1:19" x14ac:dyDescent="0.25">
      <c r="A916" t="s">
        <v>1316</v>
      </c>
      <c r="B916">
        <v>35</v>
      </c>
      <c r="C916" t="s">
        <v>16</v>
      </c>
      <c r="D916" t="s">
        <v>2443</v>
      </c>
      <c r="E916" t="s">
        <v>18</v>
      </c>
      <c r="F916" t="s">
        <v>77</v>
      </c>
      <c r="G916" t="s">
        <v>385</v>
      </c>
      <c r="H916" t="str">
        <f>TEXT(walmart[[#This Row],[Purchase_Date]],"DDD")</f>
        <v>Wed</v>
      </c>
      <c r="I916" t="str">
        <f>TEXT(walmart[[#This Row],[Purchase_Date]],"MMM")</f>
        <v>Apr</v>
      </c>
      <c r="J916" t="str">
        <f>TEXT(walmart[[#This Row],[Purchase_Date]],"YYY")</f>
        <v>2024</v>
      </c>
      <c r="K916" s="3">
        <v>116.78</v>
      </c>
      <c r="L916" t="str">
        <f t="shared" si="70"/>
        <v>0% off</v>
      </c>
      <c r="M916" s="3">
        <f t="shared" si="71"/>
        <v>0</v>
      </c>
      <c r="N916" t="str">
        <f t="shared" si="72"/>
        <v>No</v>
      </c>
      <c r="O916" t="s">
        <v>21</v>
      </c>
      <c r="P916" s="3">
        <f t="shared" si="73"/>
        <v>116.78</v>
      </c>
      <c r="Q916" t="s">
        <v>22</v>
      </c>
      <c r="R916">
        <v>5</v>
      </c>
      <c r="S916" t="str">
        <f t="shared" si="74"/>
        <v>Excellent</v>
      </c>
    </row>
    <row r="917" spans="1:19" x14ac:dyDescent="0.25">
      <c r="A917" t="s">
        <v>1317</v>
      </c>
      <c r="B917">
        <v>46</v>
      </c>
      <c r="C917" t="s">
        <v>16</v>
      </c>
      <c r="D917" t="s">
        <v>2444</v>
      </c>
      <c r="E917" t="s">
        <v>24</v>
      </c>
      <c r="F917" t="s">
        <v>162</v>
      </c>
      <c r="G917" t="s">
        <v>791</v>
      </c>
      <c r="H917" t="str">
        <f>TEXT(walmart[[#This Row],[Purchase_Date]],"DDD")</f>
        <v>Thu</v>
      </c>
      <c r="I917" t="str">
        <f>TEXT(walmart[[#This Row],[Purchase_Date]],"MMM")</f>
        <v>Sep</v>
      </c>
      <c r="J917" t="str">
        <f>TEXT(walmart[[#This Row],[Purchase_Date]],"YYY")</f>
        <v>2024</v>
      </c>
      <c r="K917" s="3">
        <v>362.55</v>
      </c>
      <c r="L917" t="str">
        <f t="shared" si="70"/>
        <v>5% off</v>
      </c>
      <c r="M917" s="3">
        <f t="shared" si="71"/>
        <v>18.127500000000001</v>
      </c>
      <c r="N917" t="str">
        <f t="shared" si="72"/>
        <v>Yes</v>
      </c>
      <c r="O917" t="s">
        <v>21</v>
      </c>
      <c r="P917" s="3">
        <f t="shared" si="73"/>
        <v>344.42250000000001</v>
      </c>
      <c r="Q917" t="s">
        <v>35</v>
      </c>
      <c r="R917">
        <v>5</v>
      </c>
      <c r="S917" t="str">
        <f t="shared" si="74"/>
        <v>Excellent</v>
      </c>
    </row>
    <row r="918" spans="1:19" x14ac:dyDescent="0.25">
      <c r="A918" t="s">
        <v>1318</v>
      </c>
      <c r="B918">
        <v>21</v>
      </c>
      <c r="C918" t="s">
        <v>16</v>
      </c>
      <c r="D918" t="s">
        <v>2445</v>
      </c>
      <c r="E918" t="s">
        <v>24</v>
      </c>
      <c r="F918" t="s">
        <v>209</v>
      </c>
      <c r="G918" t="s">
        <v>622</v>
      </c>
      <c r="H918" t="str">
        <f>TEXT(walmart[[#This Row],[Purchase_Date]],"DDD")</f>
        <v>Mon</v>
      </c>
      <c r="I918" t="str">
        <f>TEXT(walmart[[#This Row],[Purchase_Date]],"MMM")</f>
        <v>Dec</v>
      </c>
      <c r="J918" t="str">
        <f>TEXT(walmart[[#This Row],[Purchase_Date]],"YYY")</f>
        <v>2024</v>
      </c>
      <c r="K918" s="3">
        <v>775.75</v>
      </c>
      <c r="L918" t="str">
        <f t="shared" si="70"/>
        <v>15% off</v>
      </c>
      <c r="M918" s="3">
        <f t="shared" si="71"/>
        <v>116.3625</v>
      </c>
      <c r="N918" t="str">
        <f t="shared" si="72"/>
        <v>Yes</v>
      </c>
      <c r="O918" t="s">
        <v>21</v>
      </c>
      <c r="P918" s="3">
        <f t="shared" si="73"/>
        <v>659.38750000000005</v>
      </c>
      <c r="Q918" t="s">
        <v>22</v>
      </c>
      <c r="R918">
        <v>4</v>
      </c>
      <c r="S918" t="str">
        <f t="shared" si="74"/>
        <v>Good</v>
      </c>
    </row>
    <row r="919" spans="1:19" x14ac:dyDescent="0.25">
      <c r="A919" t="s">
        <v>1319</v>
      </c>
      <c r="B919">
        <v>60</v>
      </c>
      <c r="C919" t="s">
        <v>16</v>
      </c>
      <c r="D919" t="s">
        <v>2446</v>
      </c>
      <c r="E919" t="s">
        <v>18</v>
      </c>
      <c r="F919" t="s">
        <v>19</v>
      </c>
      <c r="G919" t="s">
        <v>1291</v>
      </c>
      <c r="H919" t="str">
        <f>TEXT(walmart[[#This Row],[Purchase_Date]],"DDD")</f>
        <v>Sat</v>
      </c>
      <c r="I919" t="str">
        <f>TEXT(walmart[[#This Row],[Purchase_Date]],"MMM")</f>
        <v>Oct</v>
      </c>
      <c r="J919" t="str">
        <f>TEXT(walmart[[#This Row],[Purchase_Date]],"YYY")</f>
        <v>2024</v>
      </c>
      <c r="K919" s="3">
        <v>697.86</v>
      </c>
      <c r="L919" t="str">
        <f t="shared" si="70"/>
        <v>10% off</v>
      </c>
      <c r="M919" s="3">
        <f t="shared" si="71"/>
        <v>69.786000000000001</v>
      </c>
      <c r="N919" t="str">
        <f t="shared" si="72"/>
        <v>Yes</v>
      </c>
      <c r="O919" t="s">
        <v>21</v>
      </c>
      <c r="P919" s="3">
        <f t="shared" si="73"/>
        <v>628.07400000000007</v>
      </c>
      <c r="Q919" t="s">
        <v>27</v>
      </c>
      <c r="R919">
        <v>3</v>
      </c>
      <c r="S919" t="str">
        <f t="shared" si="74"/>
        <v>Average</v>
      </c>
    </row>
    <row r="920" spans="1:19" x14ac:dyDescent="0.25">
      <c r="A920" t="s">
        <v>1320</v>
      </c>
      <c r="B920">
        <v>21</v>
      </c>
      <c r="C920" t="s">
        <v>29</v>
      </c>
      <c r="D920" t="s">
        <v>2447</v>
      </c>
      <c r="E920" t="s">
        <v>55</v>
      </c>
      <c r="F920" t="s">
        <v>100</v>
      </c>
      <c r="G920" t="s">
        <v>409</v>
      </c>
      <c r="H920" t="str">
        <f>TEXT(walmart[[#This Row],[Purchase_Date]],"DDD")</f>
        <v>Wed</v>
      </c>
      <c r="I920" t="str">
        <f>TEXT(walmart[[#This Row],[Purchase_Date]],"MMM")</f>
        <v>Jul</v>
      </c>
      <c r="J920" t="str">
        <f>TEXT(walmart[[#This Row],[Purchase_Date]],"YYY")</f>
        <v>2024</v>
      </c>
      <c r="K920" s="3">
        <v>592.26</v>
      </c>
      <c r="L920" t="str">
        <f t="shared" si="70"/>
        <v>10% off</v>
      </c>
      <c r="M920" s="3">
        <f t="shared" si="71"/>
        <v>59.225999999999999</v>
      </c>
      <c r="N920" t="str">
        <f t="shared" si="72"/>
        <v>Yes</v>
      </c>
      <c r="O920" t="s">
        <v>21</v>
      </c>
      <c r="P920" s="3">
        <f t="shared" si="73"/>
        <v>533.03399999999999</v>
      </c>
      <c r="Q920" t="s">
        <v>47</v>
      </c>
      <c r="R920">
        <v>2</v>
      </c>
      <c r="S920" t="str">
        <f t="shared" si="74"/>
        <v>Poor</v>
      </c>
    </row>
    <row r="921" spans="1:19" x14ac:dyDescent="0.25">
      <c r="A921" t="s">
        <v>1321</v>
      </c>
      <c r="B921">
        <v>40</v>
      </c>
      <c r="C921" t="s">
        <v>16</v>
      </c>
      <c r="D921" t="s">
        <v>2448</v>
      </c>
      <c r="E921" t="s">
        <v>55</v>
      </c>
      <c r="F921" t="s">
        <v>56</v>
      </c>
      <c r="G921" t="s">
        <v>681</v>
      </c>
      <c r="H921" t="str">
        <f>TEXT(walmart[[#This Row],[Purchase_Date]],"DDD")</f>
        <v>Sun</v>
      </c>
      <c r="I921" t="str">
        <f>TEXT(walmart[[#This Row],[Purchase_Date]],"MMM")</f>
        <v>Jun</v>
      </c>
      <c r="J921" t="str">
        <f>TEXT(walmart[[#This Row],[Purchase_Date]],"YYY")</f>
        <v>2024</v>
      </c>
      <c r="K921" s="3">
        <v>76.81</v>
      </c>
      <c r="L921" t="str">
        <f t="shared" si="70"/>
        <v>0% off</v>
      </c>
      <c r="M921" s="3">
        <f t="shared" si="71"/>
        <v>0</v>
      </c>
      <c r="N921" t="str">
        <f t="shared" si="72"/>
        <v>No</v>
      </c>
      <c r="O921" t="s">
        <v>21</v>
      </c>
      <c r="P921" s="3">
        <f t="shared" si="73"/>
        <v>76.81</v>
      </c>
      <c r="Q921" t="s">
        <v>27</v>
      </c>
      <c r="R921">
        <v>2</v>
      </c>
      <c r="S921" t="str">
        <f t="shared" si="74"/>
        <v>Poor</v>
      </c>
    </row>
    <row r="922" spans="1:19" x14ac:dyDescent="0.25">
      <c r="A922" t="s">
        <v>1322</v>
      </c>
      <c r="B922">
        <v>51</v>
      </c>
      <c r="C922" t="s">
        <v>29</v>
      </c>
      <c r="D922" t="s">
        <v>2449</v>
      </c>
      <c r="E922" t="s">
        <v>24</v>
      </c>
      <c r="F922" t="s">
        <v>25</v>
      </c>
      <c r="G922" t="s">
        <v>602</v>
      </c>
      <c r="H922" t="str">
        <f>TEXT(walmart[[#This Row],[Purchase_Date]],"DDD")</f>
        <v>Fri</v>
      </c>
      <c r="I922" t="str">
        <f>TEXT(walmart[[#This Row],[Purchase_Date]],"MMM")</f>
        <v>Jun</v>
      </c>
      <c r="J922" t="str">
        <f>TEXT(walmart[[#This Row],[Purchase_Date]],"YYY")</f>
        <v>2024</v>
      </c>
      <c r="K922" s="3">
        <v>67.040000000000006</v>
      </c>
      <c r="L922" t="str">
        <f t="shared" si="70"/>
        <v>0% off</v>
      </c>
      <c r="M922" s="3">
        <f t="shared" si="71"/>
        <v>0</v>
      </c>
      <c r="N922" t="str">
        <f t="shared" si="72"/>
        <v>No</v>
      </c>
      <c r="O922" t="s">
        <v>21</v>
      </c>
      <c r="P922" s="3">
        <f t="shared" si="73"/>
        <v>67.040000000000006</v>
      </c>
      <c r="Q922" t="s">
        <v>35</v>
      </c>
      <c r="R922">
        <v>4</v>
      </c>
      <c r="S922" t="str">
        <f t="shared" si="74"/>
        <v>Good</v>
      </c>
    </row>
    <row r="923" spans="1:19" x14ac:dyDescent="0.25">
      <c r="A923" t="s">
        <v>1323</v>
      </c>
      <c r="B923">
        <v>18</v>
      </c>
      <c r="C923" t="s">
        <v>16</v>
      </c>
      <c r="D923" t="s">
        <v>2450</v>
      </c>
      <c r="E923" t="s">
        <v>37</v>
      </c>
      <c r="F923" t="s">
        <v>38</v>
      </c>
      <c r="G923" t="s">
        <v>749</v>
      </c>
      <c r="H923" t="str">
        <f>TEXT(walmart[[#This Row],[Purchase_Date]],"DDD")</f>
        <v>Fri</v>
      </c>
      <c r="I923" t="str">
        <f>TEXT(walmart[[#This Row],[Purchase_Date]],"MMM")</f>
        <v>Sep</v>
      </c>
      <c r="J923" t="str">
        <f>TEXT(walmart[[#This Row],[Purchase_Date]],"YYY")</f>
        <v>2024</v>
      </c>
      <c r="K923" s="3">
        <v>211.46</v>
      </c>
      <c r="L923" t="str">
        <f t="shared" si="70"/>
        <v>5% off</v>
      </c>
      <c r="M923" s="3">
        <f t="shared" si="71"/>
        <v>10.573</v>
      </c>
      <c r="N923" t="str">
        <f t="shared" si="72"/>
        <v>Yes</v>
      </c>
      <c r="O923" t="s">
        <v>21</v>
      </c>
      <c r="P923" s="3">
        <f t="shared" si="73"/>
        <v>200.887</v>
      </c>
      <c r="Q923" t="s">
        <v>47</v>
      </c>
      <c r="R923">
        <v>3</v>
      </c>
      <c r="S923" t="str">
        <f t="shared" si="74"/>
        <v>Average</v>
      </c>
    </row>
    <row r="924" spans="1:19" x14ac:dyDescent="0.25">
      <c r="A924" t="s">
        <v>1324</v>
      </c>
      <c r="B924">
        <v>49</v>
      </c>
      <c r="C924" t="s">
        <v>16</v>
      </c>
      <c r="D924" t="s">
        <v>2451</v>
      </c>
      <c r="E924" t="s">
        <v>31</v>
      </c>
      <c r="F924" t="s">
        <v>169</v>
      </c>
      <c r="G924" t="s">
        <v>361</v>
      </c>
      <c r="H924" t="str">
        <f>TEXT(walmart[[#This Row],[Purchase_Date]],"DDD")</f>
        <v>Sat</v>
      </c>
      <c r="I924" t="str">
        <f>TEXT(walmart[[#This Row],[Purchase_Date]],"MMM")</f>
        <v>Jul</v>
      </c>
      <c r="J924" t="str">
        <f>TEXT(walmart[[#This Row],[Purchase_Date]],"YYY")</f>
        <v>2024</v>
      </c>
      <c r="K924" s="3">
        <v>52.44</v>
      </c>
      <c r="L924" t="str">
        <f t="shared" si="70"/>
        <v>0% off</v>
      </c>
      <c r="M924" s="3">
        <f t="shared" si="71"/>
        <v>0</v>
      </c>
      <c r="N924" t="str">
        <f t="shared" si="72"/>
        <v>No</v>
      </c>
      <c r="O924" t="s">
        <v>21</v>
      </c>
      <c r="P924" s="3">
        <f t="shared" si="73"/>
        <v>52.44</v>
      </c>
      <c r="Q924" t="s">
        <v>47</v>
      </c>
      <c r="R924">
        <v>2</v>
      </c>
      <c r="S924" t="str">
        <f t="shared" si="74"/>
        <v>Poor</v>
      </c>
    </row>
    <row r="925" spans="1:19" x14ac:dyDescent="0.25">
      <c r="A925" t="s">
        <v>1325</v>
      </c>
      <c r="B925">
        <v>70</v>
      </c>
      <c r="C925" t="s">
        <v>16</v>
      </c>
      <c r="D925" t="s">
        <v>2452</v>
      </c>
      <c r="E925" t="s">
        <v>37</v>
      </c>
      <c r="F925" t="s">
        <v>97</v>
      </c>
      <c r="G925" t="s">
        <v>764</v>
      </c>
      <c r="H925" t="str">
        <f>TEXT(walmart[[#This Row],[Purchase_Date]],"DDD")</f>
        <v>Sun</v>
      </c>
      <c r="I925" t="str">
        <f>TEXT(walmart[[#This Row],[Purchase_Date]],"MMM")</f>
        <v>Apr</v>
      </c>
      <c r="J925" t="str">
        <f>TEXT(walmart[[#This Row],[Purchase_Date]],"YYY")</f>
        <v>2024</v>
      </c>
      <c r="K925" s="3">
        <v>855.21</v>
      </c>
      <c r="L925" t="str">
        <f t="shared" si="70"/>
        <v>15% off</v>
      </c>
      <c r="M925" s="3">
        <f t="shared" si="71"/>
        <v>128.28149999999999</v>
      </c>
      <c r="N925" t="str">
        <f t="shared" si="72"/>
        <v>Yes</v>
      </c>
      <c r="O925" t="s">
        <v>34</v>
      </c>
      <c r="P925" s="3">
        <f t="shared" si="73"/>
        <v>726.92849999999999</v>
      </c>
      <c r="Q925" t="s">
        <v>35</v>
      </c>
      <c r="R925">
        <v>2</v>
      </c>
      <c r="S925" t="str">
        <f t="shared" si="74"/>
        <v>Poor</v>
      </c>
    </row>
    <row r="926" spans="1:19" x14ac:dyDescent="0.25">
      <c r="A926" t="s">
        <v>1326</v>
      </c>
      <c r="B926">
        <v>25</v>
      </c>
      <c r="C926" t="s">
        <v>29</v>
      </c>
      <c r="D926" t="s">
        <v>2453</v>
      </c>
      <c r="E926" t="s">
        <v>31</v>
      </c>
      <c r="F926" t="s">
        <v>32</v>
      </c>
      <c r="G926" t="s">
        <v>486</v>
      </c>
      <c r="H926" t="str">
        <f>TEXT(walmart[[#This Row],[Purchase_Date]],"DDD")</f>
        <v>Wed</v>
      </c>
      <c r="I926" t="str">
        <f>TEXT(walmart[[#This Row],[Purchase_Date]],"MMM")</f>
        <v>Mar</v>
      </c>
      <c r="J926" t="str">
        <f>TEXT(walmart[[#This Row],[Purchase_Date]],"YYY")</f>
        <v>2025</v>
      </c>
      <c r="K926" s="3">
        <v>493.96</v>
      </c>
      <c r="L926" t="str">
        <f t="shared" si="70"/>
        <v>5% off</v>
      </c>
      <c r="M926" s="3">
        <f t="shared" si="71"/>
        <v>24.698</v>
      </c>
      <c r="N926" t="str">
        <f t="shared" si="72"/>
        <v>Yes</v>
      </c>
      <c r="O926" t="s">
        <v>21</v>
      </c>
      <c r="P926" s="3">
        <f t="shared" si="73"/>
        <v>469.262</v>
      </c>
      <c r="Q926" t="s">
        <v>27</v>
      </c>
      <c r="R926">
        <v>1</v>
      </c>
      <c r="S926" t="str">
        <f t="shared" si="74"/>
        <v>Very Poor</v>
      </c>
    </row>
    <row r="927" spans="1:19" x14ac:dyDescent="0.25">
      <c r="A927" t="s">
        <v>1327</v>
      </c>
      <c r="B927">
        <v>45</v>
      </c>
      <c r="C927" t="s">
        <v>16</v>
      </c>
      <c r="D927" t="s">
        <v>2454</v>
      </c>
      <c r="E927" t="s">
        <v>37</v>
      </c>
      <c r="F927" t="s">
        <v>38</v>
      </c>
      <c r="G927" t="s">
        <v>983</v>
      </c>
      <c r="H927" t="str">
        <f>TEXT(walmart[[#This Row],[Purchase_Date]],"DDD")</f>
        <v>Wed</v>
      </c>
      <c r="I927" t="str">
        <f>TEXT(walmart[[#This Row],[Purchase_Date]],"MMM")</f>
        <v>Jan</v>
      </c>
      <c r="J927" t="str">
        <f>TEXT(walmart[[#This Row],[Purchase_Date]],"YYY")</f>
        <v>2025</v>
      </c>
      <c r="K927" s="3">
        <v>211.46</v>
      </c>
      <c r="L927" t="str">
        <f t="shared" si="70"/>
        <v>5% off</v>
      </c>
      <c r="M927" s="3">
        <f t="shared" si="71"/>
        <v>10.573</v>
      </c>
      <c r="N927" t="str">
        <f t="shared" si="72"/>
        <v>Yes</v>
      </c>
      <c r="O927" t="s">
        <v>34</v>
      </c>
      <c r="P927" s="3">
        <f t="shared" si="73"/>
        <v>200.887</v>
      </c>
      <c r="Q927" t="s">
        <v>27</v>
      </c>
      <c r="R927">
        <v>1</v>
      </c>
      <c r="S927" t="str">
        <f t="shared" si="74"/>
        <v>Very Poor</v>
      </c>
    </row>
    <row r="928" spans="1:19" x14ac:dyDescent="0.25">
      <c r="A928" t="s">
        <v>1328</v>
      </c>
      <c r="B928">
        <v>32</v>
      </c>
      <c r="C928" t="s">
        <v>29</v>
      </c>
      <c r="D928" t="s">
        <v>2455</v>
      </c>
      <c r="E928" t="s">
        <v>73</v>
      </c>
      <c r="F928" t="s">
        <v>91</v>
      </c>
      <c r="G928" t="s">
        <v>570</v>
      </c>
      <c r="H928" t="str">
        <f>TEXT(walmart[[#This Row],[Purchase_Date]],"DDD")</f>
        <v>Tue</v>
      </c>
      <c r="I928" t="str">
        <f>TEXT(walmart[[#This Row],[Purchase_Date]],"MMM")</f>
        <v>Jun</v>
      </c>
      <c r="J928" t="str">
        <f>TEXT(walmart[[#This Row],[Purchase_Date]],"YYY")</f>
        <v>2024</v>
      </c>
      <c r="K928" s="3">
        <v>418.55</v>
      </c>
      <c r="L928" t="str">
        <f t="shared" si="70"/>
        <v>5% off</v>
      </c>
      <c r="M928" s="3">
        <f t="shared" si="71"/>
        <v>20.927500000000002</v>
      </c>
      <c r="N928" t="str">
        <f t="shared" si="72"/>
        <v>Yes</v>
      </c>
      <c r="O928" t="s">
        <v>21</v>
      </c>
      <c r="P928" s="3">
        <f t="shared" si="73"/>
        <v>397.6225</v>
      </c>
      <c r="Q928" t="s">
        <v>22</v>
      </c>
      <c r="R928">
        <v>5</v>
      </c>
      <c r="S928" t="str">
        <f t="shared" si="74"/>
        <v>Excellent</v>
      </c>
    </row>
    <row r="929" spans="1:19" x14ac:dyDescent="0.25">
      <c r="A929" t="s">
        <v>1329</v>
      </c>
      <c r="B929">
        <v>33</v>
      </c>
      <c r="C929" t="s">
        <v>29</v>
      </c>
      <c r="D929" t="s">
        <v>2456</v>
      </c>
      <c r="E929" t="s">
        <v>55</v>
      </c>
      <c r="F929" t="s">
        <v>67</v>
      </c>
      <c r="G929" t="s">
        <v>490</v>
      </c>
      <c r="H929" t="str">
        <f>TEXT(walmart[[#This Row],[Purchase_Date]],"DDD")</f>
        <v>Mon</v>
      </c>
      <c r="I929" t="str">
        <f>TEXT(walmart[[#This Row],[Purchase_Date]],"MMM")</f>
        <v>Dec</v>
      </c>
      <c r="J929" t="str">
        <f>TEXT(walmart[[#This Row],[Purchase_Date]],"YYY")</f>
        <v>2024</v>
      </c>
      <c r="K929" s="3">
        <v>452.97</v>
      </c>
      <c r="L929" t="str">
        <f t="shared" si="70"/>
        <v>5% off</v>
      </c>
      <c r="M929" s="3">
        <f t="shared" si="71"/>
        <v>22.648500000000002</v>
      </c>
      <c r="N929" t="str">
        <f t="shared" si="72"/>
        <v>Yes</v>
      </c>
      <c r="O929" t="s">
        <v>21</v>
      </c>
      <c r="P929" s="3">
        <f t="shared" si="73"/>
        <v>430.32150000000001</v>
      </c>
      <c r="Q929" t="s">
        <v>47</v>
      </c>
      <c r="R929">
        <v>5</v>
      </c>
      <c r="S929" t="str">
        <f t="shared" si="74"/>
        <v>Excellent</v>
      </c>
    </row>
    <row r="930" spans="1:19" x14ac:dyDescent="0.25">
      <c r="A930" t="s">
        <v>1330</v>
      </c>
      <c r="B930">
        <v>64</v>
      </c>
      <c r="C930" t="s">
        <v>29</v>
      </c>
      <c r="D930" t="s">
        <v>2457</v>
      </c>
      <c r="E930" t="s">
        <v>31</v>
      </c>
      <c r="F930" t="s">
        <v>300</v>
      </c>
      <c r="G930" t="s">
        <v>183</v>
      </c>
      <c r="H930" t="str">
        <f>TEXT(walmart[[#This Row],[Purchase_Date]],"DDD")</f>
        <v>Thu</v>
      </c>
      <c r="I930" t="str">
        <f>TEXT(walmart[[#This Row],[Purchase_Date]],"MMM")</f>
        <v>May</v>
      </c>
      <c r="J930" t="str">
        <f>TEXT(walmart[[#This Row],[Purchase_Date]],"YYY")</f>
        <v>2024</v>
      </c>
      <c r="K930" s="3">
        <v>340.04</v>
      </c>
      <c r="L930" t="str">
        <f t="shared" si="70"/>
        <v>5% off</v>
      </c>
      <c r="M930" s="3">
        <f t="shared" si="71"/>
        <v>17.002000000000002</v>
      </c>
      <c r="N930" t="str">
        <f t="shared" si="72"/>
        <v>Yes</v>
      </c>
      <c r="O930" t="s">
        <v>34</v>
      </c>
      <c r="P930" s="3">
        <f t="shared" si="73"/>
        <v>323.03800000000001</v>
      </c>
      <c r="Q930" t="s">
        <v>35</v>
      </c>
      <c r="R930">
        <v>3</v>
      </c>
      <c r="S930" t="str">
        <f t="shared" si="74"/>
        <v>Average</v>
      </c>
    </row>
    <row r="931" spans="1:19" x14ac:dyDescent="0.25">
      <c r="A931" t="s">
        <v>1331</v>
      </c>
      <c r="B931">
        <v>57</v>
      </c>
      <c r="C931" t="s">
        <v>16</v>
      </c>
      <c r="D931" t="s">
        <v>2458</v>
      </c>
      <c r="E931" t="s">
        <v>73</v>
      </c>
      <c r="F931" t="s">
        <v>94</v>
      </c>
      <c r="G931" t="s">
        <v>383</v>
      </c>
      <c r="H931" t="str">
        <f>TEXT(walmart[[#This Row],[Purchase_Date]],"DDD")</f>
        <v>Mon</v>
      </c>
      <c r="I931" t="str">
        <f>TEXT(walmart[[#This Row],[Purchase_Date]],"MMM")</f>
        <v>Jun</v>
      </c>
      <c r="J931" t="str">
        <f>TEXT(walmart[[#This Row],[Purchase_Date]],"YYY")</f>
        <v>2024</v>
      </c>
      <c r="K931" s="3">
        <v>965.09</v>
      </c>
      <c r="L931" t="str">
        <f t="shared" si="70"/>
        <v>20% off</v>
      </c>
      <c r="M931" s="3">
        <f t="shared" si="71"/>
        <v>193.01800000000003</v>
      </c>
      <c r="N931" t="str">
        <f t="shared" si="72"/>
        <v>Yes</v>
      </c>
      <c r="O931" t="s">
        <v>21</v>
      </c>
      <c r="P931" s="3">
        <f t="shared" si="73"/>
        <v>772.072</v>
      </c>
      <c r="Q931" t="s">
        <v>27</v>
      </c>
      <c r="R931">
        <v>1</v>
      </c>
      <c r="S931" t="str">
        <f t="shared" si="74"/>
        <v>Very Poor</v>
      </c>
    </row>
    <row r="932" spans="1:19" x14ac:dyDescent="0.25">
      <c r="A932" t="s">
        <v>1332</v>
      </c>
      <c r="B932">
        <v>25</v>
      </c>
      <c r="C932" t="s">
        <v>29</v>
      </c>
      <c r="D932" t="s">
        <v>2459</v>
      </c>
      <c r="E932" t="s">
        <v>37</v>
      </c>
      <c r="F932" t="s">
        <v>97</v>
      </c>
      <c r="G932" t="s">
        <v>411</v>
      </c>
      <c r="H932" t="str">
        <f>TEXT(walmart[[#This Row],[Purchase_Date]],"DDD")</f>
        <v>Wed</v>
      </c>
      <c r="I932" t="str">
        <f>TEXT(walmart[[#This Row],[Purchase_Date]],"MMM")</f>
        <v>Apr</v>
      </c>
      <c r="J932" t="str">
        <f>TEXT(walmart[[#This Row],[Purchase_Date]],"YYY")</f>
        <v>2024</v>
      </c>
      <c r="K932" s="3">
        <v>855.21</v>
      </c>
      <c r="L932" t="str">
        <f t="shared" si="70"/>
        <v>15% off</v>
      </c>
      <c r="M932" s="3">
        <f t="shared" si="71"/>
        <v>128.28149999999999</v>
      </c>
      <c r="N932" t="str">
        <f t="shared" si="72"/>
        <v>Yes</v>
      </c>
      <c r="O932" t="s">
        <v>34</v>
      </c>
      <c r="P932" s="3">
        <f t="shared" si="73"/>
        <v>726.92849999999999</v>
      </c>
      <c r="Q932" t="s">
        <v>35</v>
      </c>
      <c r="R932">
        <v>4</v>
      </c>
      <c r="S932" t="str">
        <f t="shared" si="74"/>
        <v>Good</v>
      </c>
    </row>
    <row r="933" spans="1:19" x14ac:dyDescent="0.25">
      <c r="A933" t="s">
        <v>1333</v>
      </c>
      <c r="B933">
        <v>25</v>
      </c>
      <c r="C933" t="s">
        <v>29</v>
      </c>
      <c r="D933" t="s">
        <v>2460</v>
      </c>
      <c r="E933" t="s">
        <v>24</v>
      </c>
      <c r="F933" t="s">
        <v>186</v>
      </c>
      <c r="G933" t="s">
        <v>126</v>
      </c>
      <c r="H933" t="str">
        <f>TEXT(walmart[[#This Row],[Purchase_Date]],"DDD")</f>
        <v>Sat</v>
      </c>
      <c r="I933" t="str">
        <f>TEXT(walmart[[#This Row],[Purchase_Date]],"MMM")</f>
        <v>Oct</v>
      </c>
      <c r="J933" t="str">
        <f>TEXT(walmart[[#This Row],[Purchase_Date]],"YYY")</f>
        <v>2024</v>
      </c>
      <c r="K933" s="3">
        <v>527.16999999999996</v>
      </c>
      <c r="L933" t="str">
        <f t="shared" si="70"/>
        <v>10% off</v>
      </c>
      <c r="M933" s="3">
        <f t="shared" si="71"/>
        <v>52.716999999999999</v>
      </c>
      <c r="N933" t="str">
        <f t="shared" si="72"/>
        <v>Yes</v>
      </c>
      <c r="O933" t="s">
        <v>21</v>
      </c>
      <c r="P933" s="3">
        <f t="shared" si="73"/>
        <v>474.45299999999997</v>
      </c>
      <c r="Q933" t="s">
        <v>27</v>
      </c>
      <c r="R933">
        <v>1</v>
      </c>
      <c r="S933" t="str">
        <f t="shared" si="74"/>
        <v>Very Poor</v>
      </c>
    </row>
    <row r="934" spans="1:19" x14ac:dyDescent="0.25">
      <c r="A934" t="s">
        <v>1334</v>
      </c>
      <c r="B934">
        <v>64</v>
      </c>
      <c r="C934" t="s">
        <v>16</v>
      </c>
      <c r="D934" t="s">
        <v>2461</v>
      </c>
      <c r="E934" t="s">
        <v>55</v>
      </c>
      <c r="F934" t="s">
        <v>56</v>
      </c>
      <c r="G934" t="s">
        <v>465</v>
      </c>
      <c r="H934" t="str">
        <f>TEXT(walmart[[#This Row],[Purchase_Date]],"DDD")</f>
        <v>Tue</v>
      </c>
      <c r="I934" t="str">
        <f>TEXT(walmart[[#This Row],[Purchase_Date]],"MMM")</f>
        <v>Feb</v>
      </c>
      <c r="J934" t="str">
        <f>TEXT(walmart[[#This Row],[Purchase_Date]],"YYY")</f>
        <v>2025</v>
      </c>
      <c r="K934" s="3">
        <v>76.81</v>
      </c>
      <c r="L934" t="str">
        <f t="shared" si="70"/>
        <v>0% off</v>
      </c>
      <c r="M934" s="3">
        <f t="shared" si="71"/>
        <v>0</v>
      </c>
      <c r="N934" t="str">
        <f t="shared" si="72"/>
        <v>No</v>
      </c>
      <c r="O934" t="s">
        <v>34</v>
      </c>
      <c r="P934" s="3">
        <f t="shared" si="73"/>
        <v>76.81</v>
      </c>
      <c r="Q934" t="s">
        <v>22</v>
      </c>
      <c r="R934">
        <v>2</v>
      </c>
      <c r="S934" t="str">
        <f t="shared" si="74"/>
        <v>Poor</v>
      </c>
    </row>
    <row r="935" spans="1:19" x14ac:dyDescent="0.25">
      <c r="A935" t="s">
        <v>1335</v>
      </c>
      <c r="B935">
        <v>25</v>
      </c>
      <c r="C935" t="s">
        <v>16</v>
      </c>
      <c r="D935" t="s">
        <v>2462</v>
      </c>
      <c r="E935" t="s">
        <v>24</v>
      </c>
      <c r="F935" t="s">
        <v>162</v>
      </c>
      <c r="G935" t="s">
        <v>1143</v>
      </c>
      <c r="H935" t="str">
        <f>TEXT(walmart[[#This Row],[Purchase_Date]],"DDD")</f>
        <v>Sat</v>
      </c>
      <c r="I935" t="str">
        <f>TEXT(walmart[[#This Row],[Purchase_Date]],"MMM")</f>
        <v>Nov</v>
      </c>
      <c r="J935" t="str">
        <f>TEXT(walmart[[#This Row],[Purchase_Date]],"YYY")</f>
        <v>2024</v>
      </c>
      <c r="K935" s="3">
        <v>362.55</v>
      </c>
      <c r="L935" t="str">
        <f t="shared" si="70"/>
        <v>5% off</v>
      </c>
      <c r="M935" s="3">
        <f t="shared" si="71"/>
        <v>18.127500000000001</v>
      </c>
      <c r="N935" t="str">
        <f t="shared" si="72"/>
        <v>Yes</v>
      </c>
      <c r="O935" t="s">
        <v>34</v>
      </c>
      <c r="P935" s="3">
        <f t="shared" si="73"/>
        <v>344.42250000000001</v>
      </c>
      <c r="Q935" t="s">
        <v>35</v>
      </c>
      <c r="R935">
        <v>2</v>
      </c>
      <c r="S935" t="str">
        <f t="shared" si="74"/>
        <v>Poor</v>
      </c>
    </row>
    <row r="936" spans="1:19" x14ac:dyDescent="0.25">
      <c r="A936" t="s">
        <v>1336</v>
      </c>
      <c r="B936">
        <v>33</v>
      </c>
      <c r="C936" t="s">
        <v>29</v>
      </c>
      <c r="D936" t="s">
        <v>2463</v>
      </c>
      <c r="E936" t="s">
        <v>42</v>
      </c>
      <c r="F936" t="s">
        <v>103</v>
      </c>
      <c r="G936" t="s">
        <v>380</v>
      </c>
      <c r="H936" t="str">
        <f>TEXT(walmart[[#This Row],[Purchase_Date]],"DDD")</f>
        <v>Sun</v>
      </c>
      <c r="I936" t="str">
        <f>TEXT(walmart[[#This Row],[Purchase_Date]],"MMM")</f>
        <v>Jun</v>
      </c>
      <c r="J936" t="str">
        <f>TEXT(walmart[[#This Row],[Purchase_Date]],"YYY")</f>
        <v>2024</v>
      </c>
      <c r="K936" s="3">
        <v>315.56</v>
      </c>
      <c r="L936" t="str">
        <f t="shared" si="70"/>
        <v>5% off</v>
      </c>
      <c r="M936" s="3">
        <f t="shared" si="71"/>
        <v>15.778</v>
      </c>
      <c r="N936" t="str">
        <f t="shared" si="72"/>
        <v>Yes</v>
      </c>
      <c r="O936" t="s">
        <v>34</v>
      </c>
      <c r="P936" s="3">
        <f t="shared" si="73"/>
        <v>299.78199999999998</v>
      </c>
      <c r="Q936" t="s">
        <v>47</v>
      </c>
      <c r="R936">
        <v>2</v>
      </c>
      <c r="S936" t="str">
        <f t="shared" si="74"/>
        <v>Poor</v>
      </c>
    </row>
    <row r="937" spans="1:19" x14ac:dyDescent="0.25">
      <c r="A937" t="s">
        <v>1337</v>
      </c>
      <c r="B937">
        <v>56</v>
      </c>
      <c r="C937" t="s">
        <v>16</v>
      </c>
      <c r="D937" t="s">
        <v>2464</v>
      </c>
      <c r="E937" t="s">
        <v>24</v>
      </c>
      <c r="F937" t="s">
        <v>209</v>
      </c>
      <c r="G937" t="s">
        <v>568</v>
      </c>
      <c r="H937" t="str">
        <f>TEXT(walmart[[#This Row],[Purchase_Date]],"DDD")</f>
        <v>Sun</v>
      </c>
      <c r="I937" t="str">
        <f>TEXT(walmart[[#This Row],[Purchase_Date]],"MMM")</f>
        <v>Oct</v>
      </c>
      <c r="J937" t="str">
        <f>TEXT(walmart[[#This Row],[Purchase_Date]],"YYY")</f>
        <v>2024</v>
      </c>
      <c r="K937" s="3">
        <v>775.75</v>
      </c>
      <c r="L937" t="str">
        <f t="shared" si="70"/>
        <v>15% off</v>
      </c>
      <c r="M937" s="3">
        <f t="shared" si="71"/>
        <v>116.3625</v>
      </c>
      <c r="N937" t="str">
        <f t="shared" si="72"/>
        <v>Yes</v>
      </c>
      <c r="O937" t="s">
        <v>21</v>
      </c>
      <c r="P937" s="3">
        <f t="shared" si="73"/>
        <v>659.38750000000005</v>
      </c>
      <c r="Q937" t="s">
        <v>35</v>
      </c>
      <c r="R937">
        <v>2</v>
      </c>
      <c r="S937" t="str">
        <f t="shared" si="74"/>
        <v>Poor</v>
      </c>
    </row>
    <row r="938" spans="1:19" x14ac:dyDescent="0.25">
      <c r="A938" t="s">
        <v>1338</v>
      </c>
      <c r="B938">
        <v>18</v>
      </c>
      <c r="C938" t="s">
        <v>29</v>
      </c>
      <c r="D938" t="s">
        <v>2465</v>
      </c>
      <c r="E938" t="s">
        <v>24</v>
      </c>
      <c r="F938" t="s">
        <v>162</v>
      </c>
      <c r="G938" t="s">
        <v>1339</v>
      </c>
      <c r="H938" t="str">
        <f>TEXT(walmart[[#This Row],[Purchase_Date]],"DDD")</f>
        <v>Wed</v>
      </c>
      <c r="I938" t="str">
        <f>TEXT(walmart[[#This Row],[Purchase_Date]],"MMM")</f>
        <v>Oct</v>
      </c>
      <c r="J938" t="str">
        <f>TEXT(walmart[[#This Row],[Purchase_Date]],"YYY")</f>
        <v>2024</v>
      </c>
      <c r="K938" s="3">
        <v>362.55</v>
      </c>
      <c r="L938" t="str">
        <f t="shared" si="70"/>
        <v>5% off</v>
      </c>
      <c r="M938" s="3">
        <f t="shared" si="71"/>
        <v>18.127500000000001</v>
      </c>
      <c r="N938" t="str">
        <f t="shared" si="72"/>
        <v>Yes</v>
      </c>
      <c r="O938" t="s">
        <v>34</v>
      </c>
      <c r="P938" s="3">
        <f t="shared" si="73"/>
        <v>344.42250000000001</v>
      </c>
      <c r="Q938" t="s">
        <v>47</v>
      </c>
      <c r="R938">
        <v>2</v>
      </c>
      <c r="S938" t="str">
        <f t="shared" si="74"/>
        <v>Poor</v>
      </c>
    </row>
    <row r="939" spans="1:19" x14ac:dyDescent="0.25">
      <c r="A939" t="s">
        <v>1340</v>
      </c>
      <c r="B939">
        <v>29</v>
      </c>
      <c r="C939" t="s">
        <v>29</v>
      </c>
      <c r="D939" t="s">
        <v>2466</v>
      </c>
      <c r="E939" t="s">
        <v>55</v>
      </c>
      <c r="F939" t="s">
        <v>56</v>
      </c>
      <c r="G939" t="s">
        <v>187</v>
      </c>
      <c r="H939" t="str">
        <f>TEXT(walmart[[#This Row],[Purchase_Date]],"DDD")</f>
        <v>Sat</v>
      </c>
      <c r="I939" t="str">
        <f>TEXT(walmart[[#This Row],[Purchase_Date]],"MMM")</f>
        <v>Dec</v>
      </c>
      <c r="J939" t="str">
        <f>TEXT(walmart[[#This Row],[Purchase_Date]],"YYY")</f>
        <v>2024</v>
      </c>
      <c r="K939" s="3">
        <v>76.81</v>
      </c>
      <c r="L939" t="str">
        <f t="shared" si="70"/>
        <v>0% off</v>
      </c>
      <c r="M939" s="3">
        <f t="shared" si="71"/>
        <v>0</v>
      </c>
      <c r="N939" t="str">
        <f t="shared" si="72"/>
        <v>No</v>
      </c>
      <c r="O939" t="s">
        <v>21</v>
      </c>
      <c r="P939" s="3">
        <f t="shared" si="73"/>
        <v>76.81</v>
      </c>
      <c r="Q939" t="s">
        <v>27</v>
      </c>
      <c r="R939">
        <v>2</v>
      </c>
      <c r="S939" t="str">
        <f t="shared" si="74"/>
        <v>Poor</v>
      </c>
    </row>
    <row r="940" spans="1:19" x14ac:dyDescent="0.25">
      <c r="A940" t="s">
        <v>1341</v>
      </c>
      <c r="B940">
        <v>21</v>
      </c>
      <c r="C940" t="s">
        <v>29</v>
      </c>
      <c r="D940" t="s">
        <v>2467</v>
      </c>
      <c r="E940" t="s">
        <v>31</v>
      </c>
      <c r="F940" t="s">
        <v>32</v>
      </c>
      <c r="G940" t="s">
        <v>373</v>
      </c>
      <c r="H940" t="str">
        <f>TEXT(walmart[[#This Row],[Purchase_Date]],"DDD")</f>
        <v>Sat</v>
      </c>
      <c r="I940" t="str">
        <f>TEXT(walmart[[#This Row],[Purchase_Date]],"MMM")</f>
        <v>Dec</v>
      </c>
      <c r="J940" t="str">
        <f>TEXT(walmart[[#This Row],[Purchase_Date]],"YYY")</f>
        <v>2024</v>
      </c>
      <c r="K940" s="3">
        <v>493.96</v>
      </c>
      <c r="L940" t="str">
        <f t="shared" si="70"/>
        <v>5% off</v>
      </c>
      <c r="M940" s="3">
        <f t="shared" si="71"/>
        <v>24.698</v>
      </c>
      <c r="N940" t="str">
        <f t="shared" si="72"/>
        <v>Yes</v>
      </c>
      <c r="O940" t="s">
        <v>21</v>
      </c>
      <c r="P940" s="3">
        <f t="shared" si="73"/>
        <v>469.262</v>
      </c>
      <c r="Q940" t="s">
        <v>35</v>
      </c>
      <c r="R940">
        <v>1</v>
      </c>
      <c r="S940" t="str">
        <f t="shared" si="74"/>
        <v>Very Poor</v>
      </c>
    </row>
    <row r="941" spans="1:19" x14ac:dyDescent="0.25">
      <c r="A941" t="s">
        <v>1342</v>
      </c>
      <c r="B941">
        <v>26</v>
      </c>
      <c r="C941" t="s">
        <v>16</v>
      </c>
      <c r="D941" t="s">
        <v>2468</v>
      </c>
      <c r="E941" t="s">
        <v>37</v>
      </c>
      <c r="F941" t="s">
        <v>82</v>
      </c>
      <c r="G941" t="s">
        <v>371</v>
      </c>
      <c r="H941" t="str">
        <f>TEXT(walmart[[#This Row],[Purchase_Date]],"DDD")</f>
        <v>Mon</v>
      </c>
      <c r="I941" t="str">
        <f>TEXT(walmart[[#This Row],[Purchase_Date]],"MMM")</f>
        <v>Jul</v>
      </c>
      <c r="J941" t="str">
        <f>TEXT(walmart[[#This Row],[Purchase_Date]],"YYY")</f>
        <v>2024</v>
      </c>
      <c r="K941" s="3">
        <v>270.41000000000003</v>
      </c>
      <c r="L941" t="str">
        <f t="shared" si="70"/>
        <v>5% off</v>
      </c>
      <c r="M941" s="3">
        <f t="shared" si="71"/>
        <v>13.520500000000002</v>
      </c>
      <c r="N941" t="str">
        <f t="shared" si="72"/>
        <v>Yes</v>
      </c>
      <c r="O941" t="s">
        <v>21</v>
      </c>
      <c r="P941" s="3">
        <f t="shared" si="73"/>
        <v>256.8895</v>
      </c>
      <c r="Q941" t="s">
        <v>47</v>
      </c>
      <c r="R941">
        <v>5</v>
      </c>
      <c r="S941" t="str">
        <f t="shared" si="74"/>
        <v>Excellent</v>
      </c>
    </row>
    <row r="942" spans="1:19" x14ac:dyDescent="0.25">
      <c r="A942" t="s">
        <v>1343</v>
      </c>
      <c r="B942">
        <v>41</v>
      </c>
      <c r="C942" t="s">
        <v>16</v>
      </c>
      <c r="D942" t="s">
        <v>2469</v>
      </c>
      <c r="E942" t="s">
        <v>42</v>
      </c>
      <c r="F942" t="s">
        <v>52</v>
      </c>
      <c r="G942" t="s">
        <v>260</v>
      </c>
      <c r="H942" t="str">
        <f>TEXT(walmart[[#This Row],[Purchase_Date]],"DDD")</f>
        <v>Thu</v>
      </c>
      <c r="I942" t="str">
        <f>TEXT(walmart[[#This Row],[Purchase_Date]],"MMM")</f>
        <v>Mar</v>
      </c>
      <c r="J942" t="str">
        <f>TEXT(walmart[[#This Row],[Purchase_Date]],"YYY")</f>
        <v>2025</v>
      </c>
      <c r="K942" s="3">
        <v>988.77</v>
      </c>
      <c r="L942" t="str">
        <f t="shared" si="70"/>
        <v>20% off</v>
      </c>
      <c r="M942" s="3">
        <f t="shared" si="71"/>
        <v>197.75400000000002</v>
      </c>
      <c r="N942" t="str">
        <f t="shared" si="72"/>
        <v>Yes</v>
      </c>
      <c r="O942" t="s">
        <v>21</v>
      </c>
      <c r="P942" s="3">
        <f t="shared" si="73"/>
        <v>791.01599999999996</v>
      </c>
      <c r="Q942" t="s">
        <v>35</v>
      </c>
      <c r="R942">
        <v>3</v>
      </c>
      <c r="S942" t="str">
        <f t="shared" si="74"/>
        <v>Average</v>
      </c>
    </row>
    <row r="943" spans="1:19" x14ac:dyDescent="0.25">
      <c r="A943" t="s">
        <v>1344</v>
      </c>
      <c r="B943">
        <v>31</v>
      </c>
      <c r="C943" t="s">
        <v>16</v>
      </c>
      <c r="D943" t="s">
        <v>2470</v>
      </c>
      <c r="E943" t="s">
        <v>73</v>
      </c>
      <c r="F943" t="s">
        <v>94</v>
      </c>
      <c r="G943" t="s">
        <v>189</v>
      </c>
      <c r="H943" t="str">
        <f>TEXT(walmart[[#This Row],[Purchase_Date]],"DDD")</f>
        <v>Sat</v>
      </c>
      <c r="I943" t="str">
        <f>TEXT(walmart[[#This Row],[Purchase_Date]],"MMM")</f>
        <v>Jun</v>
      </c>
      <c r="J943" t="str">
        <f>TEXT(walmart[[#This Row],[Purchase_Date]],"YYY")</f>
        <v>2024</v>
      </c>
      <c r="K943" s="3">
        <v>965.09</v>
      </c>
      <c r="L943" t="str">
        <f t="shared" si="70"/>
        <v>20% off</v>
      </c>
      <c r="M943" s="3">
        <f t="shared" si="71"/>
        <v>193.01800000000003</v>
      </c>
      <c r="N943" t="str">
        <f t="shared" si="72"/>
        <v>Yes</v>
      </c>
      <c r="O943" t="s">
        <v>21</v>
      </c>
      <c r="P943" s="3">
        <f t="shared" si="73"/>
        <v>772.072</v>
      </c>
      <c r="Q943" t="s">
        <v>47</v>
      </c>
      <c r="R943">
        <v>2</v>
      </c>
      <c r="S943" t="str">
        <f t="shared" si="74"/>
        <v>Poor</v>
      </c>
    </row>
    <row r="944" spans="1:19" x14ac:dyDescent="0.25">
      <c r="A944" t="s">
        <v>1345</v>
      </c>
      <c r="B944">
        <v>41</v>
      </c>
      <c r="C944" t="s">
        <v>29</v>
      </c>
      <c r="D944" t="s">
        <v>2471</v>
      </c>
      <c r="E944" t="s">
        <v>42</v>
      </c>
      <c r="F944" t="s">
        <v>103</v>
      </c>
      <c r="G944" t="s">
        <v>484</v>
      </c>
      <c r="H944" t="str">
        <f>TEXT(walmart[[#This Row],[Purchase_Date]],"DDD")</f>
        <v>Wed</v>
      </c>
      <c r="I944" t="str">
        <f>TEXT(walmart[[#This Row],[Purchase_Date]],"MMM")</f>
        <v>Jan</v>
      </c>
      <c r="J944" t="str">
        <f>TEXT(walmart[[#This Row],[Purchase_Date]],"YYY")</f>
        <v>2025</v>
      </c>
      <c r="K944" s="3">
        <v>315.56</v>
      </c>
      <c r="L944" t="str">
        <f t="shared" si="70"/>
        <v>5% off</v>
      </c>
      <c r="M944" s="3">
        <f t="shared" si="71"/>
        <v>15.778</v>
      </c>
      <c r="N944" t="str">
        <f t="shared" si="72"/>
        <v>Yes</v>
      </c>
      <c r="O944" t="s">
        <v>34</v>
      </c>
      <c r="P944" s="3">
        <f t="shared" si="73"/>
        <v>299.78199999999998</v>
      </c>
      <c r="Q944" t="s">
        <v>27</v>
      </c>
      <c r="R944">
        <v>4</v>
      </c>
      <c r="S944" t="str">
        <f t="shared" si="74"/>
        <v>Good</v>
      </c>
    </row>
    <row r="945" spans="1:19" x14ac:dyDescent="0.25">
      <c r="A945" t="s">
        <v>1346</v>
      </c>
      <c r="B945">
        <v>60</v>
      </c>
      <c r="C945" t="s">
        <v>16</v>
      </c>
      <c r="D945" t="s">
        <v>2472</v>
      </c>
      <c r="E945" t="s">
        <v>24</v>
      </c>
      <c r="F945" t="s">
        <v>209</v>
      </c>
      <c r="G945" t="s">
        <v>409</v>
      </c>
      <c r="H945" t="str">
        <f>TEXT(walmart[[#This Row],[Purchase_Date]],"DDD")</f>
        <v>Wed</v>
      </c>
      <c r="I945" t="str">
        <f>TEXT(walmart[[#This Row],[Purchase_Date]],"MMM")</f>
        <v>Jul</v>
      </c>
      <c r="J945" t="str">
        <f>TEXT(walmart[[#This Row],[Purchase_Date]],"YYY")</f>
        <v>2024</v>
      </c>
      <c r="K945" s="3">
        <v>775.75</v>
      </c>
      <c r="L945" t="str">
        <f t="shared" si="70"/>
        <v>15% off</v>
      </c>
      <c r="M945" s="3">
        <f t="shared" si="71"/>
        <v>116.3625</v>
      </c>
      <c r="N945" t="str">
        <f t="shared" si="72"/>
        <v>Yes</v>
      </c>
      <c r="O945" t="s">
        <v>21</v>
      </c>
      <c r="P945" s="3">
        <f t="shared" si="73"/>
        <v>659.38750000000005</v>
      </c>
      <c r="Q945" t="s">
        <v>22</v>
      </c>
      <c r="R945">
        <v>5</v>
      </c>
      <c r="S945" t="str">
        <f t="shared" si="74"/>
        <v>Excellent</v>
      </c>
    </row>
    <row r="946" spans="1:19" x14ac:dyDescent="0.25">
      <c r="A946" t="s">
        <v>1347</v>
      </c>
      <c r="B946">
        <v>52</v>
      </c>
      <c r="C946" t="s">
        <v>16</v>
      </c>
      <c r="D946" t="s">
        <v>2473</v>
      </c>
      <c r="E946" t="s">
        <v>37</v>
      </c>
      <c r="F946" t="s">
        <v>38</v>
      </c>
      <c r="G946" t="s">
        <v>1348</v>
      </c>
      <c r="H946" t="str">
        <f>TEXT(walmart[[#This Row],[Purchase_Date]],"DDD")</f>
        <v>Fri</v>
      </c>
      <c r="I946" t="str">
        <f>TEXT(walmart[[#This Row],[Purchase_Date]],"MMM")</f>
        <v>Mar</v>
      </c>
      <c r="J946" t="str">
        <f>TEXT(walmart[[#This Row],[Purchase_Date]],"YYY")</f>
        <v>2024</v>
      </c>
      <c r="K946" s="3">
        <v>211.46</v>
      </c>
      <c r="L946" t="str">
        <f t="shared" si="70"/>
        <v>5% off</v>
      </c>
      <c r="M946" s="3">
        <f t="shared" si="71"/>
        <v>10.573</v>
      </c>
      <c r="N946" t="str">
        <f t="shared" si="72"/>
        <v>Yes</v>
      </c>
      <c r="O946" t="s">
        <v>21</v>
      </c>
      <c r="P946" s="3">
        <f t="shared" si="73"/>
        <v>200.887</v>
      </c>
      <c r="Q946" t="s">
        <v>22</v>
      </c>
      <c r="R946">
        <v>2</v>
      </c>
      <c r="S946" t="str">
        <f t="shared" si="74"/>
        <v>Poor</v>
      </c>
    </row>
    <row r="947" spans="1:19" x14ac:dyDescent="0.25">
      <c r="A947" t="s">
        <v>1349</v>
      </c>
      <c r="B947">
        <v>53</v>
      </c>
      <c r="C947" t="s">
        <v>16</v>
      </c>
      <c r="D947" t="s">
        <v>2474</v>
      </c>
      <c r="E947" t="s">
        <v>31</v>
      </c>
      <c r="F947" t="s">
        <v>169</v>
      </c>
      <c r="G947" t="s">
        <v>486</v>
      </c>
      <c r="H947" t="str">
        <f>TEXT(walmart[[#This Row],[Purchase_Date]],"DDD")</f>
        <v>Wed</v>
      </c>
      <c r="I947" t="str">
        <f>TEXT(walmart[[#This Row],[Purchase_Date]],"MMM")</f>
        <v>Mar</v>
      </c>
      <c r="J947" t="str">
        <f>TEXT(walmart[[#This Row],[Purchase_Date]],"YYY")</f>
        <v>2025</v>
      </c>
      <c r="K947" s="3">
        <v>52.44</v>
      </c>
      <c r="L947" t="str">
        <f t="shared" si="70"/>
        <v>0% off</v>
      </c>
      <c r="M947" s="3">
        <f t="shared" si="71"/>
        <v>0</v>
      </c>
      <c r="N947" t="str">
        <f t="shared" si="72"/>
        <v>No</v>
      </c>
      <c r="O947" t="s">
        <v>34</v>
      </c>
      <c r="P947" s="3">
        <f t="shared" si="73"/>
        <v>52.44</v>
      </c>
      <c r="Q947" t="s">
        <v>27</v>
      </c>
      <c r="R947">
        <v>1</v>
      </c>
      <c r="S947" t="str">
        <f t="shared" si="74"/>
        <v>Very Poor</v>
      </c>
    </row>
    <row r="948" spans="1:19" x14ac:dyDescent="0.25">
      <c r="A948" t="s">
        <v>1350</v>
      </c>
      <c r="B948">
        <v>38</v>
      </c>
      <c r="C948" t="s">
        <v>16</v>
      </c>
      <c r="D948" t="s">
        <v>2475</v>
      </c>
      <c r="E948" t="s">
        <v>73</v>
      </c>
      <c r="F948" t="s">
        <v>138</v>
      </c>
      <c r="G948" t="s">
        <v>113</v>
      </c>
      <c r="H948" t="str">
        <f>TEXT(walmart[[#This Row],[Purchase_Date]],"DDD")</f>
        <v>Wed</v>
      </c>
      <c r="I948" t="str">
        <f>TEXT(walmart[[#This Row],[Purchase_Date]],"MMM")</f>
        <v>Nov</v>
      </c>
      <c r="J948" t="str">
        <f>TEXT(walmart[[#This Row],[Purchase_Date]],"YYY")</f>
        <v>2024</v>
      </c>
      <c r="K948" s="3">
        <v>461.81</v>
      </c>
      <c r="L948" t="str">
        <f t="shared" si="70"/>
        <v>5% off</v>
      </c>
      <c r="M948" s="3">
        <f t="shared" si="71"/>
        <v>23.090500000000002</v>
      </c>
      <c r="N948" t="str">
        <f t="shared" si="72"/>
        <v>Yes</v>
      </c>
      <c r="O948" t="s">
        <v>34</v>
      </c>
      <c r="P948" s="3">
        <f t="shared" si="73"/>
        <v>438.71949999999998</v>
      </c>
      <c r="Q948" t="s">
        <v>27</v>
      </c>
      <c r="R948">
        <v>1</v>
      </c>
      <c r="S948" t="str">
        <f t="shared" si="74"/>
        <v>Very Poor</v>
      </c>
    </row>
    <row r="949" spans="1:19" x14ac:dyDescent="0.25">
      <c r="A949" t="s">
        <v>1351</v>
      </c>
      <c r="B949">
        <v>62</v>
      </c>
      <c r="C949" t="s">
        <v>16</v>
      </c>
      <c r="D949" t="s">
        <v>2476</v>
      </c>
      <c r="E949" t="s">
        <v>18</v>
      </c>
      <c r="F949" t="s">
        <v>59</v>
      </c>
      <c r="G949" t="s">
        <v>346</v>
      </c>
      <c r="H949" t="str">
        <f>TEXT(walmart[[#This Row],[Purchase_Date]],"DDD")</f>
        <v>Fri</v>
      </c>
      <c r="I949" t="str">
        <f>TEXT(walmart[[#This Row],[Purchase_Date]],"MMM")</f>
        <v>Aug</v>
      </c>
      <c r="J949" t="str">
        <f>TEXT(walmart[[#This Row],[Purchase_Date]],"YYY")</f>
        <v>2024</v>
      </c>
      <c r="K949" s="3">
        <v>78.349999999999994</v>
      </c>
      <c r="L949" t="str">
        <f t="shared" si="70"/>
        <v>0% off</v>
      </c>
      <c r="M949" s="3">
        <f t="shared" si="71"/>
        <v>0</v>
      </c>
      <c r="N949" t="str">
        <f t="shared" si="72"/>
        <v>No</v>
      </c>
      <c r="O949" t="s">
        <v>21</v>
      </c>
      <c r="P949" s="3">
        <f t="shared" si="73"/>
        <v>78.349999999999994</v>
      </c>
      <c r="Q949" t="s">
        <v>35</v>
      </c>
      <c r="R949">
        <v>5</v>
      </c>
      <c r="S949" t="str">
        <f t="shared" si="74"/>
        <v>Excellent</v>
      </c>
    </row>
    <row r="950" spans="1:19" x14ac:dyDescent="0.25">
      <c r="A950" t="s">
        <v>1352</v>
      </c>
      <c r="B950">
        <v>28</v>
      </c>
      <c r="C950" t="s">
        <v>16</v>
      </c>
      <c r="D950" t="s">
        <v>2477</v>
      </c>
      <c r="E950" t="s">
        <v>24</v>
      </c>
      <c r="F950" t="s">
        <v>25</v>
      </c>
      <c r="G950" t="s">
        <v>39</v>
      </c>
      <c r="H950" t="str">
        <f>TEXT(walmart[[#This Row],[Purchase_Date]],"DDD")</f>
        <v>Sat</v>
      </c>
      <c r="I950" t="str">
        <f>TEXT(walmart[[#This Row],[Purchase_Date]],"MMM")</f>
        <v>Nov</v>
      </c>
      <c r="J950" t="str">
        <f>TEXT(walmart[[#This Row],[Purchase_Date]],"YYY")</f>
        <v>2024</v>
      </c>
      <c r="K950" s="3">
        <v>67.040000000000006</v>
      </c>
      <c r="L950" t="str">
        <f t="shared" si="70"/>
        <v>0% off</v>
      </c>
      <c r="M950" s="3">
        <f t="shared" si="71"/>
        <v>0</v>
      </c>
      <c r="N950" t="str">
        <f t="shared" si="72"/>
        <v>No</v>
      </c>
      <c r="O950" t="s">
        <v>34</v>
      </c>
      <c r="P950" s="3">
        <f t="shared" si="73"/>
        <v>67.040000000000006</v>
      </c>
      <c r="Q950" t="s">
        <v>47</v>
      </c>
      <c r="R950">
        <v>1</v>
      </c>
      <c r="S950" t="str">
        <f t="shared" si="74"/>
        <v>Very Poor</v>
      </c>
    </row>
    <row r="951" spans="1:19" x14ac:dyDescent="0.25">
      <c r="A951" t="s">
        <v>1353</v>
      </c>
      <c r="B951">
        <v>33</v>
      </c>
      <c r="C951" t="s">
        <v>29</v>
      </c>
      <c r="D951" t="s">
        <v>2478</v>
      </c>
      <c r="E951" t="s">
        <v>37</v>
      </c>
      <c r="F951" t="s">
        <v>117</v>
      </c>
      <c r="G951" t="s">
        <v>712</v>
      </c>
      <c r="H951" t="str">
        <f>TEXT(walmart[[#This Row],[Purchase_Date]],"DDD")</f>
        <v>Thu</v>
      </c>
      <c r="I951" t="str">
        <f>TEXT(walmart[[#This Row],[Purchase_Date]],"MMM")</f>
        <v>May</v>
      </c>
      <c r="J951" t="str">
        <f>TEXT(walmart[[#This Row],[Purchase_Date]],"YYY")</f>
        <v>2024</v>
      </c>
      <c r="K951" s="3">
        <v>165.68</v>
      </c>
      <c r="L951" t="str">
        <f t="shared" si="70"/>
        <v>5% off</v>
      </c>
      <c r="M951" s="3">
        <f t="shared" si="71"/>
        <v>8.2840000000000007</v>
      </c>
      <c r="N951" t="str">
        <f t="shared" si="72"/>
        <v>Yes</v>
      </c>
      <c r="O951" t="s">
        <v>21</v>
      </c>
      <c r="P951" s="3">
        <f t="shared" si="73"/>
        <v>157.39600000000002</v>
      </c>
      <c r="Q951" t="s">
        <v>47</v>
      </c>
      <c r="R951">
        <v>2</v>
      </c>
      <c r="S951" t="str">
        <f t="shared" si="74"/>
        <v>Poor</v>
      </c>
    </row>
    <row r="952" spans="1:19" x14ac:dyDescent="0.25">
      <c r="A952" t="s">
        <v>1354</v>
      </c>
      <c r="B952">
        <v>37</v>
      </c>
      <c r="C952" t="s">
        <v>29</v>
      </c>
      <c r="D952" t="s">
        <v>2479</v>
      </c>
      <c r="E952" t="s">
        <v>55</v>
      </c>
      <c r="F952" t="s">
        <v>67</v>
      </c>
      <c r="G952" t="s">
        <v>405</v>
      </c>
      <c r="H952" t="str">
        <f>TEXT(walmart[[#This Row],[Purchase_Date]],"DDD")</f>
        <v>Tue</v>
      </c>
      <c r="I952" t="str">
        <f>TEXT(walmart[[#This Row],[Purchase_Date]],"MMM")</f>
        <v>Sep</v>
      </c>
      <c r="J952" t="str">
        <f>TEXT(walmart[[#This Row],[Purchase_Date]],"YYY")</f>
        <v>2024</v>
      </c>
      <c r="K952" s="3">
        <v>452.97</v>
      </c>
      <c r="L952" t="str">
        <f t="shared" si="70"/>
        <v>5% off</v>
      </c>
      <c r="M952" s="3">
        <f t="shared" si="71"/>
        <v>22.648500000000002</v>
      </c>
      <c r="N952" t="str">
        <f t="shared" si="72"/>
        <v>Yes</v>
      </c>
      <c r="O952" t="s">
        <v>21</v>
      </c>
      <c r="P952" s="3">
        <f t="shared" si="73"/>
        <v>430.32150000000001</v>
      </c>
      <c r="Q952" t="s">
        <v>47</v>
      </c>
      <c r="R952">
        <v>3</v>
      </c>
      <c r="S952" t="str">
        <f t="shared" si="74"/>
        <v>Average</v>
      </c>
    </row>
    <row r="953" spans="1:19" x14ac:dyDescent="0.25">
      <c r="A953" t="s">
        <v>1355</v>
      </c>
      <c r="B953">
        <v>68</v>
      </c>
      <c r="C953" t="s">
        <v>16</v>
      </c>
      <c r="D953" t="s">
        <v>2480</v>
      </c>
      <c r="E953" t="s">
        <v>42</v>
      </c>
      <c r="F953" t="s">
        <v>120</v>
      </c>
      <c r="G953" t="s">
        <v>531</v>
      </c>
      <c r="H953" t="str">
        <f>TEXT(walmart[[#This Row],[Purchase_Date]],"DDD")</f>
        <v>Thu</v>
      </c>
      <c r="I953" t="str">
        <f>TEXT(walmart[[#This Row],[Purchase_Date]],"MMM")</f>
        <v>Nov</v>
      </c>
      <c r="J953" t="str">
        <f>TEXT(walmart[[#This Row],[Purchase_Date]],"YYY")</f>
        <v>2024</v>
      </c>
      <c r="K953" s="3">
        <v>260.77999999999997</v>
      </c>
      <c r="L953" t="str">
        <f t="shared" si="70"/>
        <v>5% off</v>
      </c>
      <c r="M953" s="3">
        <f t="shared" si="71"/>
        <v>13.039</v>
      </c>
      <c r="N953" t="str">
        <f t="shared" si="72"/>
        <v>Yes</v>
      </c>
      <c r="O953" t="s">
        <v>34</v>
      </c>
      <c r="P953" s="3">
        <f t="shared" si="73"/>
        <v>247.74099999999999</v>
      </c>
      <c r="Q953" t="s">
        <v>35</v>
      </c>
      <c r="R953">
        <v>4</v>
      </c>
      <c r="S953" t="str">
        <f t="shared" si="74"/>
        <v>Good</v>
      </c>
    </row>
    <row r="954" spans="1:19" x14ac:dyDescent="0.25">
      <c r="A954" t="s">
        <v>1356</v>
      </c>
      <c r="B954">
        <v>70</v>
      </c>
      <c r="C954" t="s">
        <v>29</v>
      </c>
      <c r="D954" t="s">
        <v>2481</v>
      </c>
      <c r="E954" t="s">
        <v>42</v>
      </c>
      <c r="F954" t="s">
        <v>103</v>
      </c>
      <c r="G954" t="s">
        <v>1097</v>
      </c>
      <c r="H954" t="str">
        <f>TEXT(walmart[[#This Row],[Purchase_Date]],"DDD")</f>
        <v>Wed</v>
      </c>
      <c r="I954" t="str">
        <f>TEXT(walmart[[#This Row],[Purchase_Date]],"MMM")</f>
        <v>Nov</v>
      </c>
      <c r="J954" t="str">
        <f>TEXT(walmart[[#This Row],[Purchase_Date]],"YYY")</f>
        <v>2024</v>
      </c>
      <c r="K954" s="3">
        <v>315.56</v>
      </c>
      <c r="L954" t="str">
        <f t="shared" si="70"/>
        <v>5% off</v>
      </c>
      <c r="M954" s="3">
        <f t="shared" si="71"/>
        <v>15.778</v>
      </c>
      <c r="N954" t="str">
        <f t="shared" si="72"/>
        <v>Yes</v>
      </c>
      <c r="O954" t="s">
        <v>34</v>
      </c>
      <c r="P954" s="3">
        <f t="shared" si="73"/>
        <v>299.78199999999998</v>
      </c>
      <c r="Q954" t="s">
        <v>22</v>
      </c>
      <c r="R954">
        <v>3</v>
      </c>
      <c r="S954" t="str">
        <f t="shared" si="74"/>
        <v>Average</v>
      </c>
    </row>
    <row r="955" spans="1:19" x14ac:dyDescent="0.25">
      <c r="A955" t="s">
        <v>1357</v>
      </c>
      <c r="B955">
        <v>28</v>
      </c>
      <c r="C955" t="s">
        <v>29</v>
      </c>
      <c r="D955" t="s">
        <v>2482</v>
      </c>
      <c r="E955" t="s">
        <v>31</v>
      </c>
      <c r="F955" t="s">
        <v>32</v>
      </c>
      <c r="G955" t="s">
        <v>782</v>
      </c>
      <c r="H955" t="str">
        <f>TEXT(walmart[[#This Row],[Purchase_Date]],"DDD")</f>
        <v>Thu</v>
      </c>
      <c r="I955" t="str">
        <f>TEXT(walmart[[#This Row],[Purchase_Date]],"MMM")</f>
        <v>Sep</v>
      </c>
      <c r="J955" t="str">
        <f>TEXT(walmart[[#This Row],[Purchase_Date]],"YYY")</f>
        <v>2024</v>
      </c>
      <c r="K955" s="3">
        <v>493.96</v>
      </c>
      <c r="L955" t="str">
        <f t="shared" si="70"/>
        <v>5% off</v>
      </c>
      <c r="M955" s="3">
        <f t="shared" si="71"/>
        <v>24.698</v>
      </c>
      <c r="N955" t="str">
        <f t="shared" si="72"/>
        <v>Yes</v>
      </c>
      <c r="O955" t="s">
        <v>34</v>
      </c>
      <c r="P955" s="3">
        <f t="shared" si="73"/>
        <v>469.262</v>
      </c>
      <c r="Q955" t="s">
        <v>22</v>
      </c>
      <c r="R955">
        <v>4</v>
      </c>
      <c r="S955" t="str">
        <f t="shared" si="74"/>
        <v>Good</v>
      </c>
    </row>
    <row r="956" spans="1:19" x14ac:dyDescent="0.25">
      <c r="A956" t="s">
        <v>1358</v>
      </c>
      <c r="B956">
        <v>47</v>
      </c>
      <c r="C956" t="s">
        <v>29</v>
      </c>
      <c r="D956" t="s">
        <v>2462</v>
      </c>
      <c r="E956" t="s">
        <v>37</v>
      </c>
      <c r="F956" t="s">
        <v>38</v>
      </c>
      <c r="G956" t="s">
        <v>759</v>
      </c>
      <c r="H956" t="str">
        <f>TEXT(walmart[[#This Row],[Purchase_Date]],"DDD")</f>
        <v>Sun</v>
      </c>
      <c r="I956" t="str">
        <f>TEXT(walmart[[#This Row],[Purchase_Date]],"MMM")</f>
        <v>Dec</v>
      </c>
      <c r="J956" t="str">
        <f>TEXT(walmart[[#This Row],[Purchase_Date]],"YYY")</f>
        <v>2024</v>
      </c>
      <c r="K956" s="3">
        <v>211.46</v>
      </c>
      <c r="L956" t="str">
        <f t="shared" si="70"/>
        <v>5% off</v>
      </c>
      <c r="M956" s="3">
        <f t="shared" si="71"/>
        <v>10.573</v>
      </c>
      <c r="N956" t="str">
        <f t="shared" si="72"/>
        <v>Yes</v>
      </c>
      <c r="O956" t="s">
        <v>21</v>
      </c>
      <c r="P956" s="3">
        <f t="shared" si="73"/>
        <v>200.887</v>
      </c>
      <c r="Q956" t="s">
        <v>27</v>
      </c>
      <c r="R956">
        <v>3</v>
      </c>
      <c r="S956" t="str">
        <f t="shared" si="74"/>
        <v>Average</v>
      </c>
    </row>
    <row r="957" spans="1:19" x14ac:dyDescent="0.25">
      <c r="A957" t="s">
        <v>1359</v>
      </c>
      <c r="B957">
        <v>66</v>
      </c>
      <c r="C957" t="s">
        <v>29</v>
      </c>
      <c r="D957" t="s">
        <v>2483</v>
      </c>
      <c r="E957" t="s">
        <v>73</v>
      </c>
      <c r="F957" t="s">
        <v>138</v>
      </c>
      <c r="G957" t="s">
        <v>378</v>
      </c>
      <c r="H957" t="str">
        <f>TEXT(walmart[[#This Row],[Purchase_Date]],"DDD")</f>
        <v>Sat</v>
      </c>
      <c r="I957" t="str">
        <f>TEXT(walmart[[#This Row],[Purchase_Date]],"MMM")</f>
        <v>Jun</v>
      </c>
      <c r="J957" t="str">
        <f>TEXT(walmart[[#This Row],[Purchase_Date]],"YYY")</f>
        <v>2024</v>
      </c>
      <c r="K957" s="3">
        <v>461.81</v>
      </c>
      <c r="L957" t="str">
        <f t="shared" si="70"/>
        <v>5% off</v>
      </c>
      <c r="M957" s="3">
        <f t="shared" si="71"/>
        <v>23.090500000000002</v>
      </c>
      <c r="N957" t="str">
        <f t="shared" si="72"/>
        <v>Yes</v>
      </c>
      <c r="O957" t="s">
        <v>21</v>
      </c>
      <c r="P957" s="3">
        <f t="shared" si="73"/>
        <v>438.71949999999998</v>
      </c>
      <c r="Q957" t="s">
        <v>22</v>
      </c>
      <c r="R957">
        <v>2</v>
      </c>
      <c r="S957" t="str">
        <f t="shared" si="74"/>
        <v>Poor</v>
      </c>
    </row>
    <row r="958" spans="1:19" x14ac:dyDescent="0.25">
      <c r="A958" t="s">
        <v>1360</v>
      </c>
      <c r="B958">
        <v>20</v>
      </c>
      <c r="C958" t="s">
        <v>29</v>
      </c>
      <c r="D958" t="s">
        <v>2484</v>
      </c>
      <c r="E958" t="s">
        <v>55</v>
      </c>
      <c r="F958" t="s">
        <v>64</v>
      </c>
      <c r="G958" t="s">
        <v>681</v>
      </c>
      <c r="H958" t="str">
        <f>TEXT(walmart[[#This Row],[Purchase_Date]],"DDD")</f>
        <v>Sun</v>
      </c>
      <c r="I958" t="str">
        <f>TEXT(walmart[[#This Row],[Purchase_Date]],"MMM")</f>
        <v>Jun</v>
      </c>
      <c r="J958" t="str">
        <f>TEXT(walmart[[#This Row],[Purchase_Date]],"YYY")</f>
        <v>2024</v>
      </c>
      <c r="K958" s="3">
        <v>374.92</v>
      </c>
      <c r="L958" t="str">
        <f t="shared" si="70"/>
        <v>5% off</v>
      </c>
      <c r="M958" s="3">
        <f t="shared" si="71"/>
        <v>18.746000000000002</v>
      </c>
      <c r="N958" t="str">
        <f t="shared" si="72"/>
        <v>Yes</v>
      </c>
      <c r="O958" t="s">
        <v>21</v>
      </c>
      <c r="P958" s="3">
        <f t="shared" si="73"/>
        <v>356.17400000000004</v>
      </c>
      <c r="Q958" t="s">
        <v>47</v>
      </c>
      <c r="R958">
        <v>1</v>
      </c>
      <c r="S958" t="str">
        <f t="shared" si="74"/>
        <v>Very Poor</v>
      </c>
    </row>
    <row r="959" spans="1:19" x14ac:dyDescent="0.25">
      <c r="A959" t="s">
        <v>1361</v>
      </c>
      <c r="B959">
        <v>26</v>
      </c>
      <c r="C959" t="s">
        <v>16</v>
      </c>
      <c r="D959" t="s">
        <v>2485</v>
      </c>
      <c r="E959" t="s">
        <v>42</v>
      </c>
      <c r="F959" t="s">
        <v>43</v>
      </c>
      <c r="G959" t="s">
        <v>825</v>
      </c>
      <c r="H959" t="str">
        <f>TEXT(walmart[[#This Row],[Purchase_Date]],"DDD")</f>
        <v>Sat</v>
      </c>
      <c r="I959" t="str">
        <f>TEXT(walmart[[#This Row],[Purchase_Date]],"MMM")</f>
        <v>Apr</v>
      </c>
      <c r="J959" t="str">
        <f>TEXT(walmart[[#This Row],[Purchase_Date]],"YYY")</f>
        <v>2024</v>
      </c>
      <c r="K959" s="3">
        <v>512.94000000000005</v>
      </c>
      <c r="L959" t="str">
        <f t="shared" si="70"/>
        <v>10% off</v>
      </c>
      <c r="M959" s="3">
        <f t="shared" si="71"/>
        <v>51.294000000000011</v>
      </c>
      <c r="N959" t="str">
        <f t="shared" si="72"/>
        <v>Yes</v>
      </c>
      <c r="O959" t="s">
        <v>34</v>
      </c>
      <c r="P959" s="3">
        <f t="shared" si="73"/>
        <v>461.64600000000007</v>
      </c>
      <c r="Q959" t="s">
        <v>22</v>
      </c>
      <c r="R959">
        <v>3</v>
      </c>
      <c r="S959" t="str">
        <f t="shared" si="74"/>
        <v>Average</v>
      </c>
    </row>
    <row r="960" spans="1:19" x14ac:dyDescent="0.25">
      <c r="A960" t="s">
        <v>1362</v>
      </c>
      <c r="B960">
        <v>61</v>
      </c>
      <c r="C960" t="s">
        <v>16</v>
      </c>
      <c r="D960" t="s">
        <v>2486</v>
      </c>
      <c r="E960" t="s">
        <v>55</v>
      </c>
      <c r="F960" t="s">
        <v>64</v>
      </c>
      <c r="G960" t="s">
        <v>1060</v>
      </c>
      <c r="H960" t="str">
        <f>TEXT(walmart[[#This Row],[Purchase_Date]],"DDD")</f>
        <v>Fri</v>
      </c>
      <c r="I960" t="str">
        <f>TEXT(walmart[[#This Row],[Purchase_Date]],"MMM")</f>
        <v>Dec</v>
      </c>
      <c r="J960" t="str">
        <f>TEXT(walmart[[#This Row],[Purchase_Date]],"YYY")</f>
        <v>2024</v>
      </c>
      <c r="K960" s="3">
        <v>374.92</v>
      </c>
      <c r="L960" t="str">
        <f t="shared" si="70"/>
        <v>5% off</v>
      </c>
      <c r="M960" s="3">
        <f t="shared" si="71"/>
        <v>18.746000000000002</v>
      </c>
      <c r="N960" t="str">
        <f t="shared" si="72"/>
        <v>Yes</v>
      </c>
      <c r="O960" t="s">
        <v>34</v>
      </c>
      <c r="P960" s="3">
        <f t="shared" si="73"/>
        <v>356.17400000000004</v>
      </c>
      <c r="Q960" t="s">
        <v>27</v>
      </c>
      <c r="R960">
        <v>4</v>
      </c>
      <c r="S960" t="str">
        <f t="shared" si="74"/>
        <v>Good</v>
      </c>
    </row>
    <row r="961" spans="1:19" x14ac:dyDescent="0.25">
      <c r="A961" t="s">
        <v>1363</v>
      </c>
      <c r="B961">
        <v>58</v>
      </c>
      <c r="C961" t="s">
        <v>16</v>
      </c>
      <c r="D961" t="s">
        <v>2487</v>
      </c>
      <c r="E961" t="s">
        <v>73</v>
      </c>
      <c r="F961" t="s">
        <v>74</v>
      </c>
      <c r="G961" t="s">
        <v>346</v>
      </c>
      <c r="H961" t="str">
        <f>TEXT(walmart[[#This Row],[Purchase_Date]],"DDD")</f>
        <v>Fri</v>
      </c>
      <c r="I961" t="str">
        <f>TEXT(walmart[[#This Row],[Purchase_Date]],"MMM")</f>
        <v>Aug</v>
      </c>
      <c r="J961" t="str">
        <f>TEXT(walmart[[#This Row],[Purchase_Date]],"YYY")</f>
        <v>2024</v>
      </c>
      <c r="K961" s="3">
        <v>782.29</v>
      </c>
      <c r="L961" t="str">
        <f t="shared" si="70"/>
        <v>15% off</v>
      </c>
      <c r="M961" s="3">
        <f t="shared" si="71"/>
        <v>117.34349999999999</v>
      </c>
      <c r="N961" t="str">
        <f t="shared" si="72"/>
        <v>Yes</v>
      </c>
      <c r="O961" t="s">
        <v>21</v>
      </c>
      <c r="P961" s="3">
        <f t="shared" si="73"/>
        <v>664.94650000000001</v>
      </c>
      <c r="Q961" t="s">
        <v>22</v>
      </c>
      <c r="R961">
        <v>5</v>
      </c>
      <c r="S961" t="str">
        <f t="shared" si="74"/>
        <v>Excellent</v>
      </c>
    </row>
    <row r="962" spans="1:19" x14ac:dyDescent="0.25">
      <c r="A962" t="s">
        <v>1364</v>
      </c>
      <c r="B962">
        <v>19</v>
      </c>
      <c r="C962" t="s">
        <v>16</v>
      </c>
      <c r="D962" t="s">
        <v>2488</v>
      </c>
      <c r="E962" t="s">
        <v>73</v>
      </c>
      <c r="F962" t="s">
        <v>94</v>
      </c>
      <c r="G962" t="s">
        <v>1365</v>
      </c>
      <c r="H962" t="str">
        <f>TEXT(walmart[[#This Row],[Purchase_Date]],"DDD")</f>
        <v>Thu</v>
      </c>
      <c r="I962" t="str">
        <f>TEXT(walmart[[#This Row],[Purchase_Date]],"MMM")</f>
        <v>Jan</v>
      </c>
      <c r="J962" t="str">
        <f>TEXT(walmart[[#This Row],[Purchase_Date]],"YYY")</f>
        <v>2025</v>
      </c>
      <c r="K962" s="3">
        <v>965.09</v>
      </c>
      <c r="L962" t="str">
        <f t="shared" si="70"/>
        <v>20% off</v>
      </c>
      <c r="M962" s="3">
        <f t="shared" si="71"/>
        <v>193.01800000000003</v>
      </c>
      <c r="N962" t="str">
        <f t="shared" si="72"/>
        <v>Yes</v>
      </c>
      <c r="O962" t="s">
        <v>21</v>
      </c>
      <c r="P962" s="3">
        <f t="shared" si="73"/>
        <v>772.072</v>
      </c>
      <c r="Q962" t="s">
        <v>27</v>
      </c>
      <c r="R962">
        <v>4</v>
      </c>
      <c r="S962" t="str">
        <f t="shared" si="74"/>
        <v>Good</v>
      </c>
    </row>
    <row r="963" spans="1:19" x14ac:dyDescent="0.25">
      <c r="A963" t="s">
        <v>1366</v>
      </c>
      <c r="B963">
        <v>61</v>
      </c>
      <c r="C963" t="s">
        <v>29</v>
      </c>
      <c r="D963" t="s">
        <v>2489</v>
      </c>
      <c r="E963" t="s">
        <v>31</v>
      </c>
      <c r="F963" t="s">
        <v>32</v>
      </c>
      <c r="G963" t="s">
        <v>130</v>
      </c>
      <c r="H963" t="str">
        <f>TEXT(walmart[[#This Row],[Purchase_Date]],"DDD")</f>
        <v>Mon</v>
      </c>
      <c r="I963" t="str">
        <f>TEXT(walmart[[#This Row],[Purchase_Date]],"MMM")</f>
        <v>Nov</v>
      </c>
      <c r="J963" t="str">
        <f>TEXT(walmart[[#This Row],[Purchase_Date]],"YYY")</f>
        <v>2024</v>
      </c>
      <c r="K963" s="3">
        <v>493.96</v>
      </c>
      <c r="L963" t="str">
        <f t="shared" ref="L963:L1026" si="75">IF(K963&lt;150,"0% off",IF(K963&lt;500,"5% off",IF(K963&lt;700,"10% off",IF(K963&lt;900,"15% off","20% off"))))</f>
        <v>5% off</v>
      </c>
      <c r="M963" s="3">
        <f t="shared" ref="M963:M1001" si="76">K963 * (LEFT(L963, LEN(L963)-5) / 100)</f>
        <v>24.698</v>
      </c>
      <c r="N963" t="str">
        <f t="shared" ref="N963:N1026" si="77">IF(L963="0% off", "No", "Yes")</f>
        <v>Yes</v>
      </c>
      <c r="O963" t="s">
        <v>21</v>
      </c>
      <c r="P963" s="3">
        <f t="shared" ref="P963:P1026" si="78">K963-M963</f>
        <v>469.262</v>
      </c>
      <c r="Q963" t="s">
        <v>22</v>
      </c>
      <c r="R963">
        <v>5</v>
      </c>
      <c r="S963" t="str">
        <f t="shared" ref="S963:S1026" si="79">IF(R963=5, "Excellent", IF(R963=4, "Good", IF(R963=3, "Average", IF(R963=2, "Poor", IF(R963=1, "Very Poor", "Invalid Rating")))))</f>
        <v>Excellent</v>
      </c>
    </row>
    <row r="964" spans="1:19" x14ac:dyDescent="0.25">
      <c r="A964" t="s">
        <v>1367</v>
      </c>
      <c r="B964">
        <v>33</v>
      </c>
      <c r="C964" t="s">
        <v>29</v>
      </c>
      <c r="D964" t="s">
        <v>2490</v>
      </c>
      <c r="E964" t="s">
        <v>18</v>
      </c>
      <c r="F964" t="s">
        <v>77</v>
      </c>
      <c r="G964" t="s">
        <v>53</v>
      </c>
      <c r="H964" t="str">
        <f>TEXT(walmart[[#This Row],[Purchase_Date]],"DDD")</f>
        <v>Sat</v>
      </c>
      <c r="I964" t="str">
        <f>TEXT(walmart[[#This Row],[Purchase_Date]],"MMM")</f>
        <v>Mar</v>
      </c>
      <c r="J964" t="str">
        <f>TEXT(walmart[[#This Row],[Purchase_Date]],"YYY")</f>
        <v>2025</v>
      </c>
      <c r="K964" s="3">
        <v>116.78</v>
      </c>
      <c r="L964" t="str">
        <f t="shared" si="75"/>
        <v>0% off</v>
      </c>
      <c r="M964" s="3">
        <f t="shared" si="76"/>
        <v>0</v>
      </c>
      <c r="N964" t="str">
        <f t="shared" si="77"/>
        <v>No</v>
      </c>
      <c r="O964" t="s">
        <v>21</v>
      </c>
      <c r="P964" s="3">
        <f t="shared" si="78"/>
        <v>116.78</v>
      </c>
      <c r="Q964" t="s">
        <v>35</v>
      </c>
      <c r="R964">
        <v>3</v>
      </c>
      <c r="S964" t="str">
        <f t="shared" si="79"/>
        <v>Average</v>
      </c>
    </row>
    <row r="965" spans="1:19" x14ac:dyDescent="0.25">
      <c r="A965" t="s">
        <v>1368</v>
      </c>
      <c r="B965">
        <v>40</v>
      </c>
      <c r="C965" t="s">
        <v>16</v>
      </c>
      <c r="D965" t="s">
        <v>2471</v>
      </c>
      <c r="E965" t="s">
        <v>18</v>
      </c>
      <c r="F965" t="s">
        <v>59</v>
      </c>
      <c r="G965" t="s">
        <v>315</v>
      </c>
      <c r="H965" t="str">
        <f>TEXT(walmart[[#This Row],[Purchase_Date]],"DDD")</f>
        <v>Mon</v>
      </c>
      <c r="I965" t="str">
        <f>TEXT(walmart[[#This Row],[Purchase_Date]],"MMM")</f>
        <v>Apr</v>
      </c>
      <c r="J965" t="str">
        <f>TEXT(walmart[[#This Row],[Purchase_Date]],"YYY")</f>
        <v>2024</v>
      </c>
      <c r="K965" s="3">
        <v>78.349999999999994</v>
      </c>
      <c r="L965" t="str">
        <f t="shared" si="75"/>
        <v>0% off</v>
      </c>
      <c r="M965" s="3">
        <f t="shared" si="76"/>
        <v>0</v>
      </c>
      <c r="N965" t="str">
        <f t="shared" si="77"/>
        <v>No</v>
      </c>
      <c r="O965" t="s">
        <v>21</v>
      </c>
      <c r="P965" s="3">
        <f t="shared" si="78"/>
        <v>78.349999999999994</v>
      </c>
      <c r="Q965" t="s">
        <v>27</v>
      </c>
      <c r="R965">
        <v>1</v>
      </c>
      <c r="S965" t="str">
        <f t="shared" si="79"/>
        <v>Very Poor</v>
      </c>
    </row>
    <row r="966" spans="1:19" x14ac:dyDescent="0.25">
      <c r="A966" t="s">
        <v>1369</v>
      </c>
      <c r="B966">
        <v>33</v>
      </c>
      <c r="C966" t="s">
        <v>16</v>
      </c>
      <c r="D966" t="s">
        <v>2491</v>
      </c>
      <c r="E966" t="s">
        <v>24</v>
      </c>
      <c r="F966" t="s">
        <v>186</v>
      </c>
      <c r="G966" t="s">
        <v>1097</v>
      </c>
      <c r="H966" t="str">
        <f>TEXT(walmart[[#This Row],[Purchase_Date]],"DDD")</f>
        <v>Wed</v>
      </c>
      <c r="I966" t="str">
        <f>TEXT(walmart[[#This Row],[Purchase_Date]],"MMM")</f>
        <v>Nov</v>
      </c>
      <c r="J966" t="str">
        <f>TEXT(walmart[[#This Row],[Purchase_Date]],"YYY")</f>
        <v>2024</v>
      </c>
      <c r="K966" s="3">
        <v>527.16999999999996</v>
      </c>
      <c r="L966" t="str">
        <f t="shared" si="75"/>
        <v>10% off</v>
      </c>
      <c r="M966" s="3">
        <f t="shared" si="76"/>
        <v>52.716999999999999</v>
      </c>
      <c r="N966" t="str">
        <f t="shared" si="77"/>
        <v>Yes</v>
      </c>
      <c r="O966" t="s">
        <v>34</v>
      </c>
      <c r="P966" s="3">
        <f t="shared" si="78"/>
        <v>474.45299999999997</v>
      </c>
      <c r="Q966" t="s">
        <v>27</v>
      </c>
      <c r="R966">
        <v>5</v>
      </c>
      <c r="S966" t="str">
        <f t="shared" si="79"/>
        <v>Excellent</v>
      </c>
    </row>
    <row r="967" spans="1:19" x14ac:dyDescent="0.25">
      <c r="A967" t="s">
        <v>1370</v>
      </c>
      <c r="B967">
        <v>23</v>
      </c>
      <c r="C967" t="s">
        <v>16</v>
      </c>
      <c r="D967" t="s">
        <v>2492</v>
      </c>
      <c r="E967" t="s">
        <v>73</v>
      </c>
      <c r="F967" t="s">
        <v>94</v>
      </c>
      <c r="G967" t="s">
        <v>189</v>
      </c>
      <c r="H967" t="str">
        <f>TEXT(walmart[[#This Row],[Purchase_Date]],"DDD")</f>
        <v>Sat</v>
      </c>
      <c r="I967" t="str">
        <f>TEXT(walmart[[#This Row],[Purchase_Date]],"MMM")</f>
        <v>Jun</v>
      </c>
      <c r="J967" t="str">
        <f>TEXT(walmart[[#This Row],[Purchase_Date]],"YYY")</f>
        <v>2024</v>
      </c>
      <c r="K967" s="3">
        <v>965.09</v>
      </c>
      <c r="L967" t="str">
        <f t="shared" si="75"/>
        <v>20% off</v>
      </c>
      <c r="M967" s="3">
        <f t="shared" si="76"/>
        <v>193.01800000000003</v>
      </c>
      <c r="N967" t="str">
        <f t="shared" si="77"/>
        <v>Yes</v>
      </c>
      <c r="O967" t="s">
        <v>21</v>
      </c>
      <c r="P967" s="3">
        <f t="shared" si="78"/>
        <v>772.072</v>
      </c>
      <c r="Q967" t="s">
        <v>27</v>
      </c>
      <c r="R967">
        <v>1</v>
      </c>
      <c r="S967" t="str">
        <f t="shared" si="79"/>
        <v>Very Poor</v>
      </c>
    </row>
    <row r="968" spans="1:19" x14ac:dyDescent="0.25">
      <c r="A968" t="s">
        <v>1371</v>
      </c>
      <c r="B968">
        <v>68</v>
      </c>
      <c r="C968" t="s">
        <v>16</v>
      </c>
      <c r="D968" t="s">
        <v>2493</v>
      </c>
      <c r="E968" t="s">
        <v>31</v>
      </c>
      <c r="F968" t="s">
        <v>169</v>
      </c>
      <c r="G968" t="s">
        <v>632</v>
      </c>
      <c r="H968" t="str">
        <f>TEXT(walmart[[#This Row],[Purchase_Date]],"DDD")</f>
        <v>Wed</v>
      </c>
      <c r="I968" t="str">
        <f>TEXT(walmart[[#This Row],[Purchase_Date]],"MMM")</f>
        <v>Jan</v>
      </c>
      <c r="J968" t="str">
        <f>TEXT(walmart[[#This Row],[Purchase_Date]],"YYY")</f>
        <v>2025</v>
      </c>
      <c r="K968" s="3">
        <v>52.44</v>
      </c>
      <c r="L968" t="str">
        <f t="shared" si="75"/>
        <v>0% off</v>
      </c>
      <c r="M968" s="3">
        <f t="shared" si="76"/>
        <v>0</v>
      </c>
      <c r="N968" t="str">
        <f t="shared" si="77"/>
        <v>No</v>
      </c>
      <c r="O968" t="s">
        <v>34</v>
      </c>
      <c r="P968" s="3">
        <f t="shared" si="78"/>
        <v>52.44</v>
      </c>
      <c r="Q968" t="s">
        <v>22</v>
      </c>
      <c r="R968">
        <v>1</v>
      </c>
      <c r="S968" t="str">
        <f t="shared" si="79"/>
        <v>Very Poor</v>
      </c>
    </row>
    <row r="969" spans="1:19" x14ac:dyDescent="0.25">
      <c r="A969" t="s">
        <v>1372</v>
      </c>
      <c r="B969">
        <v>25</v>
      </c>
      <c r="C969" t="s">
        <v>29</v>
      </c>
      <c r="D969" t="s">
        <v>2494</v>
      </c>
      <c r="E969" t="s">
        <v>18</v>
      </c>
      <c r="F969" t="s">
        <v>77</v>
      </c>
      <c r="G969" t="s">
        <v>124</v>
      </c>
      <c r="H969" t="str">
        <f>TEXT(walmart[[#This Row],[Purchase_Date]],"DDD")</f>
        <v>Sun</v>
      </c>
      <c r="I969" t="str">
        <f>TEXT(walmart[[#This Row],[Purchase_Date]],"MMM")</f>
        <v>Feb</v>
      </c>
      <c r="J969" t="str">
        <f>TEXT(walmart[[#This Row],[Purchase_Date]],"YYY")</f>
        <v>2025</v>
      </c>
      <c r="K969" s="3">
        <v>116.78</v>
      </c>
      <c r="L969" t="str">
        <f t="shared" si="75"/>
        <v>0% off</v>
      </c>
      <c r="M969" s="3">
        <f t="shared" si="76"/>
        <v>0</v>
      </c>
      <c r="N969" t="str">
        <f t="shared" si="77"/>
        <v>No</v>
      </c>
      <c r="O969" t="s">
        <v>34</v>
      </c>
      <c r="P969" s="3">
        <f t="shared" si="78"/>
        <v>116.78</v>
      </c>
      <c r="Q969" t="s">
        <v>47</v>
      </c>
      <c r="R969">
        <v>1</v>
      </c>
      <c r="S969" t="str">
        <f t="shared" si="79"/>
        <v>Very Poor</v>
      </c>
    </row>
    <row r="970" spans="1:19" x14ac:dyDescent="0.25">
      <c r="A970" t="s">
        <v>1373</v>
      </c>
      <c r="B970">
        <v>22</v>
      </c>
      <c r="C970" t="s">
        <v>29</v>
      </c>
      <c r="D970" t="s">
        <v>2495</v>
      </c>
      <c r="E970" t="s">
        <v>37</v>
      </c>
      <c r="F970" t="s">
        <v>97</v>
      </c>
      <c r="G970" t="s">
        <v>62</v>
      </c>
      <c r="H970" t="str">
        <f>TEXT(walmart[[#This Row],[Purchase_Date]],"DDD")</f>
        <v>Sun</v>
      </c>
      <c r="I970" t="str">
        <f>TEXT(walmart[[#This Row],[Purchase_Date]],"MMM")</f>
        <v>Aug</v>
      </c>
      <c r="J970" t="str">
        <f>TEXT(walmart[[#This Row],[Purchase_Date]],"YYY")</f>
        <v>2024</v>
      </c>
      <c r="K970" s="3">
        <v>855.21</v>
      </c>
      <c r="L970" t="str">
        <f t="shared" si="75"/>
        <v>15% off</v>
      </c>
      <c r="M970" s="3">
        <f t="shared" si="76"/>
        <v>128.28149999999999</v>
      </c>
      <c r="N970" t="str">
        <f t="shared" si="77"/>
        <v>Yes</v>
      </c>
      <c r="O970" t="s">
        <v>34</v>
      </c>
      <c r="P970" s="3">
        <f t="shared" si="78"/>
        <v>726.92849999999999</v>
      </c>
      <c r="Q970" t="s">
        <v>27</v>
      </c>
      <c r="R970">
        <v>1</v>
      </c>
      <c r="S970" t="str">
        <f t="shared" si="79"/>
        <v>Very Poor</v>
      </c>
    </row>
    <row r="971" spans="1:19" x14ac:dyDescent="0.25">
      <c r="A971" t="s">
        <v>1374</v>
      </c>
      <c r="B971">
        <v>30</v>
      </c>
      <c r="C971" t="s">
        <v>16</v>
      </c>
      <c r="D971" t="s">
        <v>2496</v>
      </c>
      <c r="E971" t="s">
        <v>55</v>
      </c>
      <c r="F971" t="s">
        <v>64</v>
      </c>
      <c r="G971" t="s">
        <v>75</v>
      </c>
      <c r="H971" t="str">
        <f>TEXT(walmart[[#This Row],[Purchase_Date]],"DDD")</f>
        <v>Mon</v>
      </c>
      <c r="I971" t="str">
        <f>TEXT(walmart[[#This Row],[Purchase_Date]],"MMM")</f>
        <v>Feb</v>
      </c>
      <c r="J971" t="str">
        <f>TEXT(walmart[[#This Row],[Purchase_Date]],"YYY")</f>
        <v>2025</v>
      </c>
      <c r="K971" s="3">
        <v>374.92</v>
      </c>
      <c r="L971" t="str">
        <f t="shared" si="75"/>
        <v>5% off</v>
      </c>
      <c r="M971" s="3">
        <f t="shared" si="76"/>
        <v>18.746000000000002</v>
      </c>
      <c r="N971" t="str">
        <f t="shared" si="77"/>
        <v>Yes</v>
      </c>
      <c r="O971" t="s">
        <v>21</v>
      </c>
      <c r="P971" s="3">
        <f t="shared" si="78"/>
        <v>356.17400000000004</v>
      </c>
      <c r="Q971" t="s">
        <v>27</v>
      </c>
      <c r="R971">
        <v>1</v>
      </c>
      <c r="S971" t="str">
        <f t="shared" si="79"/>
        <v>Very Poor</v>
      </c>
    </row>
    <row r="972" spans="1:19" x14ac:dyDescent="0.25">
      <c r="A972" t="s">
        <v>1375</v>
      </c>
      <c r="B972">
        <v>27</v>
      </c>
      <c r="C972" t="s">
        <v>29</v>
      </c>
      <c r="D972" t="s">
        <v>2497</v>
      </c>
      <c r="E972" t="s">
        <v>31</v>
      </c>
      <c r="F972" t="s">
        <v>112</v>
      </c>
      <c r="G972" t="s">
        <v>1236</v>
      </c>
      <c r="H972" t="str">
        <f>TEXT(walmart[[#This Row],[Purchase_Date]],"DDD")</f>
        <v>Tue</v>
      </c>
      <c r="I972" t="str">
        <f>TEXT(walmart[[#This Row],[Purchase_Date]],"MMM")</f>
        <v>Jul</v>
      </c>
      <c r="J972" t="str">
        <f>TEXT(walmart[[#This Row],[Purchase_Date]],"YYY")</f>
        <v>2024</v>
      </c>
      <c r="K972" s="3">
        <v>492.1</v>
      </c>
      <c r="L972" t="str">
        <f t="shared" si="75"/>
        <v>5% off</v>
      </c>
      <c r="M972" s="3">
        <f t="shared" si="76"/>
        <v>24.605000000000004</v>
      </c>
      <c r="N972" t="str">
        <f t="shared" si="77"/>
        <v>Yes</v>
      </c>
      <c r="O972" t="s">
        <v>34</v>
      </c>
      <c r="P972" s="3">
        <f t="shared" si="78"/>
        <v>467.495</v>
      </c>
      <c r="Q972" t="s">
        <v>27</v>
      </c>
      <c r="R972">
        <v>1</v>
      </c>
      <c r="S972" t="str">
        <f t="shared" si="79"/>
        <v>Very Poor</v>
      </c>
    </row>
    <row r="973" spans="1:19" x14ac:dyDescent="0.25">
      <c r="A973" t="s">
        <v>1376</v>
      </c>
      <c r="B973">
        <v>65</v>
      </c>
      <c r="C973" t="s">
        <v>16</v>
      </c>
      <c r="D973" t="s">
        <v>2498</v>
      </c>
      <c r="E973" t="s">
        <v>42</v>
      </c>
      <c r="F973" t="s">
        <v>120</v>
      </c>
      <c r="G973" t="s">
        <v>920</v>
      </c>
      <c r="H973" t="str">
        <f>TEXT(walmart[[#This Row],[Purchase_Date]],"DDD")</f>
        <v>Sun</v>
      </c>
      <c r="I973" t="str">
        <f>TEXT(walmart[[#This Row],[Purchase_Date]],"MMM")</f>
        <v>Nov</v>
      </c>
      <c r="J973" t="str">
        <f>TEXT(walmart[[#This Row],[Purchase_Date]],"YYY")</f>
        <v>2024</v>
      </c>
      <c r="K973" s="3">
        <v>260.77999999999997</v>
      </c>
      <c r="L973" t="str">
        <f t="shared" si="75"/>
        <v>5% off</v>
      </c>
      <c r="M973" s="3">
        <f t="shared" si="76"/>
        <v>13.039</v>
      </c>
      <c r="N973" t="str">
        <f t="shared" si="77"/>
        <v>Yes</v>
      </c>
      <c r="O973" t="s">
        <v>21</v>
      </c>
      <c r="P973" s="3">
        <f t="shared" si="78"/>
        <v>247.74099999999999</v>
      </c>
      <c r="Q973" t="s">
        <v>35</v>
      </c>
      <c r="R973">
        <v>3</v>
      </c>
      <c r="S973" t="str">
        <f t="shared" si="79"/>
        <v>Average</v>
      </c>
    </row>
    <row r="974" spans="1:19" x14ac:dyDescent="0.25">
      <c r="A974" t="s">
        <v>1377</v>
      </c>
      <c r="B974">
        <v>38</v>
      </c>
      <c r="C974" t="s">
        <v>16</v>
      </c>
      <c r="D974" t="s">
        <v>2499</v>
      </c>
      <c r="E974" t="s">
        <v>55</v>
      </c>
      <c r="F974" t="s">
        <v>64</v>
      </c>
      <c r="G974" t="s">
        <v>397</v>
      </c>
      <c r="H974" t="str">
        <f>TEXT(walmart[[#This Row],[Purchase_Date]],"DDD")</f>
        <v>Wed</v>
      </c>
      <c r="I974" t="str">
        <f>TEXT(walmart[[#This Row],[Purchase_Date]],"MMM")</f>
        <v>May</v>
      </c>
      <c r="J974" t="str">
        <f>TEXT(walmart[[#This Row],[Purchase_Date]],"YYY")</f>
        <v>2024</v>
      </c>
      <c r="K974" s="3">
        <v>374.92</v>
      </c>
      <c r="L974" t="str">
        <f t="shared" si="75"/>
        <v>5% off</v>
      </c>
      <c r="M974" s="3">
        <f t="shared" si="76"/>
        <v>18.746000000000002</v>
      </c>
      <c r="N974" t="str">
        <f t="shared" si="77"/>
        <v>Yes</v>
      </c>
      <c r="O974" t="s">
        <v>34</v>
      </c>
      <c r="P974" s="3">
        <f t="shared" si="78"/>
        <v>356.17400000000004</v>
      </c>
      <c r="Q974" t="s">
        <v>35</v>
      </c>
      <c r="R974">
        <v>2</v>
      </c>
      <c r="S974" t="str">
        <f t="shared" si="79"/>
        <v>Poor</v>
      </c>
    </row>
    <row r="975" spans="1:19" x14ac:dyDescent="0.25">
      <c r="A975" t="s">
        <v>1378</v>
      </c>
      <c r="B975">
        <v>37</v>
      </c>
      <c r="C975" t="s">
        <v>29</v>
      </c>
      <c r="D975" t="s">
        <v>2500</v>
      </c>
      <c r="E975" t="s">
        <v>42</v>
      </c>
      <c r="F975" t="s">
        <v>103</v>
      </c>
      <c r="G975" t="s">
        <v>540</v>
      </c>
      <c r="H975" t="str">
        <f>TEXT(walmart[[#This Row],[Purchase_Date]],"DDD")</f>
        <v>Sun</v>
      </c>
      <c r="I975" t="str">
        <f>TEXT(walmart[[#This Row],[Purchase_Date]],"MMM")</f>
        <v>Feb</v>
      </c>
      <c r="J975" t="str">
        <f>TEXT(walmart[[#This Row],[Purchase_Date]],"YYY")</f>
        <v>2025</v>
      </c>
      <c r="K975" s="3">
        <v>315.56</v>
      </c>
      <c r="L975" t="str">
        <f t="shared" si="75"/>
        <v>5% off</v>
      </c>
      <c r="M975" s="3">
        <f t="shared" si="76"/>
        <v>15.778</v>
      </c>
      <c r="N975" t="str">
        <f t="shared" si="77"/>
        <v>Yes</v>
      </c>
      <c r="O975" t="s">
        <v>21</v>
      </c>
      <c r="P975" s="3">
        <f t="shared" si="78"/>
        <v>299.78199999999998</v>
      </c>
      <c r="Q975" t="s">
        <v>35</v>
      </c>
      <c r="R975">
        <v>4</v>
      </c>
      <c r="S975" t="str">
        <f t="shared" si="79"/>
        <v>Good</v>
      </c>
    </row>
    <row r="976" spans="1:19" x14ac:dyDescent="0.25">
      <c r="A976" t="s">
        <v>1379</v>
      </c>
      <c r="B976">
        <v>52</v>
      </c>
      <c r="C976" t="s">
        <v>29</v>
      </c>
      <c r="D976" t="s">
        <v>2501</v>
      </c>
      <c r="E976" t="s">
        <v>37</v>
      </c>
      <c r="F976" t="s">
        <v>82</v>
      </c>
      <c r="G976" t="s">
        <v>1143</v>
      </c>
      <c r="H976" t="str">
        <f>TEXT(walmart[[#This Row],[Purchase_Date]],"DDD")</f>
        <v>Sat</v>
      </c>
      <c r="I976" t="str">
        <f>TEXT(walmart[[#This Row],[Purchase_Date]],"MMM")</f>
        <v>Nov</v>
      </c>
      <c r="J976" t="str">
        <f>TEXT(walmart[[#This Row],[Purchase_Date]],"YYY")</f>
        <v>2024</v>
      </c>
      <c r="K976" s="3">
        <v>270.41000000000003</v>
      </c>
      <c r="L976" t="str">
        <f t="shared" si="75"/>
        <v>5% off</v>
      </c>
      <c r="M976" s="3">
        <f t="shared" si="76"/>
        <v>13.520500000000002</v>
      </c>
      <c r="N976" t="str">
        <f t="shared" si="77"/>
        <v>Yes</v>
      </c>
      <c r="O976" t="s">
        <v>21</v>
      </c>
      <c r="P976" s="3">
        <f t="shared" si="78"/>
        <v>256.8895</v>
      </c>
      <c r="Q976" t="s">
        <v>47</v>
      </c>
      <c r="R976">
        <v>3</v>
      </c>
      <c r="S976" t="str">
        <f t="shared" si="79"/>
        <v>Average</v>
      </c>
    </row>
    <row r="977" spans="1:19" x14ac:dyDescent="0.25">
      <c r="A977" t="s">
        <v>1380</v>
      </c>
      <c r="B977">
        <v>53</v>
      </c>
      <c r="C977" t="s">
        <v>16</v>
      </c>
      <c r="D977" t="s">
        <v>2502</v>
      </c>
      <c r="E977" t="s">
        <v>37</v>
      </c>
      <c r="F977" t="s">
        <v>97</v>
      </c>
      <c r="G977" t="s">
        <v>651</v>
      </c>
      <c r="H977" t="str">
        <f>TEXT(walmart[[#This Row],[Purchase_Date]],"DDD")</f>
        <v>Mon</v>
      </c>
      <c r="I977" t="str">
        <f>TEXT(walmart[[#This Row],[Purchase_Date]],"MMM")</f>
        <v>Nov</v>
      </c>
      <c r="J977" t="str">
        <f>TEXT(walmart[[#This Row],[Purchase_Date]],"YYY")</f>
        <v>2024</v>
      </c>
      <c r="K977" s="3">
        <v>855.21</v>
      </c>
      <c r="L977" t="str">
        <f t="shared" si="75"/>
        <v>15% off</v>
      </c>
      <c r="M977" s="3">
        <f t="shared" si="76"/>
        <v>128.28149999999999</v>
      </c>
      <c r="N977" t="str">
        <f t="shared" si="77"/>
        <v>Yes</v>
      </c>
      <c r="O977" t="s">
        <v>21</v>
      </c>
      <c r="P977" s="3">
        <f t="shared" si="78"/>
        <v>726.92849999999999</v>
      </c>
      <c r="Q977" t="s">
        <v>22</v>
      </c>
      <c r="R977">
        <v>2</v>
      </c>
      <c r="S977" t="str">
        <f t="shared" si="79"/>
        <v>Poor</v>
      </c>
    </row>
    <row r="978" spans="1:19" x14ac:dyDescent="0.25">
      <c r="A978" t="s">
        <v>1381</v>
      </c>
      <c r="B978">
        <v>47</v>
      </c>
      <c r="C978" t="s">
        <v>16</v>
      </c>
      <c r="D978" t="s">
        <v>2503</v>
      </c>
      <c r="E978" t="s">
        <v>18</v>
      </c>
      <c r="F978" t="s">
        <v>59</v>
      </c>
      <c r="G978" t="s">
        <v>378</v>
      </c>
      <c r="H978" t="str">
        <f>TEXT(walmart[[#This Row],[Purchase_Date]],"DDD")</f>
        <v>Sat</v>
      </c>
      <c r="I978" t="str">
        <f>TEXT(walmart[[#This Row],[Purchase_Date]],"MMM")</f>
        <v>Jun</v>
      </c>
      <c r="J978" t="str">
        <f>TEXT(walmart[[#This Row],[Purchase_Date]],"YYY")</f>
        <v>2024</v>
      </c>
      <c r="K978" s="3">
        <v>78.349999999999994</v>
      </c>
      <c r="L978" t="str">
        <f t="shared" si="75"/>
        <v>0% off</v>
      </c>
      <c r="M978" s="3">
        <f t="shared" si="76"/>
        <v>0</v>
      </c>
      <c r="N978" t="str">
        <f t="shared" si="77"/>
        <v>No</v>
      </c>
      <c r="O978" t="s">
        <v>34</v>
      </c>
      <c r="P978" s="3">
        <f t="shared" si="78"/>
        <v>78.349999999999994</v>
      </c>
      <c r="Q978" t="s">
        <v>35</v>
      </c>
      <c r="R978">
        <v>1</v>
      </c>
      <c r="S978" t="str">
        <f t="shared" si="79"/>
        <v>Very Poor</v>
      </c>
    </row>
    <row r="979" spans="1:19" x14ac:dyDescent="0.25">
      <c r="A979" t="s">
        <v>1382</v>
      </c>
      <c r="B979">
        <v>27</v>
      </c>
      <c r="C979" t="s">
        <v>29</v>
      </c>
      <c r="D979" t="s">
        <v>2504</v>
      </c>
      <c r="E979" t="s">
        <v>73</v>
      </c>
      <c r="F979" t="s">
        <v>74</v>
      </c>
      <c r="G979" t="s">
        <v>378</v>
      </c>
      <c r="H979" t="str">
        <f>TEXT(walmart[[#This Row],[Purchase_Date]],"DDD")</f>
        <v>Sat</v>
      </c>
      <c r="I979" t="str">
        <f>TEXT(walmart[[#This Row],[Purchase_Date]],"MMM")</f>
        <v>Jun</v>
      </c>
      <c r="J979" t="str">
        <f>TEXT(walmart[[#This Row],[Purchase_Date]],"YYY")</f>
        <v>2024</v>
      </c>
      <c r="K979" s="3">
        <v>782.29</v>
      </c>
      <c r="L979" t="str">
        <f t="shared" si="75"/>
        <v>15% off</v>
      </c>
      <c r="M979" s="3">
        <f t="shared" si="76"/>
        <v>117.34349999999999</v>
      </c>
      <c r="N979" t="str">
        <f t="shared" si="77"/>
        <v>Yes</v>
      </c>
      <c r="O979" t="s">
        <v>21</v>
      </c>
      <c r="P979" s="3">
        <f t="shared" si="78"/>
        <v>664.94650000000001</v>
      </c>
      <c r="Q979" t="s">
        <v>27</v>
      </c>
      <c r="R979">
        <v>3</v>
      </c>
      <c r="S979" t="str">
        <f t="shared" si="79"/>
        <v>Average</v>
      </c>
    </row>
    <row r="980" spans="1:19" x14ac:dyDescent="0.25">
      <c r="A980" t="s">
        <v>1383</v>
      </c>
      <c r="B980">
        <v>23</v>
      </c>
      <c r="C980" t="s">
        <v>29</v>
      </c>
      <c r="D980" t="s">
        <v>2505</v>
      </c>
      <c r="E980" t="s">
        <v>42</v>
      </c>
      <c r="F980" t="s">
        <v>52</v>
      </c>
      <c r="G980" t="s">
        <v>92</v>
      </c>
      <c r="H980" t="str">
        <f>TEXT(walmart[[#This Row],[Purchase_Date]],"DDD")</f>
        <v>Sun</v>
      </c>
      <c r="I980" t="str">
        <f>TEXT(walmart[[#This Row],[Purchase_Date]],"MMM")</f>
        <v>May</v>
      </c>
      <c r="J980" t="str">
        <f>TEXT(walmart[[#This Row],[Purchase_Date]],"YYY")</f>
        <v>2024</v>
      </c>
      <c r="K980" s="3">
        <v>988.77</v>
      </c>
      <c r="L980" t="str">
        <f t="shared" si="75"/>
        <v>20% off</v>
      </c>
      <c r="M980" s="3">
        <f t="shared" si="76"/>
        <v>197.75400000000002</v>
      </c>
      <c r="N980" t="str">
        <f t="shared" si="77"/>
        <v>Yes</v>
      </c>
      <c r="O980" t="s">
        <v>34</v>
      </c>
      <c r="P980" s="3">
        <f t="shared" si="78"/>
        <v>791.01599999999996</v>
      </c>
      <c r="Q980" t="s">
        <v>22</v>
      </c>
      <c r="R980">
        <v>2</v>
      </c>
      <c r="S980" t="str">
        <f t="shared" si="79"/>
        <v>Poor</v>
      </c>
    </row>
    <row r="981" spans="1:19" x14ac:dyDescent="0.25">
      <c r="A981" t="s">
        <v>1384</v>
      </c>
      <c r="B981">
        <v>62</v>
      </c>
      <c r="C981" t="s">
        <v>16</v>
      </c>
      <c r="D981" t="s">
        <v>2506</v>
      </c>
      <c r="E981" t="s">
        <v>18</v>
      </c>
      <c r="F981" t="s">
        <v>19</v>
      </c>
      <c r="G981" t="s">
        <v>340</v>
      </c>
      <c r="H981" t="str">
        <f>TEXT(walmart[[#This Row],[Purchase_Date]],"DDD")</f>
        <v>Thu</v>
      </c>
      <c r="I981" t="str">
        <f>TEXT(walmart[[#This Row],[Purchase_Date]],"MMM")</f>
        <v>Jun</v>
      </c>
      <c r="J981" t="str">
        <f>TEXT(walmart[[#This Row],[Purchase_Date]],"YYY")</f>
        <v>2024</v>
      </c>
      <c r="K981" s="3">
        <v>697.86</v>
      </c>
      <c r="L981" t="str">
        <f t="shared" si="75"/>
        <v>10% off</v>
      </c>
      <c r="M981" s="3">
        <f t="shared" si="76"/>
        <v>69.786000000000001</v>
      </c>
      <c r="N981" t="str">
        <f t="shared" si="77"/>
        <v>Yes</v>
      </c>
      <c r="O981" t="s">
        <v>21</v>
      </c>
      <c r="P981" s="3">
        <f t="shared" si="78"/>
        <v>628.07400000000007</v>
      </c>
      <c r="Q981" t="s">
        <v>22</v>
      </c>
      <c r="R981">
        <v>1</v>
      </c>
      <c r="S981" t="str">
        <f t="shared" si="79"/>
        <v>Very Poor</v>
      </c>
    </row>
    <row r="982" spans="1:19" x14ac:dyDescent="0.25">
      <c r="A982" t="s">
        <v>1385</v>
      </c>
      <c r="B982">
        <v>38</v>
      </c>
      <c r="C982" t="s">
        <v>29</v>
      </c>
      <c r="D982" t="s">
        <v>2507</v>
      </c>
      <c r="E982" t="s">
        <v>73</v>
      </c>
      <c r="F982" t="s">
        <v>91</v>
      </c>
      <c r="G982" t="s">
        <v>512</v>
      </c>
      <c r="H982" t="str">
        <f>TEXT(walmart[[#This Row],[Purchase_Date]],"DDD")</f>
        <v>Wed</v>
      </c>
      <c r="I982" t="str">
        <f>TEXT(walmart[[#This Row],[Purchase_Date]],"MMM")</f>
        <v>Aug</v>
      </c>
      <c r="J982" t="str">
        <f>TEXT(walmart[[#This Row],[Purchase_Date]],"YYY")</f>
        <v>2024</v>
      </c>
      <c r="K982" s="3">
        <v>418.55</v>
      </c>
      <c r="L982" t="str">
        <f t="shared" si="75"/>
        <v>5% off</v>
      </c>
      <c r="M982" s="3">
        <f t="shared" si="76"/>
        <v>20.927500000000002</v>
      </c>
      <c r="N982" t="str">
        <f t="shared" si="77"/>
        <v>Yes</v>
      </c>
      <c r="O982" t="s">
        <v>34</v>
      </c>
      <c r="P982" s="3">
        <f t="shared" si="78"/>
        <v>397.6225</v>
      </c>
      <c r="Q982" t="s">
        <v>27</v>
      </c>
      <c r="R982">
        <v>4</v>
      </c>
      <c r="S982" t="str">
        <f t="shared" si="79"/>
        <v>Good</v>
      </c>
    </row>
    <row r="983" spans="1:19" x14ac:dyDescent="0.25">
      <c r="A983" t="s">
        <v>1386</v>
      </c>
      <c r="B983">
        <v>70</v>
      </c>
      <c r="C983" t="s">
        <v>29</v>
      </c>
      <c r="D983" t="s">
        <v>2508</v>
      </c>
      <c r="E983" t="s">
        <v>42</v>
      </c>
      <c r="F983" t="s">
        <v>43</v>
      </c>
      <c r="G983" t="s">
        <v>449</v>
      </c>
      <c r="H983" t="str">
        <f>TEXT(walmart[[#This Row],[Purchase_Date]],"DDD")</f>
        <v>Tue</v>
      </c>
      <c r="I983" t="str">
        <f>TEXT(walmart[[#This Row],[Purchase_Date]],"MMM")</f>
        <v>Aug</v>
      </c>
      <c r="J983" t="str">
        <f>TEXT(walmart[[#This Row],[Purchase_Date]],"YYY")</f>
        <v>2024</v>
      </c>
      <c r="K983" s="3">
        <v>512.94000000000005</v>
      </c>
      <c r="L983" t="str">
        <f t="shared" si="75"/>
        <v>10% off</v>
      </c>
      <c r="M983" s="3">
        <f t="shared" si="76"/>
        <v>51.294000000000011</v>
      </c>
      <c r="N983" t="str">
        <f t="shared" si="77"/>
        <v>Yes</v>
      </c>
      <c r="O983" t="s">
        <v>34</v>
      </c>
      <c r="P983" s="3">
        <f t="shared" si="78"/>
        <v>461.64600000000007</v>
      </c>
      <c r="Q983" t="s">
        <v>35</v>
      </c>
      <c r="R983">
        <v>4</v>
      </c>
      <c r="S983" t="str">
        <f t="shared" si="79"/>
        <v>Good</v>
      </c>
    </row>
    <row r="984" spans="1:19" x14ac:dyDescent="0.25">
      <c r="A984" t="s">
        <v>1387</v>
      </c>
      <c r="B984">
        <v>51</v>
      </c>
      <c r="C984" t="s">
        <v>29</v>
      </c>
      <c r="D984" t="s">
        <v>2509</v>
      </c>
      <c r="E984" t="s">
        <v>18</v>
      </c>
      <c r="F984" t="s">
        <v>142</v>
      </c>
      <c r="G984" t="s">
        <v>474</v>
      </c>
      <c r="H984" t="str">
        <f>TEXT(walmart[[#This Row],[Purchase_Date]],"DDD")</f>
        <v>Wed</v>
      </c>
      <c r="I984" t="str">
        <f>TEXT(walmart[[#This Row],[Purchase_Date]],"MMM")</f>
        <v>Jun</v>
      </c>
      <c r="J984" t="str">
        <f>TEXT(walmart[[#This Row],[Purchase_Date]],"YYY")</f>
        <v>2024</v>
      </c>
      <c r="K984" s="3">
        <v>485.26</v>
      </c>
      <c r="L984" t="str">
        <f t="shared" si="75"/>
        <v>5% off</v>
      </c>
      <c r="M984" s="3">
        <f t="shared" si="76"/>
        <v>24.263000000000002</v>
      </c>
      <c r="N984" t="str">
        <f t="shared" si="77"/>
        <v>Yes</v>
      </c>
      <c r="O984" t="s">
        <v>21</v>
      </c>
      <c r="P984" s="3">
        <f t="shared" si="78"/>
        <v>460.99700000000001</v>
      </c>
      <c r="Q984" t="s">
        <v>27</v>
      </c>
      <c r="R984">
        <v>1</v>
      </c>
      <c r="S984" t="str">
        <f t="shared" si="79"/>
        <v>Very Poor</v>
      </c>
    </row>
    <row r="985" spans="1:19" x14ac:dyDescent="0.25">
      <c r="A985" t="s">
        <v>1388</v>
      </c>
      <c r="B985">
        <v>67</v>
      </c>
      <c r="C985" t="s">
        <v>29</v>
      </c>
      <c r="D985" t="s">
        <v>2510</v>
      </c>
      <c r="E985" t="s">
        <v>24</v>
      </c>
      <c r="F985" t="s">
        <v>25</v>
      </c>
      <c r="G985" t="s">
        <v>229</v>
      </c>
      <c r="H985" t="str">
        <f>TEXT(walmart[[#This Row],[Purchase_Date]],"DDD")</f>
        <v>Fri</v>
      </c>
      <c r="I985" t="str">
        <f>TEXT(walmart[[#This Row],[Purchase_Date]],"MMM")</f>
        <v>Sep</v>
      </c>
      <c r="J985" t="str">
        <f>TEXT(walmart[[#This Row],[Purchase_Date]],"YYY")</f>
        <v>2024</v>
      </c>
      <c r="K985" s="3">
        <v>67.040000000000006</v>
      </c>
      <c r="L985" t="str">
        <f t="shared" si="75"/>
        <v>0% off</v>
      </c>
      <c r="M985" s="3">
        <f t="shared" si="76"/>
        <v>0</v>
      </c>
      <c r="N985" t="str">
        <f t="shared" si="77"/>
        <v>No</v>
      </c>
      <c r="O985" t="s">
        <v>34</v>
      </c>
      <c r="P985" s="3">
        <f t="shared" si="78"/>
        <v>67.040000000000006</v>
      </c>
      <c r="Q985" t="s">
        <v>47</v>
      </c>
      <c r="R985">
        <v>5</v>
      </c>
      <c r="S985" t="str">
        <f t="shared" si="79"/>
        <v>Excellent</v>
      </c>
    </row>
    <row r="986" spans="1:19" x14ac:dyDescent="0.25">
      <c r="A986" t="s">
        <v>1389</v>
      </c>
      <c r="B986">
        <v>42</v>
      </c>
      <c r="C986" t="s">
        <v>16</v>
      </c>
      <c r="D986" t="s">
        <v>2511</v>
      </c>
      <c r="E986" t="s">
        <v>73</v>
      </c>
      <c r="F986" t="s">
        <v>74</v>
      </c>
      <c r="G986" t="s">
        <v>1021</v>
      </c>
      <c r="H986" t="str">
        <f>TEXT(walmart[[#This Row],[Purchase_Date]],"DDD")</f>
        <v>Wed</v>
      </c>
      <c r="I986" t="str">
        <f>TEXT(walmart[[#This Row],[Purchase_Date]],"MMM")</f>
        <v>Apr</v>
      </c>
      <c r="J986" t="str">
        <f>TEXT(walmart[[#This Row],[Purchase_Date]],"YYY")</f>
        <v>2024</v>
      </c>
      <c r="K986" s="3">
        <v>782.29</v>
      </c>
      <c r="L986" t="str">
        <f t="shared" si="75"/>
        <v>15% off</v>
      </c>
      <c r="M986" s="3">
        <f t="shared" si="76"/>
        <v>117.34349999999999</v>
      </c>
      <c r="N986" t="str">
        <f t="shared" si="77"/>
        <v>Yes</v>
      </c>
      <c r="O986" t="s">
        <v>21</v>
      </c>
      <c r="P986" s="3">
        <f t="shared" si="78"/>
        <v>664.94650000000001</v>
      </c>
      <c r="Q986" t="s">
        <v>22</v>
      </c>
      <c r="R986">
        <v>5</v>
      </c>
      <c r="S986" t="str">
        <f t="shared" si="79"/>
        <v>Excellent</v>
      </c>
    </row>
    <row r="987" spans="1:19" x14ac:dyDescent="0.25">
      <c r="A987" t="s">
        <v>1390</v>
      </c>
      <c r="B987">
        <v>29</v>
      </c>
      <c r="C987" t="s">
        <v>29</v>
      </c>
      <c r="D987" t="s">
        <v>2512</v>
      </c>
      <c r="E987" t="s">
        <v>31</v>
      </c>
      <c r="F987" t="s">
        <v>300</v>
      </c>
      <c r="G987" t="s">
        <v>553</v>
      </c>
      <c r="H987" t="str">
        <f>TEXT(walmart[[#This Row],[Purchase_Date]],"DDD")</f>
        <v>Thu</v>
      </c>
      <c r="I987" t="str">
        <f>TEXT(walmart[[#This Row],[Purchase_Date]],"MMM")</f>
        <v>Jan</v>
      </c>
      <c r="J987" t="str">
        <f>TEXT(walmart[[#This Row],[Purchase_Date]],"YYY")</f>
        <v>2025</v>
      </c>
      <c r="K987" s="3">
        <v>340.04</v>
      </c>
      <c r="L987" t="str">
        <f t="shared" si="75"/>
        <v>5% off</v>
      </c>
      <c r="M987" s="3">
        <f t="shared" si="76"/>
        <v>17.002000000000002</v>
      </c>
      <c r="N987" t="str">
        <f t="shared" si="77"/>
        <v>Yes</v>
      </c>
      <c r="O987" t="s">
        <v>34</v>
      </c>
      <c r="P987" s="3">
        <f t="shared" si="78"/>
        <v>323.03800000000001</v>
      </c>
      <c r="Q987" t="s">
        <v>22</v>
      </c>
      <c r="R987">
        <v>3</v>
      </c>
      <c r="S987" t="str">
        <f t="shared" si="79"/>
        <v>Average</v>
      </c>
    </row>
    <row r="988" spans="1:19" x14ac:dyDescent="0.25">
      <c r="A988" t="s">
        <v>1391</v>
      </c>
      <c r="B988">
        <v>46</v>
      </c>
      <c r="C988" t="s">
        <v>16</v>
      </c>
      <c r="D988" t="s">
        <v>2513</v>
      </c>
      <c r="E988" t="s">
        <v>55</v>
      </c>
      <c r="F988" t="s">
        <v>64</v>
      </c>
      <c r="G988" t="s">
        <v>772</v>
      </c>
      <c r="H988" t="str">
        <f>TEXT(walmart[[#This Row],[Purchase_Date]],"DDD")</f>
        <v>Sat</v>
      </c>
      <c r="I988" t="str">
        <f>TEXT(walmart[[#This Row],[Purchase_Date]],"MMM")</f>
        <v>Mar</v>
      </c>
      <c r="J988" t="str">
        <f>TEXT(walmart[[#This Row],[Purchase_Date]],"YYY")</f>
        <v>2024</v>
      </c>
      <c r="K988" s="3">
        <v>374.92</v>
      </c>
      <c r="L988" t="str">
        <f t="shared" si="75"/>
        <v>5% off</v>
      </c>
      <c r="M988" s="3">
        <f t="shared" si="76"/>
        <v>18.746000000000002</v>
      </c>
      <c r="N988" t="str">
        <f t="shared" si="77"/>
        <v>Yes</v>
      </c>
      <c r="O988" t="s">
        <v>34</v>
      </c>
      <c r="P988" s="3">
        <f t="shared" si="78"/>
        <v>356.17400000000004</v>
      </c>
      <c r="Q988" t="s">
        <v>27</v>
      </c>
      <c r="R988">
        <v>2</v>
      </c>
      <c r="S988" t="str">
        <f t="shared" si="79"/>
        <v>Poor</v>
      </c>
    </row>
    <row r="989" spans="1:19" x14ac:dyDescent="0.25">
      <c r="A989" t="s">
        <v>1392</v>
      </c>
      <c r="B989">
        <v>18</v>
      </c>
      <c r="C989" t="s">
        <v>16</v>
      </c>
      <c r="D989" t="s">
        <v>2514</v>
      </c>
      <c r="E989" t="s">
        <v>18</v>
      </c>
      <c r="F989" t="s">
        <v>77</v>
      </c>
      <c r="G989" t="s">
        <v>811</v>
      </c>
      <c r="H989" t="str">
        <f>TEXT(walmart[[#This Row],[Purchase_Date]],"DDD")</f>
        <v>Sun</v>
      </c>
      <c r="I989" t="str">
        <f>TEXT(walmart[[#This Row],[Purchase_Date]],"MMM")</f>
        <v>Sep</v>
      </c>
      <c r="J989" t="str">
        <f>TEXT(walmart[[#This Row],[Purchase_Date]],"YYY")</f>
        <v>2024</v>
      </c>
      <c r="K989" s="3">
        <v>116.78</v>
      </c>
      <c r="L989" t="str">
        <f t="shared" si="75"/>
        <v>0% off</v>
      </c>
      <c r="M989" s="3">
        <f t="shared" si="76"/>
        <v>0</v>
      </c>
      <c r="N989" t="str">
        <f t="shared" si="77"/>
        <v>No</v>
      </c>
      <c r="O989" t="s">
        <v>21</v>
      </c>
      <c r="P989" s="3">
        <f t="shared" si="78"/>
        <v>116.78</v>
      </c>
      <c r="Q989" t="s">
        <v>27</v>
      </c>
      <c r="R989">
        <v>4</v>
      </c>
      <c r="S989" t="str">
        <f t="shared" si="79"/>
        <v>Good</v>
      </c>
    </row>
    <row r="990" spans="1:19" x14ac:dyDescent="0.25">
      <c r="A990" t="s">
        <v>1393</v>
      </c>
      <c r="B990">
        <v>57</v>
      </c>
      <c r="C990" t="s">
        <v>16</v>
      </c>
      <c r="D990" t="s">
        <v>2515</v>
      </c>
      <c r="E990" t="s">
        <v>55</v>
      </c>
      <c r="F990" t="s">
        <v>100</v>
      </c>
      <c r="G990" t="s">
        <v>401</v>
      </c>
      <c r="H990" t="str">
        <f>TEXT(walmart[[#This Row],[Purchase_Date]],"DDD")</f>
        <v>Wed</v>
      </c>
      <c r="I990" t="str">
        <f>TEXT(walmart[[#This Row],[Purchase_Date]],"MMM")</f>
        <v>Mar</v>
      </c>
      <c r="J990" t="str">
        <f>TEXT(walmart[[#This Row],[Purchase_Date]],"YYY")</f>
        <v>2024</v>
      </c>
      <c r="K990" s="3">
        <v>592.26</v>
      </c>
      <c r="L990" t="str">
        <f t="shared" si="75"/>
        <v>10% off</v>
      </c>
      <c r="M990" s="3">
        <f t="shared" si="76"/>
        <v>59.225999999999999</v>
      </c>
      <c r="N990" t="str">
        <f t="shared" si="77"/>
        <v>Yes</v>
      </c>
      <c r="O990" t="s">
        <v>34</v>
      </c>
      <c r="P990" s="3">
        <f t="shared" si="78"/>
        <v>533.03399999999999</v>
      </c>
      <c r="Q990" t="s">
        <v>27</v>
      </c>
      <c r="R990">
        <v>1</v>
      </c>
      <c r="S990" t="str">
        <f t="shared" si="79"/>
        <v>Very Poor</v>
      </c>
    </row>
    <row r="991" spans="1:19" x14ac:dyDescent="0.25">
      <c r="A991" t="s">
        <v>1394</v>
      </c>
      <c r="B991">
        <v>62</v>
      </c>
      <c r="C991" t="s">
        <v>29</v>
      </c>
      <c r="D991" t="s">
        <v>2516</v>
      </c>
      <c r="E991" t="s">
        <v>24</v>
      </c>
      <c r="F991" t="s">
        <v>209</v>
      </c>
      <c r="G991" t="s">
        <v>224</v>
      </c>
      <c r="H991" t="str">
        <f>TEXT(walmart[[#This Row],[Purchase_Date]],"DDD")</f>
        <v>Thu</v>
      </c>
      <c r="I991" t="str">
        <f>TEXT(walmart[[#This Row],[Purchase_Date]],"MMM")</f>
        <v>Mar</v>
      </c>
      <c r="J991" t="str">
        <f>TEXT(walmart[[#This Row],[Purchase_Date]],"YYY")</f>
        <v>2025</v>
      </c>
      <c r="K991" s="3">
        <v>775.75</v>
      </c>
      <c r="L991" t="str">
        <f t="shared" si="75"/>
        <v>15% off</v>
      </c>
      <c r="M991" s="3">
        <f t="shared" si="76"/>
        <v>116.3625</v>
      </c>
      <c r="N991" t="str">
        <f t="shared" si="77"/>
        <v>Yes</v>
      </c>
      <c r="O991" t="s">
        <v>21</v>
      </c>
      <c r="P991" s="3">
        <f t="shared" si="78"/>
        <v>659.38750000000005</v>
      </c>
      <c r="Q991" t="s">
        <v>22</v>
      </c>
      <c r="R991">
        <v>4</v>
      </c>
      <c r="S991" t="str">
        <f t="shared" si="79"/>
        <v>Good</v>
      </c>
    </row>
    <row r="992" spans="1:19" x14ac:dyDescent="0.25">
      <c r="A992" t="s">
        <v>1395</v>
      </c>
      <c r="B992">
        <v>68</v>
      </c>
      <c r="C992" t="s">
        <v>16</v>
      </c>
      <c r="D992" t="s">
        <v>2517</v>
      </c>
      <c r="E992" t="s">
        <v>55</v>
      </c>
      <c r="F992" t="s">
        <v>67</v>
      </c>
      <c r="G992" t="s">
        <v>231</v>
      </c>
      <c r="H992" t="str">
        <f>TEXT(walmart[[#This Row],[Purchase_Date]],"DDD")</f>
        <v>Thu</v>
      </c>
      <c r="I992" t="str">
        <f>TEXT(walmart[[#This Row],[Purchase_Date]],"MMM")</f>
        <v>Oct</v>
      </c>
      <c r="J992" t="str">
        <f>TEXT(walmart[[#This Row],[Purchase_Date]],"YYY")</f>
        <v>2024</v>
      </c>
      <c r="K992" s="3">
        <v>452.97</v>
      </c>
      <c r="L992" t="str">
        <f t="shared" si="75"/>
        <v>5% off</v>
      </c>
      <c r="M992" s="3">
        <f t="shared" si="76"/>
        <v>22.648500000000002</v>
      </c>
      <c r="N992" t="str">
        <f t="shared" si="77"/>
        <v>Yes</v>
      </c>
      <c r="O992" t="s">
        <v>21</v>
      </c>
      <c r="P992" s="3">
        <f t="shared" si="78"/>
        <v>430.32150000000001</v>
      </c>
      <c r="Q992" t="s">
        <v>47</v>
      </c>
      <c r="R992">
        <v>4</v>
      </c>
      <c r="S992" t="str">
        <f t="shared" si="79"/>
        <v>Good</v>
      </c>
    </row>
    <row r="993" spans="1:19" x14ac:dyDescent="0.25">
      <c r="A993" t="s">
        <v>1396</v>
      </c>
      <c r="B993">
        <v>37</v>
      </c>
      <c r="C993" t="s">
        <v>29</v>
      </c>
      <c r="D993" t="s">
        <v>2518</v>
      </c>
      <c r="E993" t="s">
        <v>18</v>
      </c>
      <c r="F993" t="s">
        <v>59</v>
      </c>
      <c r="G993" t="s">
        <v>1251</v>
      </c>
      <c r="H993" t="str">
        <f>TEXT(walmart[[#This Row],[Purchase_Date]],"DDD")</f>
        <v>Wed</v>
      </c>
      <c r="I993" t="str">
        <f>TEXT(walmart[[#This Row],[Purchase_Date]],"MMM")</f>
        <v>Mar</v>
      </c>
      <c r="J993" t="str">
        <f>TEXT(walmart[[#This Row],[Purchase_Date]],"YYY")</f>
        <v>2025</v>
      </c>
      <c r="K993" s="3">
        <v>78.349999999999994</v>
      </c>
      <c r="L993" t="str">
        <f t="shared" si="75"/>
        <v>0% off</v>
      </c>
      <c r="M993" s="3">
        <f t="shared" si="76"/>
        <v>0</v>
      </c>
      <c r="N993" t="str">
        <f t="shared" si="77"/>
        <v>No</v>
      </c>
      <c r="O993" t="s">
        <v>21</v>
      </c>
      <c r="P993" s="3">
        <f t="shared" si="78"/>
        <v>78.349999999999994</v>
      </c>
      <c r="Q993" t="s">
        <v>22</v>
      </c>
      <c r="R993">
        <v>3</v>
      </c>
      <c r="S993" t="str">
        <f t="shared" si="79"/>
        <v>Average</v>
      </c>
    </row>
    <row r="994" spans="1:19" x14ac:dyDescent="0.25">
      <c r="A994" t="s">
        <v>1397</v>
      </c>
      <c r="B994">
        <v>32</v>
      </c>
      <c r="C994" t="s">
        <v>29</v>
      </c>
      <c r="D994" t="s">
        <v>2519</v>
      </c>
      <c r="E994" t="s">
        <v>55</v>
      </c>
      <c r="F994" t="s">
        <v>100</v>
      </c>
      <c r="G994" t="s">
        <v>718</v>
      </c>
      <c r="H994" t="str">
        <f>TEXT(walmart[[#This Row],[Purchase_Date]],"DDD")</f>
        <v>Thu</v>
      </c>
      <c r="I994" t="str">
        <f>TEXT(walmart[[#This Row],[Purchase_Date]],"MMM")</f>
        <v>Jan</v>
      </c>
      <c r="J994" t="str">
        <f>TEXT(walmart[[#This Row],[Purchase_Date]],"YYY")</f>
        <v>2025</v>
      </c>
      <c r="K994" s="3">
        <v>592.26</v>
      </c>
      <c r="L994" t="str">
        <f t="shared" si="75"/>
        <v>10% off</v>
      </c>
      <c r="M994" s="3">
        <f t="shared" si="76"/>
        <v>59.225999999999999</v>
      </c>
      <c r="N994" t="str">
        <f t="shared" si="77"/>
        <v>Yes</v>
      </c>
      <c r="O994" t="s">
        <v>21</v>
      </c>
      <c r="P994" s="3">
        <f t="shared" si="78"/>
        <v>533.03399999999999</v>
      </c>
      <c r="Q994" t="s">
        <v>27</v>
      </c>
      <c r="R994">
        <v>5</v>
      </c>
      <c r="S994" t="str">
        <f t="shared" si="79"/>
        <v>Excellent</v>
      </c>
    </row>
    <row r="995" spans="1:19" x14ac:dyDescent="0.25">
      <c r="A995" t="s">
        <v>1398</v>
      </c>
      <c r="B995">
        <v>23</v>
      </c>
      <c r="C995" t="s">
        <v>16</v>
      </c>
      <c r="D995" t="s">
        <v>2520</v>
      </c>
      <c r="E995" t="s">
        <v>55</v>
      </c>
      <c r="F995" t="s">
        <v>67</v>
      </c>
      <c r="G995" t="s">
        <v>385</v>
      </c>
      <c r="H995" t="str">
        <f>TEXT(walmart[[#This Row],[Purchase_Date]],"DDD")</f>
        <v>Wed</v>
      </c>
      <c r="I995" t="str">
        <f>TEXT(walmart[[#This Row],[Purchase_Date]],"MMM")</f>
        <v>Apr</v>
      </c>
      <c r="J995" t="str">
        <f>TEXT(walmart[[#This Row],[Purchase_Date]],"YYY")</f>
        <v>2024</v>
      </c>
      <c r="K995" s="3">
        <v>452.97</v>
      </c>
      <c r="L995" t="str">
        <f t="shared" si="75"/>
        <v>5% off</v>
      </c>
      <c r="M995" s="3">
        <f t="shared" si="76"/>
        <v>22.648500000000002</v>
      </c>
      <c r="N995" t="str">
        <f t="shared" si="77"/>
        <v>Yes</v>
      </c>
      <c r="O995" t="s">
        <v>21</v>
      </c>
      <c r="P995" s="3">
        <f t="shared" si="78"/>
        <v>430.32150000000001</v>
      </c>
      <c r="Q995" t="s">
        <v>27</v>
      </c>
      <c r="R995">
        <v>2</v>
      </c>
      <c r="S995" t="str">
        <f t="shared" si="79"/>
        <v>Poor</v>
      </c>
    </row>
    <row r="996" spans="1:19" x14ac:dyDescent="0.25">
      <c r="A996" t="s">
        <v>1399</v>
      </c>
      <c r="B996">
        <v>36</v>
      </c>
      <c r="C996" t="s">
        <v>29</v>
      </c>
      <c r="D996" t="s">
        <v>2521</v>
      </c>
      <c r="E996" t="s">
        <v>42</v>
      </c>
      <c r="F996" t="s">
        <v>103</v>
      </c>
      <c r="G996" t="s">
        <v>1400</v>
      </c>
      <c r="H996" t="str">
        <f>TEXT(walmart[[#This Row],[Purchase_Date]],"DDD")</f>
        <v>Sun</v>
      </c>
      <c r="I996" t="str">
        <f>TEXT(walmart[[#This Row],[Purchase_Date]],"MMM")</f>
        <v>Sep</v>
      </c>
      <c r="J996" t="str">
        <f>TEXT(walmart[[#This Row],[Purchase_Date]],"YYY")</f>
        <v>2024</v>
      </c>
      <c r="K996" s="3">
        <v>315.56</v>
      </c>
      <c r="L996" t="str">
        <f t="shared" si="75"/>
        <v>5% off</v>
      </c>
      <c r="M996" s="3">
        <f t="shared" si="76"/>
        <v>15.778</v>
      </c>
      <c r="N996" t="str">
        <f t="shared" si="77"/>
        <v>Yes</v>
      </c>
      <c r="O996" t="s">
        <v>21</v>
      </c>
      <c r="P996" s="3">
        <f t="shared" si="78"/>
        <v>299.78199999999998</v>
      </c>
      <c r="Q996" t="s">
        <v>27</v>
      </c>
      <c r="R996">
        <v>4</v>
      </c>
      <c r="S996" t="str">
        <f t="shared" si="79"/>
        <v>Good</v>
      </c>
    </row>
    <row r="997" spans="1:19" x14ac:dyDescent="0.25">
      <c r="A997" t="s">
        <v>1401</v>
      </c>
      <c r="B997">
        <v>68</v>
      </c>
      <c r="C997" t="s">
        <v>16</v>
      </c>
      <c r="D997" t="s">
        <v>2522</v>
      </c>
      <c r="E997" t="s">
        <v>42</v>
      </c>
      <c r="F997" t="s">
        <v>43</v>
      </c>
      <c r="G997" t="s">
        <v>612</v>
      </c>
      <c r="H997" t="str">
        <f>TEXT(walmart[[#This Row],[Purchase_Date]],"DDD")</f>
        <v>Fri</v>
      </c>
      <c r="I997" t="str">
        <f>TEXT(walmart[[#This Row],[Purchase_Date]],"MMM")</f>
        <v>Apr</v>
      </c>
      <c r="J997" t="str">
        <f>TEXT(walmart[[#This Row],[Purchase_Date]],"YYY")</f>
        <v>2024</v>
      </c>
      <c r="K997" s="3">
        <v>512.94000000000005</v>
      </c>
      <c r="L997" t="str">
        <f t="shared" si="75"/>
        <v>10% off</v>
      </c>
      <c r="M997" s="3">
        <f t="shared" si="76"/>
        <v>51.294000000000011</v>
      </c>
      <c r="N997" t="str">
        <f t="shared" si="77"/>
        <v>Yes</v>
      </c>
      <c r="O997" t="s">
        <v>21</v>
      </c>
      <c r="P997" s="3">
        <f t="shared" si="78"/>
        <v>461.64600000000007</v>
      </c>
      <c r="Q997" t="s">
        <v>22</v>
      </c>
      <c r="R997">
        <v>5</v>
      </c>
      <c r="S997" t="str">
        <f t="shared" si="79"/>
        <v>Excellent</v>
      </c>
    </row>
    <row r="998" spans="1:19" x14ac:dyDescent="0.25">
      <c r="A998" t="s">
        <v>1402</v>
      </c>
      <c r="B998">
        <v>49</v>
      </c>
      <c r="C998" t="s">
        <v>29</v>
      </c>
      <c r="D998" t="s">
        <v>2485</v>
      </c>
      <c r="E998" t="s">
        <v>42</v>
      </c>
      <c r="F998" t="s">
        <v>43</v>
      </c>
      <c r="G998" t="s">
        <v>1060</v>
      </c>
      <c r="H998" t="str">
        <f>TEXT(walmart[[#This Row],[Purchase_Date]],"DDD")</f>
        <v>Fri</v>
      </c>
      <c r="I998" t="str">
        <f>TEXT(walmart[[#This Row],[Purchase_Date]],"MMM")</f>
        <v>Dec</v>
      </c>
      <c r="J998" t="str">
        <f>TEXT(walmart[[#This Row],[Purchase_Date]],"YYY")</f>
        <v>2024</v>
      </c>
      <c r="K998" s="3">
        <v>512.94000000000005</v>
      </c>
      <c r="L998" t="str">
        <f t="shared" si="75"/>
        <v>10% off</v>
      </c>
      <c r="M998" s="3">
        <f t="shared" si="76"/>
        <v>51.294000000000011</v>
      </c>
      <c r="N998" t="str">
        <f t="shared" si="77"/>
        <v>Yes</v>
      </c>
      <c r="O998" t="s">
        <v>21</v>
      </c>
      <c r="P998" s="3">
        <f t="shared" si="78"/>
        <v>461.64600000000007</v>
      </c>
      <c r="Q998" t="s">
        <v>35</v>
      </c>
      <c r="R998">
        <v>1</v>
      </c>
      <c r="S998" t="str">
        <f t="shared" si="79"/>
        <v>Very Poor</v>
      </c>
    </row>
    <row r="999" spans="1:19" x14ac:dyDescent="0.25">
      <c r="A999" t="s">
        <v>1403</v>
      </c>
      <c r="B999">
        <v>58</v>
      </c>
      <c r="C999" t="s">
        <v>16</v>
      </c>
      <c r="D999" t="s">
        <v>2523</v>
      </c>
      <c r="E999" t="s">
        <v>42</v>
      </c>
      <c r="F999" t="s">
        <v>120</v>
      </c>
      <c r="G999" t="s">
        <v>480</v>
      </c>
      <c r="H999" t="str">
        <f>TEXT(walmart[[#This Row],[Purchase_Date]],"DDD")</f>
        <v>Mon</v>
      </c>
      <c r="I999" t="str">
        <f>TEXT(walmart[[#This Row],[Purchase_Date]],"MMM")</f>
        <v>Oct</v>
      </c>
      <c r="J999" t="str">
        <f>TEXT(walmart[[#This Row],[Purchase_Date]],"YYY")</f>
        <v>2024</v>
      </c>
      <c r="K999" s="3">
        <v>260.77999999999997</v>
      </c>
      <c r="L999" t="str">
        <f t="shared" si="75"/>
        <v>5% off</v>
      </c>
      <c r="M999" s="3">
        <f t="shared" si="76"/>
        <v>13.039</v>
      </c>
      <c r="N999" t="str">
        <f t="shared" si="77"/>
        <v>Yes</v>
      </c>
      <c r="O999" t="s">
        <v>34</v>
      </c>
      <c r="P999" s="3">
        <f t="shared" si="78"/>
        <v>247.74099999999999</v>
      </c>
      <c r="Q999" t="s">
        <v>47</v>
      </c>
      <c r="R999">
        <v>5</v>
      </c>
      <c r="S999" t="str">
        <f t="shared" si="79"/>
        <v>Excellent</v>
      </c>
    </row>
    <row r="1000" spans="1:19" x14ac:dyDescent="0.25">
      <c r="A1000" t="s">
        <v>1404</v>
      </c>
      <c r="B1000">
        <v>57</v>
      </c>
      <c r="C1000" t="s">
        <v>29</v>
      </c>
      <c r="D1000" t="s">
        <v>2518</v>
      </c>
      <c r="E1000" t="s">
        <v>37</v>
      </c>
      <c r="F1000" t="s">
        <v>97</v>
      </c>
      <c r="G1000" t="s">
        <v>371</v>
      </c>
      <c r="H1000" t="str">
        <f>TEXT(walmart[[#This Row],[Purchase_Date]],"DDD")</f>
        <v>Mon</v>
      </c>
      <c r="I1000" t="str">
        <f>TEXT(walmart[[#This Row],[Purchase_Date]],"MMM")</f>
        <v>Jul</v>
      </c>
      <c r="J1000" t="str">
        <f>TEXT(walmart[[#This Row],[Purchase_Date]],"YYY")</f>
        <v>2024</v>
      </c>
      <c r="K1000" s="3">
        <v>855.21</v>
      </c>
      <c r="L1000" t="str">
        <f t="shared" si="75"/>
        <v>15% off</v>
      </c>
      <c r="M1000" s="3">
        <f t="shared" si="76"/>
        <v>128.28149999999999</v>
      </c>
      <c r="N1000" t="str">
        <f t="shared" si="77"/>
        <v>Yes</v>
      </c>
      <c r="O1000" t="s">
        <v>34</v>
      </c>
      <c r="P1000" s="3">
        <f t="shared" si="78"/>
        <v>726.92849999999999</v>
      </c>
      <c r="Q1000" t="s">
        <v>35</v>
      </c>
      <c r="R1000">
        <v>1</v>
      </c>
      <c r="S1000" t="str">
        <f t="shared" si="79"/>
        <v>Very Poor</v>
      </c>
    </row>
    <row r="1001" spans="1:19" x14ac:dyDescent="0.25">
      <c r="A1001" t="s">
        <v>1405</v>
      </c>
      <c r="B1001">
        <v>29</v>
      </c>
      <c r="C1001" t="s">
        <v>29</v>
      </c>
      <c r="D1001" t="s">
        <v>2524</v>
      </c>
      <c r="E1001" t="s">
        <v>73</v>
      </c>
      <c r="F1001" t="s">
        <v>91</v>
      </c>
      <c r="G1001" t="s">
        <v>712</v>
      </c>
      <c r="H1001" t="str">
        <f>TEXT(walmart[[#This Row],[Purchase_Date]],"DDD")</f>
        <v>Thu</v>
      </c>
      <c r="I1001" t="str">
        <f>TEXT(walmart[[#This Row],[Purchase_Date]],"MMM")</f>
        <v>May</v>
      </c>
      <c r="J1001" t="str">
        <f>TEXT(walmart[[#This Row],[Purchase_Date]],"YYY")</f>
        <v>2024</v>
      </c>
      <c r="K1001" s="3">
        <v>418.55</v>
      </c>
      <c r="L1001" t="str">
        <f t="shared" si="75"/>
        <v>5% off</v>
      </c>
      <c r="M1001" s="3">
        <f t="shared" si="76"/>
        <v>20.927500000000002</v>
      </c>
      <c r="N1001" t="str">
        <f t="shared" si="77"/>
        <v>Yes</v>
      </c>
      <c r="O1001" t="s">
        <v>34</v>
      </c>
      <c r="P1001" s="3">
        <f t="shared" si="78"/>
        <v>397.6225</v>
      </c>
      <c r="Q1001" t="s">
        <v>22</v>
      </c>
      <c r="R1001">
        <v>5</v>
      </c>
      <c r="S1001" t="str">
        <f t="shared" si="79"/>
        <v>Excellent</v>
      </c>
    </row>
    <row r="1002" spans="1:19" x14ac:dyDescent="0.25">
      <c r="A1002" t="s">
        <v>1406</v>
      </c>
      <c r="B1002">
        <v>33</v>
      </c>
      <c r="C1002" t="s">
        <v>29</v>
      </c>
      <c r="D1002" t="s">
        <v>2525</v>
      </c>
      <c r="E1002" t="s">
        <v>73</v>
      </c>
      <c r="F1002" t="s">
        <v>91</v>
      </c>
      <c r="G1002" t="s">
        <v>928</v>
      </c>
      <c r="H1002" t="str">
        <f>TEXT(walmart[[#This Row],[Purchase_Date]],"DDD")</f>
        <v>Thu</v>
      </c>
      <c r="I1002" t="str">
        <f>TEXT(walmart[[#This Row],[Purchase_Date]],"MMM")</f>
        <v>Sep</v>
      </c>
      <c r="J1002" t="str">
        <f>TEXT(walmart[[#This Row],[Purchase_Date]],"YYY")</f>
        <v>2024</v>
      </c>
      <c r="K1002" s="3">
        <v>418.55</v>
      </c>
      <c r="L1002" t="str">
        <f t="shared" si="75"/>
        <v>5% off</v>
      </c>
      <c r="N1002" t="str">
        <f t="shared" si="77"/>
        <v>Yes</v>
      </c>
      <c r="O1002" t="s">
        <v>21</v>
      </c>
      <c r="P1002" s="3">
        <f t="shared" si="78"/>
        <v>418.55</v>
      </c>
      <c r="Q1002" t="s">
        <v>35</v>
      </c>
      <c r="R1002">
        <v>4</v>
      </c>
      <c r="S1002" t="str">
        <f t="shared" si="79"/>
        <v>Good</v>
      </c>
    </row>
    <row r="1003" spans="1:19" x14ac:dyDescent="0.25">
      <c r="A1003" t="s">
        <v>1407</v>
      </c>
      <c r="B1003">
        <v>39</v>
      </c>
      <c r="C1003" t="s">
        <v>16</v>
      </c>
      <c r="D1003" t="s">
        <v>2487</v>
      </c>
      <c r="E1003" t="s">
        <v>37</v>
      </c>
      <c r="F1003" t="s">
        <v>117</v>
      </c>
      <c r="G1003" t="s">
        <v>126</v>
      </c>
      <c r="H1003" t="str">
        <f>TEXT(walmart[[#This Row],[Purchase_Date]],"DDD")</f>
        <v>Sat</v>
      </c>
      <c r="I1003" t="str">
        <f>TEXT(walmart[[#This Row],[Purchase_Date]],"MMM")</f>
        <v>Oct</v>
      </c>
      <c r="J1003" t="str">
        <f>TEXT(walmart[[#This Row],[Purchase_Date]],"YYY")</f>
        <v>2024</v>
      </c>
      <c r="K1003" s="3">
        <v>165.68</v>
      </c>
      <c r="L1003" t="str">
        <f t="shared" si="75"/>
        <v>5% off</v>
      </c>
      <c r="N1003" t="str">
        <f t="shared" si="77"/>
        <v>Yes</v>
      </c>
      <c r="O1003" t="s">
        <v>34</v>
      </c>
      <c r="P1003" s="3">
        <f t="shared" si="78"/>
        <v>165.68</v>
      </c>
      <c r="Q1003" t="s">
        <v>22</v>
      </c>
      <c r="R1003">
        <v>2</v>
      </c>
      <c r="S1003" t="str">
        <f t="shared" si="79"/>
        <v>Poor</v>
      </c>
    </row>
    <row r="1004" spans="1:19" x14ac:dyDescent="0.25">
      <c r="A1004" t="s">
        <v>1408</v>
      </c>
      <c r="B1004">
        <v>65</v>
      </c>
      <c r="C1004" t="s">
        <v>29</v>
      </c>
      <c r="D1004" t="s">
        <v>2519</v>
      </c>
      <c r="E1004" t="s">
        <v>37</v>
      </c>
      <c r="F1004" t="s">
        <v>82</v>
      </c>
      <c r="G1004" t="s">
        <v>447</v>
      </c>
      <c r="H1004" t="str">
        <f>TEXT(walmart[[#This Row],[Purchase_Date]],"DDD")</f>
        <v>Sat</v>
      </c>
      <c r="I1004" t="str">
        <f>TEXT(walmart[[#This Row],[Purchase_Date]],"MMM")</f>
        <v>Nov</v>
      </c>
      <c r="J1004" t="str">
        <f>TEXT(walmart[[#This Row],[Purchase_Date]],"YYY")</f>
        <v>2024</v>
      </c>
      <c r="K1004" s="3">
        <v>270.41000000000003</v>
      </c>
      <c r="L1004" t="str">
        <f t="shared" si="75"/>
        <v>5% off</v>
      </c>
      <c r="N1004" t="str">
        <f t="shared" si="77"/>
        <v>Yes</v>
      </c>
      <c r="O1004" t="s">
        <v>34</v>
      </c>
      <c r="P1004" s="3">
        <f t="shared" si="78"/>
        <v>270.41000000000003</v>
      </c>
      <c r="Q1004" t="s">
        <v>35</v>
      </c>
      <c r="R1004">
        <v>5</v>
      </c>
      <c r="S1004" t="str">
        <f t="shared" si="79"/>
        <v>Excellent</v>
      </c>
    </row>
    <row r="1005" spans="1:19" x14ac:dyDescent="0.25">
      <c r="A1005" t="s">
        <v>1409</v>
      </c>
      <c r="B1005">
        <v>46</v>
      </c>
      <c r="C1005" t="s">
        <v>29</v>
      </c>
      <c r="D1005" t="s">
        <v>2520</v>
      </c>
      <c r="E1005" t="s">
        <v>18</v>
      </c>
      <c r="F1005" t="s">
        <v>142</v>
      </c>
      <c r="G1005" t="s">
        <v>981</v>
      </c>
      <c r="H1005" t="str">
        <f>TEXT(walmart[[#This Row],[Purchase_Date]],"DDD")</f>
        <v>Sat</v>
      </c>
      <c r="I1005" t="str">
        <f>TEXT(walmart[[#This Row],[Purchase_Date]],"MMM")</f>
        <v>Mar</v>
      </c>
      <c r="J1005" t="str">
        <f>TEXT(walmart[[#This Row],[Purchase_Date]],"YYY")</f>
        <v>2025</v>
      </c>
      <c r="K1005" s="3">
        <v>485.26</v>
      </c>
      <c r="L1005" t="str">
        <f t="shared" si="75"/>
        <v>5% off</v>
      </c>
      <c r="N1005" t="str">
        <f t="shared" si="77"/>
        <v>Yes</v>
      </c>
      <c r="O1005" t="s">
        <v>34</v>
      </c>
      <c r="P1005" s="3">
        <f t="shared" si="78"/>
        <v>485.26</v>
      </c>
      <c r="Q1005" t="s">
        <v>27</v>
      </c>
      <c r="R1005">
        <v>4</v>
      </c>
      <c r="S1005" t="str">
        <f t="shared" si="79"/>
        <v>Good</v>
      </c>
    </row>
    <row r="1006" spans="1:19" x14ac:dyDescent="0.25">
      <c r="A1006" t="s">
        <v>1410</v>
      </c>
      <c r="B1006">
        <v>38</v>
      </c>
      <c r="C1006" t="s">
        <v>29</v>
      </c>
      <c r="D1006" t="s">
        <v>2526</v>
      </c>
      <c r="E1006" t="s">
        <v>73</v>
      </c>
      <c r="F1006" t="s">
        <v>91</v>
      </c>
      <c r="G1006" t="s">
        <v>266</v>
      </c>
      <c r="H1006" t="str">
        <f>TEXT(walmart[[#This Row],[Purchase_Date]],"DDD")</f>
        <v>Fri</v>
      </c>
      <c r="I1006" t="str">
        <f>TEXT(walmart[[#This Row],[Purchase_Date]],"MMM")</f>
        <v>Feb</v>
      </c>
      <c r="J1006" t="str">
        <f>TEXT(walmart[[#This Row],[Purchase_Date]],"YYY")</f>
        <v>2025</v>
      </c>
      <c r="K1006" s="3">
        <v>418.55</v>
      </c>
      <c r="L1006" t="str">
        <f t="shared" si="75"/>
        <v>5% off</v>
      </c>
      <c r="N1006" t="str">
        <f t="shared" si="77"/>
        <v>Yes</v>
      </c>
      <c r="O1006" t="s">
        <v>34</v>
      </c>
      <c r="P1006" s="3">
        <f t="shared" si="78"/>
        <v>418.55</v>
      </c>
      <c r="Q1006" t="s">
        <v>22</v>
      </c>
      <c r="R1006">
        <v>2</v>
      </c>
      <c r="S1006" t="str">
        <f t="shared" si="79"/>
        <v>Poor</v>
      </c>
    </row>
    <row r="1007" spans="1:19" x14ac:dyDescent="0.25">
      <c r="A1007" t="s">
        <v>1411</v>
      </c>
      <c r="B1007">
        <v>20</v>
      </c>
      <c r="C1007" t="s">
        <v>29</v>
      </c>
      <c r="D1007" t="s">
        <v>2527</v>
      </c>
      <c r="E1007" t="s">
        <v>55</v>
      </c>
      <c r="F1007" t="s">
        <v>100</v>
      </c>
      <c r="G1007" t="s">
        <v>197</v>
      </c>
      <c r="H1007" t="str">
        <f>TEXT(walmart[[#This Row],[Purchase_Date]],"DDD")</f>
        <v>Wed</v>
      </c>
      <c r="I1007" t="str">
        <f>TEXT(walmart[[#This Row],[Purchase_Date]],"MMM")</f>
        <v>Feb</v>
      </c>
      <c r="J1007" t="str">
        <f>TEXT(walmart[[#This Row],[Purchase_Date]],"YYY")</f>
        <v>2025</v>
      </c>
      <c r="K1007" s="3">
        <v>592.26</v>
      </c>
      <c r="L1007" t="str">
        <f t="shared" si="75"/>
        <v>10% off</v>
      </c>
      <c r="N1007" t="str">
        <f t="shared" si="77"/>
        <v>Yes</v>
      </c>
      <c r="O1007" t="s">
        <v>34</v>
      </c>
      <c r="P1007" s="3">
        <f t="shared" si="78"/>
        <v>592.26</v>
      </c>
      <c r="Q1007" t="s">
        <v>35</v>
      </c>
      <c r="R1007">
        <v>5</v>
      </c>
      <c r="S1007" t="str">
        <f t="shared" si="79"/>
        <v>Excellent</v>
      </c>
    </row>
    <row r="1008" spans="1:19" x14ac:dyDescent="0.25">
      <c r="A1008" t="s">
        <v>1412</v>
      </c>
      <c r="B1008">
        <v>30</v>
      </c>
      <c r="C1008" t="s">
        <v>16</v>
      </c>
      <c r="D1008" t="s">
        <v>2528</v>
      </c>
      <c r="E1008" t="s">
        <v>55</v>
      </c>
      <c r="F1008" t="s">
        <v>56</v>
      </c>
      <c r="G1008" t="s">
        <v>414</v>
      </c>
      <c r="H1008" t="str">
        <f>TEXT(walmart[[#This Row],[Purchase_Date]],"DDD")</f>
        <v>Thu</v>
      </c>
      <c r="I1008" t="str">
        <f>TEXT(walmart[[#This Row],[Purchase_Date]],"MMM")</f>
        <v>Jun</v>
      </c>
      <c r="J1008" t="str">
        <f>TEXT(walmart[[#This Row],[Purchase_Date]],"YYY")</f>
        <v>2024</v>
      </c>
      <c r="K1008" s="3">
        <v>76.81</v>
      </c>
      <c r="L1008" t="str">
        <f t="shared" si="75"/>
        <v>0% off</v>
      </c>
      <c r="N1008" t="str">
        <f t="shared" si="77"/>
        <v>No</v>
      </c>
      <c r="O1008" t="s">
        <v>21</v>
      </c>
      <c r="P1008" s="3">
        <f t="shared" si="78"/>
        <v>76.81</v>
      </c>
      <c r="Q1008" t="s">
        <v>22</v>
      </c>
      <c r="R1008">
        <v>1</v>
      </c>
      <c r="S1008" t="str">
        <f t="shared" si="79"/>
        <v>Very Poor</v>
      </c>
    </row>
    <row r="1009" spans="1:19" x14ac:dyDescent="0.25">
      <c r="A1009" t="s">
        <v>1413</v>
      </c>
      <c r="B1009">
        <v>41</v>
      </c>
      <c r="C1009" t="s">
        <v>16</v>
      </c>
      <c r="D1009" t="s">
        <v>2529</v>
      </c>
      <c r="E1009" t="s">
        <v>73</v>
      </c>
      <c r="F1009" t="s">
        <v>91</v>
      </c>
      <c r="G1009" t="s">
        <v>1414</v>
      </c>
      <c r="H1009" t="str">
        <f>TEXT(walmart[[#This Row],[Purchase_Date]],"DDD")</f>
        <v>Mon</v>
      </c>
      <c r="I1009" t="str">
        <f>TEXT(walmart[[#This Row],[Purchase_Date]],"MMM")</f>
        <v>Dec</v>
      </c>
      <c r="J1009" t="str">
        <f>TEXT(walmart[[#This Row],[Purchase_Date]],"YYY")</f>
        <v>2024</v>
      </c>
      <c r="K1009" s="3">
        <v>418.55</v>
      </c>
      <c r="L1009" t="str">
        <f t="shared" si="75"/>
        <v>5% off</v>
      </c>
      <c r="N1009" t="str">
        <f t="shared" si="77"/>
        <v>Yes</v>
      </c>
      <c r="O1009" t="s">
        <v>34</v>
      </c>
      <c r="P1009" s="3">
        <f t="shared" si="78"/>
        <v>418.55</v>
      </c>
      <c r="Q1009" t="s">
        <v>27</v>
      </c>
      <c r="R1009">
        <v>2</v>
      </c>
      <c r="S1009" t="str">
        <f t="shared" si="79"/>
        <v>Poor</v>
      </c>
    </row>
    <row r="1010" spans="1:19" x14ac:dyDescent="0.25">
      <c r="A1010" t="s">
        <v>1415</v>
      </c>
      <c r="B1010">
        <v>36</v>
      </c>
      <c r="C1010" t="s">
        <v>29</v>
      </c>
      <c r="D1010" t="s">
        <v>2530</v>
      </c>
      <c r="E1010" t="s">
        <v>55</v>
      </c>
      <c r="F1010" t="s">
        <v>67</v>
      </c>
      <c r="G1010" t="s">
        <v>1416</v>
      </c>
      <c r="H1010" t="str">
        <f>TEXT(walmart[[#This Row],[Purchase_Date]],"DDD")</f>
        <v>Tue</v>
      </c>
      <c r="I1010" t="str">
        <f>TEXT(walmart[[#This Row],[Purchase_Date]],"MMM")</f>
        <v>Nov</v>
      </c>
      <c r="J1010" t="str">
        <f>TEXT(walmart[[#This Row],[Purchase_Date]],"YYY")</f>
        <v>2024</v>
      </c>
      <c r="K1010" s="3">
        <v>452.97</v>
      </c>
      <c r="L1010" t="str">
        <f t="shared" si="75"/>
        <v>5% off</v>
      </c>
      <c r="N1010" t="str">
        <f t="shared" si="77"/>
        <v>Yes</v>
      </c>
      <c r="O1010" t="s">
        <v>34</v>
      </c>
      <c r="P1010" s="3">
        <f t="shared" si="78"/>
        <v>452.97</v>
      </c>
      <c r="Q1010" t="s">
        <v>35</v>
      </c>
      <c r="R1010">
        <v>1</v>
      </c>
      <c r="S1010" t="str">
        <f t="shared" si="79"/>
        <v>Very Poor</v>
      </c>
    </row>
    <row r="1011" spans="1:19" x14ac:dyDescent="0.25">
      <c r="A1011" t="s">
        <v>1417</v>
      </c>
      <c r="B1011">
        <v>28</v>
      </c>
      <c r="C1011" t="s">
        <v>16</v>
      </c>
      <c r="D1011" t="s">
        <v>2531</v>
      </c>
      <c r="E1011" t="s">
        <v>55</v>
      </c>
      <c r="F1011" t="s">
        <v>100</v>
      </c>
      <c r="G1011" t="s">
        <v>174</v>
      </c>
      <c r="H1011" t="str">
        <f>TEXT(walmart[[#This Row],[Purchase_Date]],"DDD")</f>
        <v>Sun</v>
      </c>
      <c r="I1011" t="str">
        <f>TEXT(walmart[[#This Row],[Purchase_Date]],"MMM")</f>
        <v>Dec</v>
      </c>
      <c r="J1011" t="str">
        <f>TEXT(walmart[[#This Row],[Purchase_Date]],"YYY")</f>
        <v>2024</v>
      </c>
      <c r="K1011" s="3">
        <v>592.26</v>
      </c>
      <c r="L1011" t="str">
        <f t="shared" si="75"/>
        <v>10% off</v>
      </c>
      <c r="N1011" t="str">
        <f t="shared" si="77"/>
        <v>Yes</v>
      </c>
      <c r="O1011" t="s">
        <v>21</v>
      </c>
      <c r="P1011" s="3">
        <f t="shared" si="78"/>
        <v>592.26</v>
      </c>
      <c r="Q1011" t="s">
        <v>27</v>
      </c>
      <c r="R1011">
        <v>5</v>
      </c>
      <c r="S1011" t="str">
        <f t="shared" si="79"/>
        <v>Excellent</v>
      </c>
    </row>
    <row r="1012" spans="1:19" x14ac:dyDescent="0.25">
      <c r="A1012" t="s">
        <v>1418</v>
      </c>
      <c r="B1012">
        <v>41</v>
      </c>
      <c r="C1012" t="s">
        <v>16</v>
      </c>
      <c r="D1012" t="s">
        <v>2532</v>
      </c>
      <c r="E1012" t="s">
        <v>24</v>
      </c>
      <c r="F1012" t="s">
        <v>25</v>
      </c>
      <c r="G1012" t="s">
        <v>502</v>
      </c>
      <c r="H1012" t="str">
        <f>TEXT(walmart[[#This Row],[Purchase_Date]],"DDD")</f>
        <v>Thu</v>
      </c>
      <c r="I1012" t="str">
        <f>TEXT(walmart[[#This Row],[Purchase_Date]],"MMM")</f>
        <v>Jul</v>
      </c>
      <c r="J1012" t="str">
        <f>TEXT(walmart[[#This Row],[Purchase_Date]],"YYY")</f>
        <v>2024</v>
      </c>
      <c r="K1012" s="3">
        <v>67.040000000000006</v>
      </c>
      <c r="L1012" t="str">
        <f t="shared" si="75"/>
        <v>0% off</v>
      </c>
      <c r="N1012" t="str">
        <f t="shared" si="77"/>
        <v>No</v>
      </c>
      <c r="O1012" t="s">
        <v>21</v>
      </c>
      <c r="P1012" s="3">
        <f t="shared" si="78"/>
        <v>67.040000000000006</v>
      </c>
      <c r="Q1012" t="s">
        <v>22</v>
      </c>
      <c r="R1012">
        <v>5</v>
      </c>
      <c r="S1012" t="str">
        <f t="shared" si="79"/>
        <v>Excellent</v>
      </c>
    </row>
    <row r="1013" spans="1:19" x14ac:dyDescent="0.25">
      <c r="A1013" t="s">
        <v>1419</v>
      </c>
      <c r="B1013">
        <v>20</v>
      </c>
      <c r="C1013" t="s">
        <v>16</v>
      </c>
      <c r="D1013" t="s">
        <v>2533</v>
      </c>
      <c r="E1013" t="s">
        <v>42</v>
      </c>
      <c r="F1013" t="s">
        <v>103</v>
      </c>
      <c r="G1013" t="s">
        <v>592</v>
      </c>
      <c r="H1013" t="str">
        <f>TEXT(walmart[[#This Row],[Purchase_Date]],"DDD")</f>
        <v>Thu</v>
      </c>
      <c r="I1013" t="str">
        <f>TEXT(walmart[[#This Row],[Purchase_Date]],"MMM")</f>
        <v>Jan</v>
      </c>
      <c r="J1013" t="str">
        <f>TEXT(walmart[[#This Row],[Purchase_Date]],"YYY")</f>
        <v>2025</v>
      </c>
      <c r="K1013" s="3">
        <v>315.56</v>
      </c>
      <c r="L1013" t="str">
        <f t="shared" si="75"/>
        <v>5% off</v>
      </c>
      <c r="N1013" t="str">
        <f t="shared" si="77"/>
        <v>Yes</v>
      </c>
      <c r="O1013" t="s">
        <v>21</v>
      </c>
      <c r="P1013" s="3">
        <f t="shared" si="78"/>
        <v>315.56</v>
      </c>
      <c r="Q1013" t="s">
        <v>22</v>
      </c>
      <c r="R1013">
        <v>2</v>
      </c>
      <c r="S1013" t="str">
        <f t="shared" si="79"/>
        <v>Poor</v>
      </c>
    </row>
    <row r="1014" spans="1:19" x14ac:dyDescent="0.25">
      <c r="A1014" t="s">
        <v>1420</v>
      </c>
      <c r="B1014">
        <v>38</v>
      </c>
      <c r="C1014" t="s">
        <v>29</v>
      </c>
      <c r="D1014" t="s">
        <v>2534</v>
      </c>
      <c r="E1014" t="s">
        <v>37</v>
      </c>
      <c r="F1014" t="s">
        <v>117</v>
      </c>
      <c r="G1014" t="s">
        <v>531</v>
      </c>
      <c r="H1014" t="str">
        <f>TEXT(walmart[[#This Row],[Purchase_Date]],"DDD")</f>
        <v>Thu</v>
      </c>
      <c r="I1014" t="str">
        <f>TEXT(walmart[[#This Row],[Purchase_Date]],"MMM")</f>
        <v>Nov</v>
      </c>
      <c r="J1014" t="str">
        <f>TEXT(walmart[[#This Row],[Purchase_Date]],"YYY")</f>
        <v>2024</v>
      </c>
      <c r="K1014" s="3">
        <v>165.68</v>
      </c>
      <c r="L1014" t="str">
        <f t="shared" si="75"/>
        <v>5% off</v>
      </c>
      <c r="N1014" t="str">
        <f t="shared" si="77"/>
        <v>Yes</v>
      </c>
      <c r="O1014" t="s">
        <v>34</v>
      </c>
      <c r="P1014" s="3">
        <f t="shared" si="78"/>
        <v>165.68</v>
      </c>
      <c r="Q1014" t="s">
        <v>27</v>
      </c>
      <c r="R1014">
        <v>1</v>
      </c>
      <c r="S1014" t="str">
        <f t="shared" si="79"/>
        <v>Very Poor</v>
      </c>
    </row>
    <row r="1015" spans="1:19" x14ac:dyDescent="0.25">
      <c r="A1015" t="s">
        <v>1421</v>
      </c>
      <c r="B1015">
        <v>62</v>
      </c>
      <c r="C1015" t="s">
        <v>29</v>
      </c>
      <c r="D1015" t="s">
        <v>2535</v>
      </c>
      <c r="E1015" t="s">
        <v>55</v>
      </c>
      <c r="F1015" t="s">
        <v>56</v>
      </c>
      <c r="G1015" t="s">
        <v>550</v>
      </c>
      <c r="H1015" t="str">
        <f>TEXT(walmart[[#This Row],[Purchase_Date]],"DDD")</f>
        <v>Sun</v>
      </c>
      <c r="I1015" t="str">
        <f>TEXT(walmart[[#This Row],[Purchase_Date]],"MMM")</f>
        <v>May</v>
      </c>
      <c r="J1015" t="str">
        <f>TEXT(walmart[[#This Row],[Purchase_Date]],"YYY")</f>
        <v>2024</v>
      </c>
      <c r="K1015" s="3">
        <v>76.81</v>
      </c>
      <c r="L1015" t="str">
        <f t="shared" si="75"/>
        <v>0% off</v>
      </c>
      <c r="N1015" t="str">
        <f t="shared" si="77"/>
        <v>No</v>
      </c>
      <c r="O1015" t="s">
        <v>34</v>
      </c>
      <c r="P1015" s="3">
        <f t="shared" si="78"/>
        <v>76.81</v>
      </c>
      <c r="Q1015" t="s">
        <v>27</v>
      </c>
      <c r="R1015">
        <v>1</v>
      </c>
      <c r="S1015" t="str">
        <f t="shared" si="79"/>
        <v>Very Poor</v>
      </c>
    </row>
    <row r="1016" spans="1:19" x14ac:dyDescent="0.25">
      <c r="A1016" t="s">
        <v>1422</v>
      </c>
      <c r="B1016">
        <v>28</v>
      </c>
      <c r="C1016" t="s">
        <v>29</v>
      </c>
      <c r="D1016" t="s">
        <v>2518</v>
      </c>
      <c r="E1016" t="s">
        <v>42</v>
      </c>
      <c r="F1016" t="s">
        <v>43</v>
      </c>
      <c r="G1016" t="s">
        <v>607</v>
      </c>
      <c r="H1016" t="str">
        <f>TEXT(walmart[[#This Row],[Purchase_Date]],"DDD")</f>
        <v>Wed</v>
      </c>
      <c r="I1016" t="str">
        <f>TEXT(walmart[[#This Row],[Purchase_Date]],"MMM")</f>
        <v>Oct</v>
      </c>
      <c r="J1016" t="str">
        <f>TEXT(walmart[[#This Row],[Purchase_Date]],"YYY")</f>
        <v>2024</v>
      </c>
      <c r="K1016" s="3">
        <v>512.94000000000005</v>
      </c>
      <c r="L1016" t="str">
        <f t="shared" si="75"/>
        <v>10% off</v>
      </c>
      <c r="N1016" t="str">
        <f t="shared" si="77"/>
        <v>Yes</v>
      </c>
      <c r="O1016" t="s">
        <v>21</v>
      </c>
      <c r="P1016" s="3">
        <f t="shared" si="78"/>
        <v>512.94000000000005</v>
      </c>
      <c r="Q1016" t="s">
        <v>35</v>
      </c>
      <c r="R1016">
        <v>2</v>
      </c>
      <c r="S1016" t="str">
        <f t="shared" si="79"/>
        <v>Poor</v>
      </c>
    </row>
    <row r="1017" spans="1:19" x14ac:dyDescent="0.25">
      <c r="A1017" t="s">
        <v>1423</v>
      </c>
      <c r="B1017">
        <v>26</v>
      </c>
      <c r="C1017" t="s">
        <v>29</v>
      </c>
      <c r="D1017" t="s">
        <v>2536</v>
      </c>
      <c r="E1017" t="s">
        <v>31</v>
      </c>
      <c r="F1017" t="s">
        <v>112</v>
      </c>
      <c r="G1017" t="s">
        <v>140</v>
      </c>
      <c r="H1017" t="str">
        <f>TEXT(walmart[[#This Row],[Purchase_Date]],"DDD")</f>
        <v>Sun</v>
      </c>
      <c r="I1017" t="str">
        <f>TEXT(walmart[[#This Row],[Purchase_Date]],"MMM")</f>
        <v>Mar</v>
      </c>
      <c r="J1017" t="str">
        <f>TEXT(walmart[[#This Row],[Purchase_Date]],"YYY")</f>
        <v>2025</v>
      </c>
      <c r="K1017" s="3">
        <v>492.1</v>
      </c>
      <c r="L1017" t="str">
        <f t="shared" si="75"/>
        <v>5% off</v>
      </c>
      <c r="N1017" t="str">
        <f t="shared" si="77"/>
        <v>Yes</v>
      </c>
      <c r="O1017" t="s">
        <v>34</v>
      </c>
      <c r="P1017" s="3">
        <f t="shared" si="78"/>
        <v>492.1</v>
      </c>
      <c r="Q1017" t="s">
        <v>22</v>
      </c>
      <c r="R1017">
        <v>5</v>
      </c>
      <c r="S1017" t="str">
        <f t="shared" si="79"/>
        <v>Excellent</v>
      </c>
    </row>
    <row r="1018" spans="1:19" x14ac:dyDescent="0.25">
      <c r="A1018" t="s">
        <v>1424</v>
      </c>
      <c r="B1018">
        <v>41</v>
      </c>
      <c r="C1018" t="s">
        <v>29</v>
      </c>
      <c r="D1018" t="s">
        <v>2537</v>
      </c>
      <c r="E1018" t="s">
        <v>24</v>
      </c>
      <c r="F1018" t="s">
        <v>209</v>
      </c>
      <c r="G1018" t="s">
        <v>197</v>
      </c>
      <c r="H1018" t="str">
        <f>TEXT(walmart[[#This Row],[Purchase_Date]],"DDD")</f>
        <v>Wed</v>
      </c>
      <c r="I1018" t="str">
        <f>TEXT(walmart[[#This Row],[Purchase_Date]],"MMM")</f>
        <v>Feb</v>
      </c>
      <c r="J1018" t="str">
        <f>TEXT(walmart[[#This Row],[Purchase_Date]],"YYY")</f>
        <v>2025</v>
      </c>
      <c r="K1018" s="3">
        <v>775.75</v>
      </c>
      <c r="L1018" t="str">
        <f t="shared" si="75"/>
        <v>15% off</v>
      </c>
      <c r="N1018" t="str">
        <f t="shared" si="77"/>
        <v>Yes</v>
      </c>
      <c r="O1018" t="s">
        <v>21</v>
      </c>
      <c r="P1018" s="3">
        <f t="shared" si="78"/>
        <v>775.75</v>
      </c>
      <c r="Q1018" t="s">
        <v>27</v>
      </c>
      <c r="R1018">
        <v>1</v>
      </c>
      <c r="S1018" t="str">
        <f t="shared" si="79"/>
        <v>Very Poor</v>
      </c>
    </row>
    <row r="1019" spans="1:19" x14ac:dyDescent="0.25">
      <c r="A1019" t="s">
        <v>1425</v>
      </c>
      <c r="B1019">
        <v>40</v>
      </c>
      <c r="C1019" t="s">
        <v>16</v>
      </c>
      <c r="D1019" t="s">
        <v>2538</v>
      </c>
      <c r="E1019" t="s">
        <v>42</v>
      </c>
      <c r="F1019" t="s">
        <v>120</v>
      </c>
      <c r="G1019" t="s">
        <v>1143</v>
      </c>
      <c r="H1019" t="str">
        <f>TEXT(walmart[[#This Row],[Purchase_Date]],"DDD")</f>
        <v>Sat</v>
      </c>
      <c r="I1019" t="str">
        <f>TEXT(walmart[[#This Row],[Purchase_Date]],"MMM")</f>
        <v>Nov</v>
      </c>
      <c r="J1019" t="str">
        <f>TEXT(walmart[[#This Row],[Purchase_Date]],"YYY")</f>
        <v>2024</v>
      </c>
      <c r="K1019" s="3">
        <v>260.77999999999997</v>
      </c>
      <c r="L1019" t="str">
        <f t="shared" si="75"/>
        <v>5% off</v>
      </c>
      <c r="N1019" t="str">
        <f t="shared" si="77"/>
        <v>Yes</v>
      </c>
      <c r="O1019" t="s">
        <v>34</v>
      </c>
      <c r="P1019" s="3">
        <f t="shared" si="78"/>
        <v>260.77999999999997</v>
      </c>
      <c r="Q1019" t="s">
        <v>35</v>
      </c>
      <c r="R1019">
        <v>5</v>
      </c>
      <c r="S1019" t="str">
        <f t="shared" si="79"/>
        <v>Excellent</v>
      </c>
    </row>
    <row r="1020" spans="1:19" x14ac:dyDescent="0.25">
      <c r="A1020" t="s">
        <v>1426</v>
      </c>
      <c r="B1020">
        <v>52</v>
      </c>
      <c r="C1020" t="s">
        <v>16</v>
      </c>
      <c r="D1020" t="s">
        <v>2539</v>
      </c>
      <c r="E1020" t="s">
        <v>37</v>
      </c>
      <c r="F1020" t="s">
        <v>38</v>
      </c>
      <c r="G1020" t="s">
        <v>1175</v>
      </c>
      <c r="H1020" t="str">
        <f>TEXT(walmart[[#This Row],[Purchase_Date]],"DDD")</f>
        <v>Mon</v>
      </c>
      <c r="I1020" t="str">
        <f>TEXT(walmart[[#This Row],[Purchase_Date]],"MMM")</f>
        <v>Jun</v>
      </c>
      <c r="J1020" t="str">
        <f>TEXT(walmart[[#This Row],[Purchase_Date]],"YYY")</f>
        <v>2024</v>
      </c>
      <c r="K1020" s="3">
        <v>211.46</v>
      </c>
      <c r="L1020" t="str">
        <f t="shared" si="75"/>
        <v>5% off</v>
      </c>
      <c r="N1020" t="str">
        <f t="shared" si="77"/>
        <v>Yes</v>
      </c>
      <c r="O1020" t="s">
        <v>21</v>
      </c>
      <c r="P1020" s="3">
        <f t="shared" si="78"/>
        <v>211.46</v>
      </c>
      <c r="Q1020" t="s">
        <v>27</v>
      </c>
      <c r="R1020">
        <v>4</v>
      </c>
      <c r="S1020" t="str">
        <f t="shared" si="79"/>
        <v>Good</v>
      </c>
    </row>
    <row r="1021" spans="1:19" x14ac:dyDescent="0.25">
      <c r="A1021" t="s">
        <v>1427</v>
      </c>
      <c r="B1021">
        <v>66</v>
      </c>
      <c r="C1021" t="s">
        <v>29</v>
      </c>
      <c r="D1021" t="s">
        <v>2540</v>
      </c>
      <c r="E1021" t="s">
        <v>73</v>
      </c>
      <c r="F1021" t="s">
        <v>94</v>
      </c>
      <c r="G1021" t="s">
        <v>1293</v>
      </c>
      <c r="H1021" t="str">
        <f>TEXT(walmart[[#This Row],[Purchase_Date]],"DDD")</f>
        <v>Sun</v>
      </c>
      <c r="I1021" t="str">
        <f>TEXT(walmart[[#This Row],[Purchase_Date]],"MMM")</f>
        <v>Nov</v>
      </c>
      <c r="J1021" t="str">
        <f>TEXT(walmart[[#This Row],[Purchase_Date]],"YYY")</f>
        <v>2024</v>
      </c>
      <c r="K1021" s="3">
        <v>965.09</v>
      </c>
      <c r="L1021" t="str">
        <f t="shared" si="75"/>
        <v>20% off</v>
      </c>
      <c r="N1021" t="str">
        <f t="shared" si="77"/>
        <v>Yes</v>
      </c>
      <c r="O1021" t="s">
        <v>21</v>
      </c>
      <c r="P1021" s="3">
        <f t="shared" si="78"/>
        <v>965.09</v>
      </c>
      <c r="Q1021" t="s">
        <v>47</v>
      </c>
      <c r="R1021">
        <v>2</v>
      </c>
      <c r="S1021" t="str">
        <f t="shared" si="79"/>
        <v>Poor</v>
      </c>
    </row>
    <row r="1022" spans="1:19" x14ac:dyDescent="0.25">
      <c r="A1022" t="s">
        <v>1428</v>
      </c>
      <c r="B1022">
        <v>32</v>
      </c>
      <c r="C1022" t="s">
        <v>16</v>
      </c>
      <c r="D1022" t="s">
        <v>2488</v>
      </c>
      <c r="E1022" t="s">
        <v>73</v>
      </c>
      <c r="F1022" t="s">
        <v>74</v>
      </c>
      <c r="G1022" t="s">
        <v>1429</v>
      </c>
      <c r="H1022" t="str">
        <f>TEXT(walmart[[#This Row],[Purchase_Date]],"DDD")</f>
        <v>Tue</v>
      </c>
      <c r="I1022" t="str">
        <f>TEXT(walmart[[#This Row],[Purchase_Date]],"MMM")</f>
        <v>Apr</v>
      </c>
      <c r="J1022" t="str">
        <f>TEXT(walmart[[#This Row],[Purchase_Date]],"YYY")</f>
        <v>2024</v>
      </c>
      <c r="K1022" s="3">
        <v>782.29</v>
      </c>
      <c r="L1022" t="str">
        <f t="shared" si="75"/>
        <v>15% off</v>
      </c>
      <c r="N1022" t="str">
        <f t="shared" si="77"/>
        <v>Yes</v>
      </c>
      <c r="O1022" t="s">
        <v>21</v>
      </c>
      <c r="P1022" s="3">
        <f t="shared" si="78"/>
        <v>782.29</v>
      </c>
      <c r="Q1022" t="s">
        <v>27</v>
      </c>
      <c r="R1022">
        <v>3</v>
      </c>
      <c r="S1022" t="str">
        <f t="shared" si="79"/>
        <v>Average</v>
      </c>
    </row>
    <row r="1023" spans="1:19" x14ac:dyDescent="0.25">
      <c r="A1023" t="s">
        <v>1430</v>
      </c>
      <c r="B1023">
        <v>23</v>
      </c>
      <c r="C1023" t="s">
        <v>16</v>
      </c>
      <c r="D1023" t="s">
        <v>2541</v>
      </c>
      <c r="E1023" t="s">
        <v>31</v>
      </c>
      <c r="F1023" t="s">
        <v>300</v>
      </c>
      <c r="G1023" t="s">
        <v>457</v>
      </c>
      <c r="H1023" t="str">
        <f>TEXT(walmart[[#This Row],[Purchase_Date]],"DDD")</f>
        <v>Thu</v>
      </c>
      <c r="I1023" t="str">
        <f>TEXT(walmart[[#This Row],[Purchase_Date]],"MMM")</f>
        <v>Apr</v>
      </c>
      <c r="J1023" t="str">
        <f>TEXT(walmart[[#This Row],[Purchase_Date]],"YYY")</f>
        <v>2024</v>
      </c>
      <c r="K1023" s="3">
        <v>340.04</v>
      </c>
      <c r="L1023" t="str">
        <f t="shared" si="75"/>
        <v>5% off</v>
      </c>
      <c r="N1023" t="str">
        <f t="shared" si="77"/>
        <v>Yes</v>
      </c>
      <c r="O1023" t="s">
        <v>34</v>
      </c>
      <c r="P1023" s="3">
        <f t="shared" si="78"/>
        <v>340.04</v>
      </c>
      <c r="Q1023" t="s">
        <v>22</v>
      </c>
      <c r="R1023">
        <v>5</v>
      </c>
      <c r="S1023" t="str">
        <f t="shared" si="79"/>
        <v>Excellent</v>
      </c>
    </row>
    <row r="1024" spans="1:19" x14ac:dyDescent="0.25">
      <c r="A1024" t="s">
        <v>1431</v>
      </c>
      <c r="B1024">
        <v>43</v>
      </c>
      <c r="C1024" t="s">
        <v>29</v>
      </c>
      <c r="D1024" t="s">
        <v>2542</v>
      </c>
      <c r="E1024" t="s">
        <v>24</v>
      </c>
      <c r="F1024" t="s">
        <v>162</v>
      </c>
      <c r="G1024" t="s">
        <v>1432</v>
      </c>
      <c r="H1024" t="str">
        <f>TEXT(walmart[[#This Row],[Purchase_Date]],"DDD")</f>
        <v>Wed</v>
      </c>
      <c r="I1024" t="str">
        <f>TEXT(walmart[[#This Row],[Purchase_Date]],"MMM")</f>
        <v>Jan</v>
      </c>
      <c r="J1024" t="str">
        <f>TEXT(walmart[[#This Row],[Purchase_Date]],"YYY")</f>
        <v>2025</v>
      </c>
      <c r="K1024" s="3">
        <v>362.55</v>
      </c>
      <c r="L1024" t="str">
        <f t="shared" si="75"/>
        <v>5% off</v>
      </c>
      <c r="N1024" t="str">
        <f t="shared" si="77"/>
        <v>Yes</v>
      </c>
      <c r="O1024" t="s">
        <v>34</v>
      </c>
      <c r="P1024" s="3">
        <f t="shared" si="78"/>
        <v>362.55</v>
      </c>
      <c r="Q1024" t="s">
        <v>47</v>
      </c>
      <c r="R1024">
        <v>4</v>
      </c>
      <c r="S1024" t="str">
        <f t="shared" si="79"/>
        <v>Good</v>
      </c>
    </row>
    <row r="1025" spans="1:19" x14ac:dyDescent="0.25">
      <c r="A1025" t="s">
        <v>1433</v>
      </c>
      <c r="B1025">
        <v>41</v>
      </c>
      <c r="C1025" t="s">
        <v>16</v>
      </c>
      <c r="D1025" t="s">
        <v>2543</v>
      </c>
      <c r="E1025" t="s">
        <v>18</v>
      </c>
      <c r="F1025" t="s">
        <v>77</v>
      </c>
      <c r="G1025" t="s">
        <v>329</v>
      </c>
      <c r="H1025" t="str">
        <f>TEXT(walmart[[#This Row],[Purchase_Date]],"DDD")</f>
        <v>Fri</v>
      </c>
      <c r="I1025" t="str">
        <f>TEXT(walmart[[#This Row],[Purchase_Date]],"MMM")</f>
        <v>Jan</v>
      </c>
      <c r="J1025" t="str">
        <f>TEXT(walmart[[#This Row],[Purchase_Date]],"YYY")</f>
        <v>2025</v>
      </c>
      <c r="K1025" s="3">
        <v>116.78</v>
      </c>
      <c r="L1025" t="str">
        <f t="shared" si="75"/>
        <v>0% off</v>
      </c>
      <c r="N1025" t="str">
        <f t="shared" si="77"/>
        <v>No</v>
      </c>
      <c r="O1025" t="s">
        <v>34</v>
      </c>
      <c r="P1025" s="3">
        <f t="shared" si="78"/>
        <v>116.78</v>
      </c>
      <c r="Q1025" t="s">
        <v>22</v>
      </c>
      <c r="R1025">
        <v>3</v>
      </c>
      <c r="S1025" t="str">
        <f t="shared" si="79"/>
        <v>Average</v>
      </c>
    </row>
    <row r="1026" spans="1:19" x14ac:dyDescent="0.25">
      <c r="A1026" t="s">
        <v>1434</v>
      </c>
      <c r="B1026">
        <v>31</v>
      </c>
      <c r="C1026" t="s">
        <v>29</v>
      </c>
      <c r="D1026" t="s">
        <v>2544</v>
      </c>
      <c r="E1026" t="s">
        <v>24</v>
      </c>
      <c r="F1026" t="s">
        <v>209</v>
      </c>
      <c r="G1026" t="s">
        <v>492</v>
      </c>
      <c r="H1026" t="str">
        <f>TEXT(walmart[[#This Row],[Purchase_Date]],"DDD")</f>
        <v>Thu</v>
      </c>
      <c r="I1026" t="str">
        <f>TEXT(walmart[[#This Row],[Purchase_Date]],"MMM")</f>
        <v>Oct</v>
      </c>
      <c r="J1026" t="str">
        <f>TEXT(walmart[[#This Row],[Purchase_Date]],"YYY")</f>
        <v>2024</v>
      </c>
      <c r="K1026" s="3">
        <v>775.75</v>
      </c>
      <c r="L1026" t="str">
        <f t="shared" si="75"/>
        <v>15% off</v>
      </c>
      <c r="N1026" t="str">
        <f t="shared" si="77"/>
        <v>Yes</v>
      </c>
      <c r="O1026" t="s">
        <v>34</v>
      </c>
      <c r="P1026" s="3">
        <f t="shared" si="78"/>
        <v>775.75</v>
      </c>
      <c r="Q1026" t="s">
        <v>35</v>
      </c>
      <c r="R1026">
        <v>5</v>
      </c>
      <c r="S1026" t="str">
        <f t="shared" si="79"/>
        <v>Excellent</v>
      </c>
    </row>
    <row r="1027" spans="1:19" x14ac:dyDescent="0.25">
      <c r="A1027" t="s">
        <v>1435</v>
      </c>
      <c r="B1027">
        <v>69</v>
      </c>
      <c r="C1027" t="s">
        <v>29</v>
      </c>
      <c r="D1027" t="s">
        <v>2545</v>
      </c>
      <c r="E1027" t="s">
        <v>73</v>
      </c>
      <c r="F1027" t="s">
        <v>74</v>
      </c>
      <c r="G1027" t="s">
        <v>130</v>
      </c>
      <c r="H1027" t="str">
        <f>TEXT(walmart[[#This Row],[Purchase_Date]],"DDD")</f>
        <v>Mon</v>
      </c>
      <c r="I1027" t="str">
        <f>TEXT(walmart[[#This Row],[Purchase_Date]],"MMM")</f>
        <v>Nov</v>
      </c>
      <c r="J1027" t="str">
        <f>TEXT(walmart[[#This Row],[Purchase_Date]],"YYY")</f>
        <v>2024</v>
      </c>
      <c r="K1027" s="3">
        <v>782.29</v>
      </c>
      <c r="L1027" t="str">
        <f t="shared" ref="L1027:L1090" si="80">IF(K1027&lt;150,"0% off",IF(K1027&lt;500,"5% off",IF(K1027&lt;700,"10% off",IF(K1027&lt;900,"15% off","20% off"))))</f>
        <v>15% off</v>
      </c>
      <c r="N1027" t="str">
        <f t="shared" ref="N1027:N1090" si="81">IF(L1027="0% off", "No", "Yes")</f>
        <v>Yes</v>
      </c>
      <c r="O1027" t="s">
        <v>21</v>
      </c>
      <c r="P1027" s="3">
        <f t="shared" ref="P1027:P1090" si="82">K1027-M1027</f>
        <v>782.29</v>
      </c>
      <c r="Q1027" t="s">
        <v>47</v>
      </c>
      <c r="R1027">
        <v>3</v>
      </c>
      <c r="S1027" t="str">
        <f t="shared" ref="S1027:S1090" si="83">IF(R1027=5, "Excellent", IF(R1027=4, "Good", IF(R1027=3, "Average", IF(R1027=2, "Poor", IF(R1027=1, "Very Poor", "Invalid Rating")))))</f>
        <v>Average</v>
      </c>
    </row>
    <row r="1028" spans="1:19" x14ac:dyDescent="0.25">
      <c r="A1028" t="s">
        <v>1436</v>
      </c>
      <c r="B1028">
        <v>35</v>
      </c>
      <c r="C1028" t="s">
        <v>29</v>
      </c>
      <c r="D1028" t="s">
        <v>2546</v>
      </c>
      <c r="E1028" t="s">
        <v>73</v>
      </c>
      <c r="F1028" t="s">
        <v>74</v>
      </c>
      <c r="G1028" t="s">
        <v>685</v>
      </c>
      <c r="H1028" t="str">
        <f>TEXT(walmart[[#This Row],[Purchase_Date]],"DDD")</f>
        <v>Fri</v>
      </c>
      <c r="I1028" t="str">
        <f>TEXT(walmart[[#This Row],[Purchase_Date]],"MMM")</f>
        <v>May</v>
      </c>
      <c r="J1028" t="str">
        <f>TEXT(walmart[[#This Row],[Purchase_Date]],"YYY")</f>
        <v>2024</v>
      </c>
      <c r="K1028" s="3">
        <v>782.29</v>
      </c>
      <c r="L1028" t="str">
        <f t="shared" si="80"/>
        <v>15% off</v>
      </c>
      <c r="N1028" t="str">
        <f t="shared" si="81"/>
        <v>Yes</v>
      </c>
      <c r="O1028" t="s">
        <v>21</v>
      </c>
      <c r="P1028" s="3">
        <f t="shared" si="82"/>
        <v>782.29</v>
      </c>
      <c r="Q1028" t="s">
        <v>47</v>
      </c>
      <c r="R1028">
        <v>1</v>
      </c>
      <c r="S1028" t="str">
        <f t="shared" si="83"/>
        <v>Very Poor</v>
      </c>
    </row>
    <row r="1029" spans="1:19" x14ac:dyDescent="0.25">
      <c r="A1029" t="s">
        <v>1437</v>
      </c>
      <c r="B1029">
        <v>37</v>
      </c>
      <c r="C1029" t="s">
        <v>16</v>
      </c>
      <c r="D1029" t="s">
        <v>2547</v>
      </c>
      <c r="E1029" t="s">
        <v>73</v>
      </c>
      <c r="F1029" t="s">
        <v>74</v>
      </c>
      <c r="G1029" t="s">
        <v>470</v>
      </c>
      <c r="H1029" t="str">
        <f>TEXT(walmart[[#This Row],[Purchase_Date]],"DDD")</f>
        <v>Sun</v>
      </c>
      <c r="I1029" t="str">
        <f>TEXT(walmart[[#This Row],[Purchase_Date]],"MMM")</f>
        <v>Sep</v>
      </c>
      <c r="J1029" t="str">
        <f>TEXT(walmart[[#This Row],[Purchase_Date]],"YYY")</f>
        <v>2024</v>
      </c>
      <c r="K1029" s="3">
        <v>782.29</v>
      </c>
      <c r="L1029" t="str">
        <f t="shared" si="80"/>
        <v>15% off</v>
      </c>
      <c r="N1029" t="str">
        <f t="shared" si="81"/>
        <v>Yes</v>
      </c>
      <c r="O1029" t="s">
        <v>21</v>
      </c>
      <c r="P1029" s="3">
        <f t="shared" si="82"/>
        <v>782.29</v>
      </c>
      <c r="Q1029" t="s">
        <v>35</v>
      </c>
      <c r="R1029">
        <v>5</v>
      </c>
      <c r="S1029" t="str">
        <f t="shared" si="83"/>
        <v>Excellent</v>
      </c>
    </row>
    <row r="1030" spans="1:19" x14ac:dyDescent="0.25">
      <c r="A1030" t="s">
        <v>1438</v>
      </c>
      <c r="B1030">
        <v>39</v>
      </c>
      <c r="C1030" t="s">
        <v>16</v>
      </c>
      <c r="D1030" t="s">
        <v>2548</v>
      </c>
      <c r="E1030" t="s">
        <v>73</v>
      </c>
      <c r="F1030" t="s">
        <v>91</v>
      </c>
      <c r="G1030" t="s">
        <v>151</v>
      </c>
      <c r="H1030" t="str">
        <f>TEXT(walmart[[#This Row],[Purchase_Date]],"DDD")</f>
        <v>Mon</v>
      </c>
      <c r="I1030" t="str">
        <f>TEXT(walmart[[#This Row],[Purchase_Date]],"MMM")</f>
        <v>May</v>
      </c>
      <c r="J1030" t="str">
        <f>TEXT(walmart[[#This Row],[Purchase_Date]],"YYY")</f>
        <v>2024</v>
      </c>
      <c r="K1030" s="3">
        <v>418.55</v>
      </c>
      <c r="L1030" t="str">
        <f t="shared" si="80"/>
        <v>5% off</v>
      </c>
      <c r="N1030" t="str">
        <f t="shared" si="81"/>
        <v>Yes</v>
      </c>
      <c r="O1030" t="s">
        <v>21</v>
      </c>
      <c r="P1030" s="3">
        <f t="shared" si="82"/>
        <v>418.55</v>
      </c>
      <c r="Q1030" t="s">
        <v>22</v>
      </c>
      <c r="R1030">
        <v>3</v>
      </c>
      <c r="S1030" t="str">
        <f t="shared" si="83"/>
        <v>Average</v>
      </c>
    </row>
    <row r="1031" spans="1:19" x14ac:dyDescent="0.25">
      <c r="A1031" t="s">
        <v>1439</v>
      </c>
      <c r="B1031">
        <v>69</v>
      </c>
      <c r="C1031" t="s">
        <v>16</v>
      </c>
      <c r="D1031" t="s">
        <v>2549</v>
      </c>
      <c r="E1031" t="s">
        <v>55</v>
      </c>
      <c r="F1031" t="s">
        <v>56</v>
      </c>
      <c r="G1031" t="s">
        <v>315</v>
      </c>
      <c r="H1031" t="str">
        <f>TEXT(walmart[[#This Row],[Purchase_Date]],"DDD")</f>
        <v>Mon</v>
      </c>
      <c r="I1031" t="str">
        <f>TEXT(walmart[[#This Row],[Purchase_Date]],"MMM")</f>
        <v>Apr</v>
      </c>
      <c r="J1031" t="str">
        <f>TEXT(walmart[[#This Row],[Purchase_Date]],"YYY")</f>
        <v>2024</v>
      </c>
      <c r="K1031" s="3">
        <v>76.81</v>
      </c>
      <c r="L1031" t="str">
        <f t="shared" si="80"/>
        <v>0% off</v>
      </c>
      <c r="N1031" t="str">
        <f t="shared" si="81"/>
        <v>No</v>
      </c>
      <c r="O1031" t="s">
        <v>21</v>
      </c>
      <c r="P1031" s="3">
        <f t="shared" si="82"/>
        <v>76.81</v>
      </c>
      <c r="Q1031" t="s">
        <v>22</v>
      </c>
      <c r="R1031">
        <v>3</v>
      </c>
      <c r="S1031" t="str">
        <f t="shared" si="83"/>
        <v>Average</v>
      </c>
    </row>
    <row r="1032" spans="1:19" x14ac:dyDescent="0.25">
      <c r="A1032" t="s">
        <v>1440</v>
      </c>
      <c r="B1032">
        <v>30</v>
      </c>
      <c r="C1032" t="s">
        <v>29</v>
      </c>
      <c r="D1032" t="s">
        <v>2550</v>
      </c>
      <c r="E1032" t="s">
        <v>31</v>
      </c>
      <c r="F1032" t="s">
        <v>169</v>
      </c>
      <c r="G1032" t="s">
        <v>553</v>
      </c>
      <c r="H1032" t="str">
        <f>TEXT(walmart[[#This Row],[Purchase_Date]],"DDD")</f>
        <v>Thu</v>
      </c>
      <c r="I1032" t="str">
        <f>TEXT(walmart[[#This Row],[Purchase_Date]],"MMM")</f>
        <v>Jan</v>
      </c>
      <c r="J1032" t="str">
        <f>TEXT(walmart[[#This Row],[Purchase_Date]],"YYY")</f>
        <v>2025</v>
      </c>
      <c r="K1032" s="3">
        <v>52.44</v>
      </c>
      <c r="L1032" t="str">
        <f t="shared" si="80"/>
        <v>0% off</v>
      </c>
      <c r="N1032" t="str">
        <f t="shared" si="81"/>
        <v>No</v>
      </c>
      <c r="O1032" t="s">
        <v>21</v>
      </c>
      <c r="P1032" s="3">
        <f t="shared" si="82"/>
        <v>52.44</v>
      </c>
      <c r="Q1032" t="s">
        <v>47</v>
      </c>
      <c r="R1032">
        <v>2</v>
      </c>
      <c r="S1032" t="str">
        <f t="shared" si="83"/>
        <v>Poor</v>
      </c>
    </row>
    <row r="1033" spans="1:19" x14ac:dyDescent="0.25">
      <c r="A1033" t="s">
        <v>1441</v>
      </c>
      <c r="B1033">
        <v>66</v>
      </c>
      <c r="C1033" t="s">
        <v>16</v>
      </c>
      <c r="D1033" t="s">
        <v>2551</v>
      </c>
      <c r="E1033" t="s">
        <v>24</v>
      </c>
      <c r="F1033" t="s">
        <v>162</v>
      </c>
      <c r="G1033" t="s">
        <v>588</v>
      </c>
      <c r="H1033" t="str">
        <f>TEXT(walmart[[#This Row],[Purchase_Date]],"DDD")</f>
        <v>Mon</v>
      </c>
      <c r="I1033" t="str">
        <f>TEXT(walmart[[#This Row],[Purchase_Date]],"MMM")</f>
        <v>Mar</v>
      </c>
      <c r="J1033" t="str">
        <f>TEXT(walmart[[#This Row],[Purchase_Date]],"YYY")</f>
        <v>2025</v>
      </c>
      <c r="K1033" s="3">
        <v>362.55</v>
      </c>
      <c r="L1033" t="str">
        <f t="shared" si="80"/>
        <v>5% off</v>
      </c>
      <c r="N1033" t="str">
        <f t="shared" si="81"/>
        <v>Yes</v>
      </c>
      <c r="O1033" t="s">
        <v>34</v>
      </c>
      <c r="P1033" s="3">
        <f t="shared" si="82"/>
        <v>362.55</v>
      </c>
      <c r="Q1033" t="s">
        <v>22</v>
      </c>
      <c r="R1033">
        <v>3</v>
      </c>
      <c r="S1033" t="str">
        <f t="shared" si="83"/>
        <v>Average</v>
      </c>
    </row>
    <row r="1034" spans="1:19" x14ac:dyDescent="0.25">
      <c r="A1034" t="s">
        <v>1442</v>
      </c>
      <c r="B1034">
        <v>52</v>
      </c>
      <c r="C1034" t="s">
        <v>16</v>
      </c>
      <c r="D1034" t="s">
        <v>2552</v>
      </c>
      <c r="E1034" t="s">
        <v>37</v>
      </c>
      <c r="F1034" t="s">
        <v>97</v>
      </c>
      <c r="G1034" t="s">
        <v>480</v>
      </c>
      <c r="H1034" t="str">
        <f>TEXT(walmart[[#This Row],[Purchase_Date]],"DDD")</f>
        <v>Mon</v>
      </c>
      <c r="I1034" t="str">
        <f>TEXT(walmart[[#This Row],[Purchase_Date]],"MMM")</f>
        <v>Oct</v>
      </c>
      <c r="J1034" t="str">
        <f>TEXT(walmart[[#This Row],[Purchase_Date]],"YYY")</f>
        <v>2024</v>
      </c>
      <c r="K1034" s="3">
        <v>855.21</v>
      </c>
      <c r="L1034" t="str">
        <f t="shared" si="80"/>
        <v>15% off</v>
      </c>
      <c r="N1034" t="str">
        <f t="shared" si="81"/>
        <v>Yes</v>
      </c>
      <c r="O1034" t="s">
        <v>34</v>
      </c>
      <c r="P1034" s="3">
        <f t="shared" si="82"/>
        <v>855.21</v>
      </c>
      <c r="Q1034" t="s">
        <v>47</v>
      </c>
      <c r="R1034">
        <v>5</v>
      </c>
      <c r="S1034" t="str">
        <f t="shared" si="83"/>
        <v>Excellent</v>
      </c>
    </row>
    <row r="1035" spans="1:19" x14ac:dyDescent="0.25">
      <c r="A1035" t="s">
        <v>1443</v>
      </c>
      <c r="B1035">
        <v>47</v>
      </c>
      <c r="C1035" t="s">
        <v>16</v>
      </c>
      <c r="D1035" t="s">
        <v>2553</v>
      </c>
      <c r="E1035" t="s">
        <v>55</v>
      </c>
      <c r="F1035" t="s">
        <v>100</v>
      </c>
      <c r="G1035" t="s">
        <v>132</v>
      </c>
      <c r="H1035" t="str">
        <f>TEXT(walmart[[#This Row],[Purchase_Date]],"DDD")</f>
        <v>Fri</v>
      </c>
      <c r="I1035" t="str">
        <f>TEXT(walmart[[#This Row],[Purchase_Date]],"MMM")</f>
        <v>Jul</v>
      </c>
      <c r="J1035" t="str">
        <f>TEXT(walmart[[#This Row],[Purchase_Date]],"YYY")</f>
        <v>2024</v>
      </c>
      <c r="K1035" s="3">
        <v>592.26</v>
      </c>
      <c r="L1035" t="str">
        <f t="shared" si="80"/>
        <v>10% off</v>
      </c>
      <c r="N1035" t="str">
        <f t="shared" si="81"/>
        <v>Yes</v>
      </c>
      <c r="O1035" t="s">
        <v>21</v>
      </c>
      <c r="P1035" s="3">
        <f t="shared" si="82"/>
        <v>592.26</v>
      </c>
      <c r="Q1035" t="s">
        <v>22</v>
      </c>
      <c r="R1035">
        <v>3</v>
      </c>
      <c r="S1035" t="str">
        <f t="shared" si="83"/>
        <v>Average</v>
      </c>
    </row>
    <row r="1036" spans="1:19" x14ac:dyDescent="0.25">
      <c r="A1036" t="s">
        <v>1444</v>
      </c>
      <c r="B1036">
        <v>51</v>
      </c>
      <c r="C1036" t="s">
        <v>16</v>
      </c>
      <c r="D1036" t="s">
        <v>2554</v>
      </c>
      <c r="E1036" t="s">
        <v>18</v>
      </c>
      <c r="F1036" t="s">
        <v>77</v>
      </c>
      <c r="G1036" t="s">
        <v>827</v>
      </c>
      <c r="H1036" t="str">
        <f>TEXT(walmart[[#This Row],[Purchase_Date]],"DDD")</f>
        <v>Mon</v>
      </c>
      <c r="I1036" t="str">
        <f>TEXT(walmart[[#This Row],[Purchase_Date]],"MMM")</f>
        <v>Dec</v>
      </c>
      <c r="J1036" t="str">
        <f>TEXT(walmart[[#This Row],[Purchase_Date]],"YYY")</f>
        <v>2024</v>
      </c>
      <c r="K1036" s="3">
        <v>116.78</v>
      </c>
      <c r="L1036" t="str">
        <f t="shared" si="80"/>
        <v>0% off</v>
      </c>
      <c r="N1036" t="str">
        <f t="shared" si="81"/>
        <v>No</v>
      </c>
      <c r="O1036" t="s">
        <v>34</v>
      </c>
      <c r="P1036" s="3">
        <f t="shared" si="82"/>
        <v>116.78</v>
      </c>
      <c r="Q1036" t="s">
        <v>35</v>
      </c>
      <c r="R1036">
        <v>2</v>
      </c>
      <c r="S1036" t="str">
        <f t="shared" si="83"/>
        <v>Poor</v>
      </c>
    </row>
    <row r="1037" spans="1:19" x14ac:dyDescent="0.25">
      <c r="A1037" t="s">
        <v>1445</v>
      </c>
      <c r="B1037">
        <v>43</v>
      </c>
      <c r="C1037" t="s">
        <v>16</v>
      </c>
      <c r="D1037" t="s">
        <v>2555</v>
      </c>
      <c r="E1037" t="s">
        <v>37</v>
      </c>
      <c r="F1037" t="s">
        <v>117</v>
      </c>
      <c r="G1037" t="s">
        <v>393</v>
      </c>
      <c r="H1037" t="str">
        <f>TEXT(walmart[[#This Row],[Purchase_Date]],"DDD")</f>
        <v>Mon</v>
      </c>
      <c r="I1037" t="str">
        <f>TEXT(walmart[[#This Row],[Purchase_Date]],"MMM")</f>
        <v>Oct</v>
      </c>
      <c r="J1037" t="str">
        <f>TEXT(walmart[[#This Row],[Purchase_Date]],"YYY")</f>
        <v>2024</v>
      </c>
      <c r="K1037" s="3">
        <v>165.68</v>
      </c>
      <c r="L1037" t="str">
        <f t="shared" si="80"/>
        <v>5% off</v>
      </c>
      <c r="N1037" t="str">
        <f t="shared" si="81"/>
        <v>Yes</v>
      </c>
      <c r="O1037" t="s">
        <v>21</v>
      </c>
      <c r="P1037" s="3">
        <f t="shared" si="82"/>
        <v>165.68</v>
      </c>
      <c r="Q1037" t="s">
        <v>22</v>
      </c>
      <c r="R1037">
        <v>5</v>
      </c>
      <c r="S1037" t="str">
        <f t="shared" si="83"/>
        <v>Excellent</v>
      </c>
    </row>
    <row r="1038" spans="1:19" x14ac:dyDescent="0.25">
      <c r="A1038" t="s">
        <v>1446</v>
      </c>
      <c r="B1038">
        <v>21</v>
      </c>
      <c r="C1038" t="s">
        <v>29</v>
      </c>
      <c r="D1038" t="s">
        <v>2556</v>
      </c>
      <c r="E1038" t="s">
        <v>73</v>
      </c>
      <c r="F1038" t="s">
        <v>74</v>
      </c>
      <c r="G1038" t="s">
        <v>254</v>
      </c>
      <c r="H1038" t="str">
        <f>TEXT(walmart[[#This Row],[Purchase_Date]],"DDD")</f>
        <v>Fri</v>
      </c>
      <c r="I1038" t="str">
        <f>TEXT(walmart[[#This Row],[Purchase_Date]],"MMM")</f>
        <v>Mar</v>
      </c>
      <c r="J1038" t="str">
        <f>TEXT(walmart[[#This Row],[Purchase_Date]],"YYY")</f>
        <v>2025</v>
      </c>
      <c r="K1038" s="3">
        <v>782.29</v>
      </c>
      <c r="L1038" t="str">
        <f t="shared" si="80"/>
        <v>15% off</v>
      </c>
      <c r="N1038" t="str">
        <f t="shared" si="81"/>
        <v>Yes</v>
      </c>
      <c r="O1038" t="s">
        <v>21</v>
      </c>
      <c r="P1038" s="3">
        <f t="shared" si="82"/>
        <v>782.29</v>
      </c>
      <c r="Q1038" t="s">
        <v>35</v>
      </c>
      <c r="R1038">
        <v>3</v>
      </c>
      <c r="S1038" t="str">
        <f t="shared" si="83"/>
        <v>Average</v>
      </c>
    </row>
    <row r="1039" spans="1:19" x14ac:dyDescent="0.25">
      <c r="A1039" t="s">
        <v>1447</v>
      </c>
      <c r="B1039">
        <v>20</v>
      </c>
      <c r="C1039" t="s">
        <v>16</v>
      </c>
      <c r="D1039" t="s">
        <v>2557</v>
      </c>
      <c r="E1039" t="s">
        <v>31</v>
      </c>
      <c r="F1039" t="s">
        <v>32</v>
      </c>
      <c r="G1039" t="s">
        <v>1251</v>
      </c>
      <c r="H1039" t="str">
        <f>TEXT(walmart[[#This Row],[Purchase_Date]],"DDD")</f>
        <v>Wed</v>
      </c>
      <c r="I1039" t="str">
        <f>TEXT(walmart[[#This Row],[Purchase_Date]],"MMM")</f>
        <v>Mar</v>
      </c>
      <c r="J1039" t="str">
        <f>TEXT(walmart[[#This Row],[Purchase_Date]],"YYY")</f>
        <v>2025</v>
      </c>
      <c r="K1039" s="3">
        <v>493.96</v>
      </c>
      <c r="L1039" t="str">
        <f t="shared" si="80"/>
        <v>5% off</v>
      </c>
      <c r="N1039" t="str">
        <f t="shared" si="81"/>
        <v>Yes</v>
      </c>
      <c r="O1039" t="s">
        <v>34</v>
      </c>
      <c r="P1039" s="3">
        <f t="shared" si="82"/>
        <v>493.96</v>
      </c>
      <c r="Q1039" t="s">
        <v>47</v>
      </c>
      <c r="R1039">
        <v>5</v>
      </c>
      <c r="S1039" t="str">
        <f t="shared" si="83"/>
        <v>Excellent</v>
      </c>
    </row>
    <row r="1040" spans="1:19" x14ac:dyDescent="0.25">
      <c r="A1040" t="s">
        <v>1448</v>
      </c>
      <c r="B1040">
        <v>64</v>
      </c>
      <c r="C1040" t="s">
        <v>16</v>
      </c>
      <c r="D1040" t="s">
        <v>2558</v>
      </c>
      <c r="E1040" t="s">
        <v>24</v>
      </c>
      <c r="F1040" t="s">
        <v>186</v>
      </c>
      <c r="G1040" t="s">
        <v>476</v>
      </c>
      <c r="H1040" t="str">
        <f>TEXT(walmart[[#This Row],[Purchase_Date]],"DDD")</f>
        <v>Fri</v>
      </c>
      <c r="I1040" t="str">
        <f>TEXT(walmart[[#This Row],[Purchase_Date]],"MMM")</f>
        <v>Mar</v>
      </c>
      <c r="J1040" t="str">
        <f>TEXT(walmart[[#This Row],[Purchase_Date]],"YYY")</f>
        <v>2025</v>
      </c>
      <c r="K1040" s="3">
        <v>527.16999999999996</v>
      </c>
      <c r="L1040" t="str">
        <f t="shared" si="80"/>
        <v>10% off</v>
      </c>
      <c r="N1040" t="str">
        <f t="shared" si="81"/>
        <v>Yes</v>
      </c>
      <c r="O1040" t="s">
        <v>21</v>
      </c>
      <c r="P1040" s="3">
        <f t="shared" si="82"/>
        <v>527.16999999999996</v>
      </c>
      <c r="Q1040" t="s">
        <v>27</v>
      </c>
      <c r="R1040">
        <v>2</v>
      </c>
      <c r="S1040" t="str">
        <f t="shared" si="83"/>
        <v>Poor</v>
      </c>
    </row>
    <row r="1041" spans="1:19" x14ac:dyDescent="0.25">
      <c r="A1041" t="s">
        <v>1449</v>
      </c>
      <c r="B1041">
        <v>56</v>
      </c>
      <c r="C1041" t="s">
        <v>16</v>
      </c>
      <c r="D1041" t="s">
        <v>2559</v>
      </c>
      <c r="E1041" t="s">
        <v>37</v>
      </c>
      <c r="F1041" t="s">
        <v>82</v>
      </c>
      <c r="G1041" t="s">
        <v>639</v>
      </c>
      <c r="H1041" t="str">
        <f>TEXT(walmart[[#This Row],[Purchase_Date]],"DDD")</f>
        <v>Fri</v>
      </c>
      <c r="I1041" t="str">
        <f>TEXT(walmart[[#This Row],[Purchase_Date]],"MMM")</f>
        <v>Jun</v>
      </c>
      <c r="J1041" t="str">
        <f>TEXT(walmart[[#This Row],[Purchase_Date]],"YYY")</f>
        <v>2024</v>
      </c>
      <c r="K1041" s="3">
        <v>270.41000000000003</v>
      </c>
      <c r="L1041" t="str">
        <f t="shared" si="80"/>
        <v>5% off</v>
      </c>
      <c r="N1041" t="str">
        <f t="shared" si="81"/>
        <v>Yes</v>
      </c>
      <c r="O1041" t="s">
        <v>21</v>
      </c>
      <c r="P1041" s="3">
        <f t="shared" si="82"/>
        <v>270.41000000000003</v>
      </c>
      <c r="Q1041" t="s">
        <v>27</v>
      </c>
      <c r="R1041">
        <v>1</v>
      </c>
      <c r="S1041" t="str">
        <f t="shared" si="83"/>
        <v>Very Poor</v>
      </c>
    </row>
    <row r="1042" spans="1:19" x14ac:dyDescent="0.25">
      <c r="A1042" t="s">
        <v>1450</v>
      </c>
      <c r="B1042">
        <v>20</v>
      </c>
      <c r="C1042" t="s">
        <v>16</v>
      </c>
      <c r="D1042" t="s">
        <v>2560</v>
      </c>
      <c r="E1042" t="s">
        <v>24</v>
      </c>
      <c r="F1042" t="s">
        <v>186</v>
      </c>
      <c r="G1042" t="s">
        <v>418</v>
      </c>
      <c r="H1042" t="str">
        <f>TEXT(walmart[[#This Row],[Purchase_Date]],"DDD")</f>
        <v>Sat</v>
      </c>
      <c r="I1042" t="str">
        <f>TEXT(walmart[[#This Row],[Purchase_Date]],"MMM")</f>
        <v>Jan</v>
      </c>
      <c r="J1042" t="str">
        <f>TEXT(walmart[[#This Row],[Purchase_Date]],"YYY")</f>
        <v>2025</v>
      </c>
      <c r="K1042" s="3">
        <v>527.16999999999996</v>
      </c>
      <c r="L1042" t="str">
        <f t="shared" si="80"/>
        <v>10% off</v>
      </c>
      <c r="N1042" t="str">
        <f t="shared" si="81"/>
        <v>Yes</v>
      </c>
      <c r="O1042" t="s">
        <v>34</v>
      </c>
      <c r="P1042" s="3">
        <f t="shared" si="82"/>
        <v>527.16999999999996</v>
      </c>
      <c r="Q1042" t="s">
        <v>22</v>
      </c>
      <c r="R1042">
        <v>3</v>
      </c>
      <c r="S1042" t="str">
        <f t="shared" si="83"/>
        <v>Average</v>
      </c>
    </row>
    <row r="1043" spans="1:19" x14ac:dyDescent="0.25">
      <c r="A1043" t="s">
        <v>1451</v>
      </c>
      <c r="B1043">
        <v>55</v>
      </c>
      <c r="C1043" t="s">
        <v>29</v>
      </c>
      <c r="D1043" t="s">
        <v>2561</v>
      </c>
      <c r="E1043" t="s">
        <v>42</v>
      </c>
      <c r="F1043" t="s">
        <v>103</v>
      </c>
      <c r="G1043" t="s">
        <v>212</v>
      </c>
      <c r="H1043" t="str">
        <f>TEXT(walmart[[#This Row],[Purchase_Date]],"DDD")</f>
        <v>Sat</v>
      </c>
      <c r="I1043" t="str">
        <f>TEXT(walmart[[#This Row],[Purchase_Date]],"MMM")</f>
        <v>Aug</v>
      </c>
      <c r="J1043" t="str">
        <f>TEXT(walmart[[#This Row],[Purchase_Date]],"YYY")</f>
        <v>2024</v>
      </c>
      <c r="K1043" s="3">
        <v>315.56</v>
      </c>
      <c r="L1043" t="str">
        <f t="shared" si="80"/>
        <v>5% off</v>
      </c>
      <c r="N1043" t="str">
        <f t="shared" si="81"/>
        <v>Yes</v>
      </c>
      <c r="O1043" t="s">
        <v>34</v>
      </c>
      <c r="P1043" s="3">
        <f t="shared" si="82"/>
        <v>315.56</v>
      </c>
      <c r="Q1043" t="s">
        <v>27</v>
      </c>
      <c r="R1043">
        <v>5</v>
      </c>
      <c r="S1043" t="str">
        <f t="shared" si="83"/>
        <v>Excellent</v>
      </c>
    </row>
    <row r="1044" spans="1:19" x14ac:dyDescent="0.25">
      <c r="A1044" t="s">
        <v>1452</v>
      </c>
      <c r="B1044">
        <v>23</v>
      </c>
      <c r="C1044" t="s">
        <v>29</v>
      </c>
      <c r="D1044" t="s">
        <v>2501</v>
      </c>
      <c r="E1044" t="s">
        <v>55</v>
      </c>
      <c r="F1044" t="s">
        <v>100</v>
      </c>
      <c r="G1044" t="s">
        <v>492</v>
      </c>
      <c r="H1044" t="str">
        <f>TEXT(walmart[[#This Row],[Purchase_Date]],"DDD")</f>
        <v>Thu</v>
      </c>
      <c r="I1044" t="str">
        <f>TEXT(walmart[[#This Row],[Purchase_Date]],"MMM")</f>
        <v>Oct</v>
      </c>
      <c r="J1044" t="str">
        <f>TEXT(walmart[[#This Row],[Purchase_Date]],"YYY")</f>
        <v>2024</v>
      </c>
      <c r="K1044" s="3">
        <v>592.26</v>
      </c>
      <c r="L1044" t="str">
        <f t="shared" si="80"/>
        <v>10% off</v>
      </c>
      <c r="N1044" t="str">
        <f t="shared" si="81"/>
        <v>Yes</v>
      </c>
      <c r="O1044" t="s">
        <v>21</v>
      </c>
      <c r="P1044" s="3">
        <f t="shared" si="82"/>
        <v>592.26</v>
      </c>
      <c r="Q1044" t="s">
        <v>47</v>
      </c>
      <c r="R1044">
        <v>2</v>
      </c>
      <c r="S1044" t="str">
        <f t="shared" si="83"/>
        <v>Poor</v>
      </c>
    </row>
    <row r="1045" spans="1:19" x14ac:dyDescent="0.25">
      <c r="A1045" t="s">
        <v>1453</v>
      </c>
      <c r="B1045">
        <v>20</v>
      </c>
      <c r="C1045" t="s">
        <v>29</v>
      </c>
      <c r="D1045" t="s">
        <v>2504</v>
      </c>
      <c r="E1045" t="s">
        <v>73</v>
      </c>
      <c r="F1045" t="s">
        <v>74</v>
      </c>
      <c r="G1045" t="s">
        <v>1024</v>
      </c>
      <c r="H1045" t="str">
        <f>TEXT(walmart[[#This Row],[Purchase_Date]],"DDD")</f>
        <v>Wed</v>
      </c>
      <c r="I1045" t="str">
        <f>TEXT(walmart[[#This Row],[Purchase_Date]],"MMM")</f>
        <v>May</v>
      </c>
      <c r="J1045" t="str">
        <f>TEXT(walmart[[#This Row],[Purchase_Date]],"YYY")</f>
        <v>2024</v>
      </c>
      <c r="K1045" s="3">
        <v>782.29</v>
      </c>
      <c r="L1045" t="str">
        <f t="shared" si="80"/>
        <v>15% off</v>
      </c>
      <c r="N1045" t="str">
        <f t="shared" si="81"/>
        <v>Yes</v>
      </c>
      <c r="O1045" t="s">
        <v>34</v>
      </c>
      <c r="P1045" s="3">
        <f t="shared" si="82"/>
        <v>782.29</v>
      </c>
      <c r="Q1045" t="s">
        <v>27</v>
      </c>
      <c r="R1045">
        <v>3</v>
      </c>
      <c r="S1045" t="str">
        <f t="shared" si="83"/>
        <v>Average</v>
      </c>
    </row>
    <row r="1046" spans="1:19" x14ac:dyDescent="0.25">
      <c r="A1046" t="s">
        <v>1454</v>
      </c>
      <c r="B1046">
        <v>20</v>
      </c>
      <c r="C1046" t="s">
        <v>29</v>
      </c>
      <c r="D1046" t="s">
        <v>2505</v>
      </c>
      <c r="E1046" t="s">
        <v>42</v>
      </c>
      <c r="F1046" t="s">
        <v>120</v>
      </c>
      <c r="G1046" t="s">
        <v>1010</v>
      </c>
      <c r="H1046" t="str">
        <f>TEXT(walmart[[#This Row],[Purchase_Date]],"DDD")</f>
        <v>Mon</v>
      </c>
      <c r="I1046" t="str">
        <f>TEXT(walmart[[#This Row],[Purchase_Date]],"MMM")</f>
        <v>Aug</v>
      </c>
      <c r="J1046" t="str">
        <f>TEXT(walmart[[#This Row],[Purchase_Date]],"YYY")</f>
        <v>2024</v>
      </c>
      <c r="K1046" s="3">
        <v>260.77999999999997</v>
      </c>
      <c r="L1046" t="str">
        <f t="shared" si="80"/>
        <v>5% off</v>
      </c>
      <c r="N1046" t="str">
        <f t="shared" si="81"/>
        <v>Yes</v>
      </c>
      <c r="O1046" t="s">
        <v>34</v>
      </c>
      <c r="P1046" s="3">
        <f t="shared" si="82"/>
        <v>260.77999999999997</v>
      </c>
      <c r="Q1046" t="s">
        <v>47</v>
      </c>
      <c r="R1046">
        <v>4</v>
      </c>
      <c r="S1046" t="str">
        <f t="shared" si="83"/>
        <v>Good</v>
      </c>
    </row>
    <row r="1047" spans="1:19" x14ac:dyDescent="0.25">
      <c r="A1047" t="s">
        <v>1455</v>
      </c>
      <c r="B1047">
        <v>22</v>
      </c>
      <c r="C1047" t="s">
        <v>16</v>
      </c>
      <c r="D1047" t="s">
        <v>2562</v>
      </c>
      <c r="E1047" t="s">
        <v>42</v>
      </c>
      <c r="F1047" t="s">
        <v>103</v>
      </c>
      <c r="G1047" t="s">
        <v>157</v>
      </c>
      <c r="H1047" t="str">
        <f>TEXT(walmart[[#This Row],[Purchase_Date]],"DDD")</f>
        <v>Mon</v>
      </c>
      <c r="I1047" t="str">
        <f>TEXT(walmart[[#This Row],[Purchase_Date]],"MMM")</f>
        <v>Jun</v>
      </c>
      <c r="J1047" t="str">
        <f>TEXT(walmart[[#This Row],[Purchase_Date]],"YYY")</f>
        <v>2024</v>
      </c>
      <c r="K1047" s="3">
        <v>315.56</v>
      </c>
      <c r="L1047" t="str">
        <f t="shared" si="80"/>
        <v>5% off</v>
      </c>
      <c r="N1047" t="str">
        <f t="shared" si="81"/>
        <v>Yes</v>
      </c>
      <c r="O1047" t="s">
        <v>34</v>
      </c>
      <c r="P1047" s="3">
        <f t="shared" si="82"/>
        <v>315.56</v>
      </c>
      <c r="Q1047" t="s">
        <v>47</v>
      </c>
      <c r="R1047">
        <v>3</v>
      </c>
      <c r="S1047" t="str">
        <f t="shared" si="83"/>
        <v>Average</v>
      </c>
    </row>
    <row r="1048" spans="1:19" x14ac:dyDescent="0.25">
      <c r="A1048" t="s">
        <v>1456</v>
      </c>
      <c r="B1048">
        <v>19</v>
      </c>
      <c r="C1048" t="s">
        <v>16</v>
      </c>
      <c r="D1048" t="s">
        <v>2563</v>
      </c>
      <c r="E1048" t="s">
        <v>73</v>
      </c>
      <c r="F1048" t="s">
        <v>91</v>
      </c>
      <c r="G1048" t="s">
        <v>195</v>
      </c>
      <c r="H1048" t="str">
        <f>TEXT(walmart[[#This Row],[Purchase_Date]],"DDD")</f>
        <v>Thu</v>
      </c>
      <c r="I1048" t="str">
        <f>TEXT(walmart[[#This Row],[Purchase_Date]],"MMM")</f>
        <v>Feb</v>
      </c>
      <c r="J1048" t="str">
        <f>TEXT(walmart[[#This Row],[Purchase_Date]],"YYY")</f>
        <v>2025</v>
      </c>
      <c r="K1048" s="3">
        <v>418.55</v>
      </c>
      <c r="L1048" t="str">
        <f t="shared" si="80"/>
        <v>5% off</v>
      </c>
      <c r="N1048" t="str">
        <f t="shared" si="81"/>
        <v>Yes</v>
      </c>
      <c r="O1048" t="s">
        <v>21</v>
      </c>
      <c r="P1048" s="3">
        <f t="shared" si="82"/>
        <v>418.55</v>
      </c>
      <c r="Q1048" t="s">
        <v>22</v>
      </c>
      <c r="R1048">
        <v>5</v>
      </c>
      <c r="S1048" t="str">
        <f t="shared" si="83"/>
        <v>Excellent</v>
      </c>
    </row>
    <row r="1049" spans="1:19" x14ac:dyDescent="0.25">
      <c r="A1049" t="s">
        <v>1457</v>
      </c>
      <c r="B1049">
        <v>26</v>
      </c>
      <c r="C1049" t="s">
        <v>29</v>
      </c>
      <c r="D1049" t="s">
        <v>2564</v>
      </c>
      <c r="E1049" t="s">
        <v>55</v>
      </c>
      <c r="F1049" t="s">
        <v>67</v>
      </c>
      <c r="G1049" t="s">
        <v>351</v>
      </c>
      <c r="H1049" t="str">
        <f>TEXT(walmart[[#This Row],[Purchase_Date]],"DDD")</f>
        <v>Tue</v>
      </c>
      <c r="I1049" t="str">
        <f>TEXT(walmart[[#This Row],[Purchase_Date]],"MMM")</f>
        <v>Apr</v>
      </c>
      <c r="J1049" t="str">
        <f>TEXT(walmart[[#This Row],[Purchase_Date]],"YYY")</f>
        <v>2024</v>
      </c>
      <c r="K1049" s="3">
        <v>452.97</v>
      </c>
      <c r="L1049" t="str">
        <f t="shared" si="80"/>
        <v>5% off</v>
      </c>
      <c r="N1049" t="str">
        <f t="shared" si="81"/>
        <v>Yes</v>
      </c>
      <c r="O1049" t="s">
        <v>21</v>
      </c>
      <c r="P1049" s="3">
        <f t="shared" si="82"/>
        <v>452.97</v>
      </c>
      <c r="Q1049" t="s">
        <v>27</v>
      </c>
      <c r="R1049">
        <v>1</v>
      </c>
      <c r="S1049" t="str">
        <f t="shared" si="83"/>
        <v>Very Poor</v>
      </c>
    </row>
    <row r="1050" spans="1:19" x14ac:dyDescent="0.25">
      <c r="A1050" t="s">
        <v>1458</v>
      </c>
      <c r="B1050">
        <v>67</v>
      </c>
      <c r="C1050" t="s">
        <v>29</v>
      </c>
      <c r="D1050" t="s">
        <v>2565</v>
      </c>
      <c r="E1050" t="s">
        <v>24</v>
      </c>
      <c r="F1050" t="s">
        <v>186</v>
      </c>
      <c r="G1050" t="s">
        <v>630</v>
      </c>
      <c r="H1050" t="str">
        <f>TEXT(walmart[[#This Row],[Purchase_Date]],"DDD")</f>
        <v>Tue</v>
      </c>
      <c r="I1050" t="str">
        <f>TEXT(walmart[[#This Row],[Purchase_Date]],"MMM")</f>
        <v>Mar</v>
      </c>
      <c r="J1050" t="str">
        <f>TEXT(walmart[[#This Row],[Purchase_Date]],"YYY")</f>
        <v>2025</v>
      </c>
      <c r="K1050" s="3">
        <v>527.16999999999996</v>
      </c>
      <c r="L1050" t="str">
        <f t="shared" si="80"/>
        <v>10% off</v>
      </c>
      <c r="N1050" t="str">
        <f t="shared" si="81"/>
        <v>Yes</v>
      </c>
      <c r="O1050" t="s">
        <v>34</v>
      </c>
      <c r="P1050" s="3">
        <f t="shared" si="82"/>
        <v>527.16999999999996</v>
      </c>
      <c r="Q1050" t="s">
        <v>22</v>
      </c>
      <c r="R1050">
        <v>2</v>
      </c>
      <c r="S1050" t="str">
        <f t="shared" si="83"/>
        <v>Poor</v>
      </c>
    </row>
    <row r="1051" spans="1:19" x14ac:dyDescent="0.25">
      <c r="A1051" t="s">
        <v>1459</v>
      </c>
      <c r="B1051">
        <v>55</v>
      </c>
      <c r="C1051" t="s">
        <v>29</v>
      </c>
      <c r="D1051" t="s">
        <v>2566</v>
      </c>
      <c r="E1051" t="s">
        <v>42</v>
      </c>
      <c r="F1051" t="s">
        <v>120</v>
      </c>
      <c r="G1051" t="s">
        <v>1291</v>
      </c>
      <c r="H1051" t="str">
        <f>TEXT(walmart[[#This Row],[Purchase_Date]],"DDD")</f>
        <v>Sat</v>
      </c>
      <c r="I1051" t="str">
        <f>TEXT(walmart[[#This Row],[Purchase_Date]],"MMM")</f>
        <v>Oct</v>
      </c>
      <c r="J1051" t="str">
        <f>TEXT(walmart[[#This Row],[Purchase_Date]],"YYY")</f>
        <v>2024</v>
      </c>
      <c r="K1051" s="3">
        <v>260.77999999999997</v>
      </c>
      <c r="L1051" t="str">
        <f t="shared" si="80"/>
        <v>5% off</v>
      </c>
      <c r="N1051" t="str">
        <f t="shared" si="81"/>
        <v>Yes</v>
      </c>
      <c r="O1051" t="s">
        <v>34</v>
      </c>
      <c r="P1051" s="3">
        <f t="shared" si="82"/>
        <v>260.77999999999997</v>
      </c>
      <c r="Q1051" t="s">
        <v>27</v>
      </c>
      <c r="R1051">
        <v>2</v>
      </c>
      <c r="S1051" t="str">
        <f t="shared" si="83"/>
        <v>Poor</v>
      </c>
    </row>
    <row r="1052" spans="1:19" x14ac:dyDescent="0.25">
      <c r="A1052" t="s">
        <v>1460</v>
      </c>
      <c r="B1052">
        <v>66</v>
      </c>
      <c r="C1052" t="s">
        <v>16</v>
      </c>
      <c r="D1052" t="s">
        <v>2433</v>
      </c>
      <c r="E1052" t="s">
        <v>55</v>
      </c>
      <c r="F1052" t="s">
        <v>67</v>
      </c>
      <c r="G1052" t="s">
        <v>126</v>
      </c>
      <c r="H1052" t="str">
        <f>TEXT(walmart[[#This Row],[Purchase_Date]],"DDD")</f>
        <v>Sat</v>
      </c>
      <c r="I1052" t="str">
        <f>TEXT(walmart[[#This Row],[Purchase_Date]],"MMM")</f>
        <v>Oct</v>
      </c>
      <c r="J1052" t="str">
        <f>TEXT(walmart[[#This Row],[Purchase_Date]],"YYY")</f>
        <v>2024</v>
      </c>
      <c r="K1052" s="3">
        <v>452.97</v>
      </c>
      <c r="L1052" t="str">
        <f t="shared" si="80"/>
        <v>5% off</v>
      </c>
      <c r="N1052" t="str">
        <f t="shared" si="81"/>
        <v>Yes</v>
      </c>
      <c r="O1052" t="s">
        <v>21</v>
      </c>
      <c r="P1052" s="3">
        <f t="shared" si="82"/>
        <v>452.97</v>
      </c>
      <c r="Q1052" t="s">
        <v>22</v>
      </c>
      <c r="R1052">
        <v>2</v>
      </c>
      <c r="S1052" t="str">
        <f t="shared" si="83"/>
        <v>Poor</v>
      </c>
    </row>
    <row r="1053" spans="1:19" x14ac:dyDescent="0.25">
      <c r="A1053" t="s">
        <v>1461</v>
      </c>
      <c r="B1053">
        <v>53</v>
      </c>
      <c r="C1053" t="s">
        <v>16</v>
      </c>
      <c r="D1053" t="s">
        <v>49</v>
      </c>
      <c r="E1053" t="s">
        <v>37</v>
      </c>
      <c r="F1053" t="s">
        <v>97</v>
      </c>
      <c r="G1053" t="s">
        <v>612</v>
      </c>
      <c r="H1053" t="str">
        <f>TEXT(walmart[[#This Row],[Purchase_Date]],"DDD")</f>
        <v>Fri</v>
      </c>
      <c r="I1053" t="str">
        <f>TEXT(walmart[[#This Row],[Purchase_Date]],"MMM")</f>
        <v>Apr</v>
      </c>
      <c r="J1053" t="str">
        <f>TEXT(walmart[[#This Row],[Purchase_Date]],"YYY")</f>
        <v>2024</v>
      </c>
      <c r="K1053" s="3">
        <v>855.21</v>
      </c>
      <c r="L1053" t="str">
        <f t="shared" si="80"/>
        <v>15% off</v>
      </c>
      <c r="N1053" t="str">
        <f t="shared" si="81"/>
        <v>Yes</v>
      </c>
      <c r="O1053" t="s">
        <v>21</v>
      </c>
      <c r="P1053" s="3">
        <f t="shared" si="82"/>
        <v>855.21</v>
      </c>
      <c r="Q1053" t="s">
        <v>35</v>
      </c>
      <c r="R1053">
        <v>3</v>
      </c>
      <c r="S1053" t="str">
        <f t="shared" si="83"/>
        <v>Average</v>
      </c>
    </row>
    <row r="1054" spans="1:19" x14ac:dyDescent="0.25">
      <c r="A1054" t="s">
        <v>1462</v>
      </c>
      <c r="B1054">
        <v>20</v>
      </c>
      <c r="C1054" t="s">
        <v>16</v>
      </c>
      <c r="D1054" t="s">
        <v>30</v>
      </c>
      <c r="E1054" t="s">
        <v>18</v>
      </c>
      <c r="F1054" t="s">
        <v>142</v>
      </c>
      <c r="G1054" t="s">
        <v>827</v>
      </c>
      <c r="H1054" t="str">
        <f>TEXT(walmart[[#This Row],[Purchase_Date]],"DDD")</f>
        <v>Mon</v>
      </c>
      <c r="I1054" t="str">
        <f>TEXT(walmart[[#This Row],[Purchase_Date]],"MMM")</f>
        <v>Dec</v>
      </c>
      <c r="J1054" t="str">
        <f>TEXT(walmart[[#This Row],[Purchase_Date]],"YYY")</f>
        <v>2024</v>
      </c>
      <c r="K1054" s="3">
        <v>485.26</v>
      </c>
      <c r="L1054" t="str">
        <f t="shared" si="80"/>
        <v>5% off</v>
      </c>
      <c r="N1054" t="str">
        <f t="shared" si="81"/>
        <v>Yes</v>
      </c>
      <c r="O1054" t="s">
        <v>34</v>
      </c>
      <c r="P1054" s="3">
        <f t="shared" si="82"/>
        <v>485.26</v>
      </c>
      <c r="Q1054" t="s">
        <v>35</v>
      </c>
      <c r="R1054">
        <v>3</v>
      </c>
      <c r="S1054" t="str">
        <f t="shared" si="83"/>
        <v>Average</v>
      </c>
    </row>
    <row r="1055" spans="1:19" x14ac:dyDescent="0.25">
      <c r="A1055" t="s">
        <v>1463</v>
      </c>
      <c r="B1055">
        <v>30</v>
      </c>
      <c r="C1055" t="s">
        <v>16</v>
      </c>
      <c r="D1055" t="s">
        <v>41</v>
      </c>
      <c r="E1055" t="s">
        <v>37</v>
      </c>
      <c r="F1055" t="s">
        <v>38</v>
      </c>
      <c r="G1055" t="s">
        <v>357</v>
      </c>
      <c r="H1055" t="str">
        <f>TEXT(walmart[[#This Row],[Purchase_Date]],"DDD")</f>
        <v>Fri</v>
      </c>
      <c r="I1055" t="str">
        <f>TEXT(walmart[[#This Row],[Purchase_Date]],"MMM")</f>
        <v>Nov</v>
      </c>
      <c r="J1055" t="str">
        <f>TEXT(walmart[[#This Row],[Purchase_Date]],"YYY")</f>
        <v>2024</v>
      </c>
      <c r="K1055" s="3">
        <v>211.46</v>
      </c>
      <c r="L1055" t="str">
        <f t="shared" si="80"/>
        <v>5% off</v>
      </c>
      <c r="N1055" t="str">
        <f t="shared" si="81"/>
        <v>Yes</v>
      </c>
      <c r="O1055" t="s">
        <v>34</v>
      </c>
      <c r="P1055" s="3">
        <f t="shared" si="82"/>
        <v>211.46</v>
      </c>
      <c r="Q1055" t="s">
        <v>22</v>
      </c>
      <c r="R1055">
        <v>3</v>
      </c>
      <c r="S1055" t="str">
        <f t="shared" si="83"/>
        <v>Average</v>
      </c>
    </row>
    <row r="1056" spans="1:19" x14ac:dyDescent="0.25">
      <c r="A1056" t="s">
        <v>1464</v>
      </c>
      <c r="B1056">
        <v>52</v>
      </c>
      <c r="C1056" t="s">
        <v>16</v>
      </c>
      <c r="D1056" t="s">
        <v>2434</v>
      </c>
      <c r="E1056" t="s">
        <v>37</v>
      </c>
      <c r="F1056" t="s">
        <v>97</v>
      </c>
      <c r="G1056" t="s">
        <v>44</v>
      </c>
      <c r="H1056" t="str">
        <f>TEXT(walmart[[#This Row],[Purchase_Date]],"DDD")</f>
        <v>Fri</v>
      </c>
      <c r="I1056" t="str">
        <f>TEXT(walmart[[#This Row],[Purchase_Date]],"MMM")</f>
        <v>Aug</v>
      </c>
      <c r="J1056" t="str">
        <f>TEXT(walmart[[#This Row],[Purchase_Date]],"YYY")</f>
        <v>2024</v>
      </c>
      <c r="K1056" s="3">
        <v>855.21</v>
      </c>
      <c r="L1056" t="str">
        <f t="shared" si="80"/>
        <v>15% off</v>
      </c>
      <c r="N1056" t="str">
        <f t="shared" si="81"/>
        <v>Yes</v>
      </c>
      <c r="O1056" t="s">
        <v>34</v>
      </c>
      <c r="P1056" s="3">
        <f t="shared" si="82"/>
        <v>855.21</v>
      </c>
      <c r="Q1056" t="s">
        <v>47</v>
      </c>
      <c r="R1056">
        <v>1</v>
      </c>
      <c r="S1056" t="str">
        <f t="shared" si="83"/>
        <v>Very Poor</v>
      </c>
    </row>
    <row r="1057" spans="1:19" x14ac:dyDescent="0.25">
      <c r="A1057" t="s">
        <v>1465</v>
      </c>
      <c r="B1057">
        <v>35</v>
      </c>
      <c r="C1057" t="s">
        <v>29</v>
      </c>
      <c r="D1057" t="s">
        <v>2435</v>
      </c>
      <c r="E1057" t="s">
        <v>18</v>
      </c>
      <c r="F1057" t="s">
        <v>19</v>
      </c>
      <c r="G1057" t="s">
        <v>252</v>
      </c>
      <c r="H1057" t="str">
        <f>TEXT(walmart[[#This Row],[Purchase_Date]],"DDD")</f>
        <v>Tue</v>
      </c>
      <c r="I1057" t="str">
        <f>TEXT(walmart[[#This Row],[Purchase_Date]],"MMM")</f>
        <v>Jun</v>
      </c>
      <c r="J1057" t="str">
        <f>TEXT(walmart[[#This Row],[Purchase_Date]],"YYY")</f>
        <v>2024</v>
      </c>
      <c r="K1057" s="3">
        <v>697.86</v>
      </c>
      <c r="L1057" t="str">
        <f t="shared" si="80"/>
        <v>10% off</v>
      </c>
      <c r="N1057" t="str">
        <f t="shared" si="81"/>
        <v>Yes</v>
      </c>
      <c r="O1057" t="s">
        <v>34</v>
      </c>
      <c r="P1057" s="3">
        <f t="shared" si="82"/>
        <v>697.86</v>
      </c>
      <c r="Q1057" t="s">
        <v>27</v>
      </c>
      <c r="R1057">
        <v>5</v>
      </c>
      <c r="S1057" t="str">
        <f t="shared" si="83"/>
        <v>Excellent</v>
      </c>
    </row>
    <row r="1058" spans="1:19" x14ac:dyDescent="0.25">
      <c r="A1058" t="s">
        <v>1466</v>
      </c>
      <c r="B1058">
        <v>32</v>
      </c>
      <c r="C1058" t="s">
        <v>16</v>
      </c>
      <c r="D1058" t="s">
        <v>2436</v>
      </c>
      <c r="E1058" t="s">
        <v>55</v>
      </c>
      <c r="F1058" t="s">
        <v>56</v>
      </c>
      <c r="G1058" t="s">
        <v>62</v>
      </c>
      <c r="H1058" t="str">
        <f>TEXT(walmart[[#This Row],[Purchase_Date]],"DDD")</f>
        <v>Sun</v>
      </c>
      <c r="I1058" t="str">
        <f>TEXT(walmart[[#This Row],[Purchase_Date]],"MMM")</f>
        <v>Aug</v>
      </c>
      <c r="J1058" t="str">
        <f>TEXT(walmart[[#This Row],[Purchase_Date]],"YYY")</f>
        <v>2024</v>
      </c>
      <c r="K1058" s="3">
        <v>76.81</v>
      </c>
      <c r="L1058" t="str">
        <f t="shared" si="80"/>
        <v>0% off</v>
      </c>
      <c r="N1058" t="str">
        <f t="shared" si="81"/>
        <v>No</v>
      </c>
      <c r="O1058" t="s">
        <v>34</v>
      </c>
      <c r="P1058" s="3">
        <f t="shared" si="82"/>
        <v>76.81</v>
      </c>
      <c r="Q1058" t="s">
        <v>27</v>
      </c>
      <c r="R1058">
        <v>5</v>
      </c>
      <c r="S1058" t="str">
        <f t="shared" si="83"/>
        <v>Excellent</v>
      </c>
    </row>
    <row r="1059" spans="1:19" x14ac:dyDescent="0.25">
      <c r="A1059" t="s">
        <v>1467</v>
      </c>
      <c r="B1059">
        <v>40</v>
      </c>
      <c r="C1059" t="s">
        <v>29</v>
      </c>
      <c r="D1059" t="s">
        <v>2437</v>
      </c>
      <c r="E1059" t="s">
        <v>31</v>
      </c>
      <c r="F1059" t="s">
        <v>112</v>
      </c>
      <c r="G1059" t="s">
        <v>69</v>
      </c>
      <c r="H1059" t="str">
        <f>TEXT(walmart[[#This Row],[Purchase_Date]],"DDD")</f>
        <v>Wed</v>
      </c>
      <c r="I1059" t="str">
        <f>TEXT(walmart[[#This Row],[Purchase_Date]],"MMM")</f>
        <v>Dec</v>
      </c>
      <c r="J1059" t="str">
        <f>TEXT(walmart[[#This Row],[Purchase_Date]],"YYY")</f>
        <v>2024</v>
      </c>
      <c r="K1059" s="3">
        <v>492.1</v>
      </c>
      <c r="L1059" t="str">
        <f t="shared" si="80"/>
        <v>5% off</v>
      </c>
      <c r="N1059" t="str">
        <f t="shared" si="81"/>
        <v>Yes</v>
      </c>
      <c r="O1059" t="s">
        <v>21</v>
      </c>
      <c r="P1059" s="3">
        <f t="shared" si="82"/>
        <v>492.1</v>
      </c>
      <c r="Q1059" t="s">
        <v>35</v>
      </c>
      <c r="R1059">
        <v>1</v>
      </c>
      <c r="S1059" t="str">
        <f t="shared" si="83"/>
        <v>Very Poor</v>
      </c>
    </row>
    <row r="1060" spans="1:19" x14ac:dyDescent="0.25">
      <c r="A1060" t="s">
        <v>1468</v>
      </c>
      <c r="B1060">
        <v>41</v>
      </c>
      <c r="C1060" t="s">
        <v>29</v>
      </c>
      <c r="D1060" t="s">
        <v>2438</v>
      </c>
      <c r="E1060" t="s">
        <v>18</v>
      </c>
      <c r="F1060" t="s">
        <v>77</v>
      </c>
      <c r="G1060" t="s">
        <v>704</v>
      </c>
      <c r="H1060" t="str">
        <f>TEXT(walmart[[#This Row],[Purchase_Date]],"DDD")</f>
        <v>Wed</v>
      </c>
      <c r="I1060" t="str">
        <f>TEXT(walmart[[#This Row],[Purchase_Date]],"MMM")</f>
        <v>Jul</v>
      </c>
      <c r="J1060" t="str">
        <f>TEXT(walmart[[#This Row],[Purchase_Date]],"YYY")</f>
        <v>2024</v>
      </c>
      <c r="K1060" s="3">
        <v>116.78</v>
      </c>
      <c r="L1060" t="str">
        <f t="shared" si="80"/>
        <v>0% off</v>
      </c>
      <c r="N1060" t="str">
        <f t="shared" si="81"/>
        <v>No</v>
      </c>
      <c r="O1060" t="s">
        <v>34</v>
      </c>
      <c r="P1060" s="3">
        <f t="shared" si="82"/>
        <v>116.78</v>
      </c>
      <c r="Q1060" t="s">
        <v>27</v>
      </c>
      <c r="R1060">
        <v>3</v>
      </c>
      <c r="S1060" t="str">
        <f t="shared" si="83"/>
        <v>Average</v>
      </c>
    </row>
    <row r="1061" spans="1:19" x14ac:dyDescent="0.25">
      <c r="A1061" t="s">
        <v>1469</v>
      </c>
      <c r="B1061">
        <v>42</v>
      </c>
      <c r="C1061" t="s">
        <v>29</v>
      </c>
      <c r="D1061" t="s">
        <v>2439</v>
      </c>
      <c r="E1061" t="s">
        <v>18</v>
      </c>
      <c r="F1061" t="s">
        <v>142</v>
      </c>
      <c r="G1061" t="s">
        <v>547</v>
      </c>
      <c r="H1061" t="str">
        <f>TEXT(walmart[[#This Row],[Purchase_Date]],"DDD")</f>
        <v>Fri</v>
      </c>
      <c r="I1061" t="str">
        <f>TEXT(walmart[[#This Row],[Purchase_Date]],"MMM")</f>
        <v>May</v>
      </c>
      <c r="J1061" t="str">
        <f>TEXT(walmart[[#This Row],[Purchase_Date]],"YYY")</f>
        <v>2024</v>
      </c>
      <c r="K1061" s="3">
        <v>485.26</v>
      </c>
      <c r="L1061" t="str">
        <f t="shared" si="80"/>
        <v>5% off</v>
      </c>
      <c r="N1061" t="str">
        <f t="shared" si="81"/>
        <v>Yes</v>
      </c>
      <c r="O1061" t="s">
        <v>34</v>
      </c>
      <c r="P1061" s="3">
        <f t="shared" si="82"/>
        <v>485.26</v>
      </c>
      <c r="Q1061" t="s">
        <v>27</v>
      </c>
      <c r="R1061">
        <v>5</v>
      </c>
      <c r="S1061" t="str">
        <f t="shared" si="83"/>
        <v>Excellent</v>
      </c>
    </row>
    <row r="1062" spans="1:19" x14ac:dyDescent="0.25">
      <c r="A1062" t="s">
        <v>1470</v>
      </c>
      <c r="B1062">
        <v>22</v>
      </c>
      <c r="C1062" t="s">
        <v>29</v>
      </c>
      <c r="D1062" t="s">
        <v>2440</v>
      </c>
      <c r="E1062" t="s">
        <v>73</v>
      </c>
      <c r="F1062" t="s">
        <v>91</v>
      </c>
      <c r="G1062" t="s">
        <v>447</v>
      </c>
      <c r="H1062" t="str">
        <f>TEXT(walmart[[#This Row],[Purchase_Date]],"DDD")</f>
        <v>Sat</v>
      </c>
      <c r="I1062" t="str">
        <f>TEXT(walmart[[#This Row],[Purchase_Date]],"MMM")</f>
        <v>Nov</v>
      </c>
      <c r="J1062" t="str">
        <f>TEXT(walmart[[#This Row],[Purchase_Date]],"YYY")</f>
        <v>2024</v>
      </c>
      <c r="K1062" s="3">
        <v>418.55</v>
      </c>
      <c r="L1062" t="str">
        <f t="shared" si="80"/>
        <v>5% off</v>
      </c>
      <c r="N1062" t="str">
        <f t="shared" si="81"/>
        <v>Yes</v>
      </c>
      <c r="O1062" t="s">
        <v>34</v>
      </c>
      <c r="P1062" s="3">
        <f t="shared" si="82"/>
        <v>418.55</v>
      </c>
      <c r="Q1062" t="s">
        <v>27</v>
      </c>
      <c r="R1062">
        <v>3</v>
      </c>
      <c r="S1062" t="str">
        <f t="shared" si="83"/>
        <v>Average</v>
      </c>
    </row>
    <row r="1063" spans="1:19" x14ac:dyDescent="0.25">
      <c r="A1063" t="s">
        <v>1471</v>
      </c>
      <c r="B1063">
        <v>54</v>
      </c>
      <c r="C1063" t="s">
        <v>16</v>
      </c>
      <c r="D1063" t="s">
        <v>2441</v>
      </c>
      <c r="E1063" t="s">
        <v>73</v>
      </c>
      <c r="F1063" t="s">
        <v>74</v>
      </c>
      <c r="G1063" t="s">
        <v>33</v>
      </c>
      <c r="H1063" t="str">
        <f>TEXT(walmart[[#This Row],[Purchase_Date]],"DDD")</f>
        <v>Sat</v>
      </c>
      <c r="I1063" t="str">
        <f>TEXT(walmart[[#This Row],[Purchase_Date]],"MMM")</f>
        <v>Jul</v>
      </c>
      <c r="J1063" t="str">
        <f>TEXT(walmart[[#This Row],[Purchase_Date]],"YYY")</f>
        <v>2024</v>
      </c>
      <c r="K1063" s="3">
        <v>782.29</v>
      </c>
      <c r="L1063" t="str">
        <f t="shared" si="80"/>
        <v>15% off</v>
      </c>
      <c r="N1063" t="str">
        <f t="shared" si="81"/>
        <v>Yes</v>
      </c>
      <c r="O1063" t="s">
        <v>34</v>
      </c>
      <c r="P1063" s="3">
        <f t="shared" si="82"/>
        <v>782.29</v>
      </c>
      <c r="Q1063" t="s">
        <v>47</v>
      </c>
      <c r="R1063">
        <v>4</v>
      </c>
      <c r="S1063" t="str">
        <f t="shared" si="83"/>
        <v>Good</v>
      </c>
    </row>
    <row r="1064" spans="1:19" x14ac:dyDescent="0.25">
      <c r="A1064" t="s">
        <v>1472</v>
      </c>
      <c r="B1064">
        <v>38</v>
      </c>
      <c r="C1064" t="s">
        <v>16</v>
      </c>
      <c r="D1064" t="s">
        <v>17</v>
      </c>
      <c r="E1064" t="s">
        <v>37</v>
      </c>
      <c r="F1064" t="s">
        <v>38</v>
      </c>
      <c r="G1064" t="s">
        <v>385</v>
      </c>
      <c r="H1064" t="str">
        <f>TEXT(walmart[[#This Row],[Purchase_Date]],"DDD")</f>
        <v>Wed</v>
      </c>
      <c r="I1064" t="str">
        <f>TEXT(walmart[[#This Row],[Purchase_Date]],"MMM")</f>
        <v>Apr</v>
      </c>
      <c r="J1064" t="str">
        <f>TEXT(walmart[[#This Row],[Purchase_Date]],"YYY")</f>
        <v>2024</v>
      </c>
      <c r="K1064" s="3">
        <v>211.46</v>
      </c>
      <c r="L1064" t="str">
        <f t="shared" si="80"/>
        <v>5% off</v>
      </c>
      <c r="N1064" t="str">
        <f t="shared" si="81"/>
        <v>Yes</v>
      </c>
      <c r="O1064" t="s">
        <v>34</v>
      </c>
      <c r="P1064" s="3">
        <f t="shared" si="82"/>
        <v>211.46</v>
      </c>
      <c r="Q1064" t="s">
        <v>27</v>
      </c>
      <c r="R1064">
        <v>1</v>
      </c>
      <c r="S1064" t="str">
        <f t="shared" si="83"/>
        <v>Very Poor</v>
      </c>
    </row>
    <row r="1065" spans="1:19" x14ac:dyDescent="0.25">
      <c r="A1065" t="s">
        <v>1473</v>
      </c>
      <c r="B1065">
        <v>37</v>
      </c>
      <c r="C1065" t="s">
        <v>16</v>
      </c>
      <c r="D1065" t="s">
        <v>2442</v>
      </c>
      <c r="E1065" t="s">
        <v>42</v>
      </c>
      <c r="F1065" t="s">
        <v>43</v>
      </c>
      <c r="G1065" t="s">
        <v>434</v>
      </c>
      <c r="H1065" t="str">
        <f>TEXT(walmart[[#This Row],[Purchase_Date]],"DDD")</f>
        <v>Sat</v>
      </c>
      <c r="I1065" t="str">
        <f>TEXT(walmart[[#This Row],[Purchase_Date]],"MMM")</f>
        <v>Apr</v>
      </c>
      <c r="J1065" t="str">
        <f>TEXT(walmart[[#This Row],[Purchase_Date]],"YYY")</f>
        <v>2024</v>
      </c>
      <c r="K1065" s="3">
        <v>512.94000000000005</v>
      </c>
      <c r="L1065" t="str">
        <f t="shared" si="80"/>
        <v>10% off</v>
      </c>
      <c r="N1065" t="str">
        <f t="shared" si="81"/>
        <v>Yes</v>
      </c>
      <c r="O1065" t="s">
        <v>21</v>
      </c>
      <c r="P1065" s="3">
        <f t="shared" si="82"/>
        <v>512.94000000000005</v>
      </c>
      <c r="Q1065" t="s">
        <v>35</v>
      </c>
      <c r="R1065">
        <v>4</v>
      </c>
      <c r="S1065" t="str">
        <f t="shared" si="83"/>
        <v>Good</v>
      </c>
    </row>
    <row r="1066" spans="1:19" x14ac:dyDescent="0.25">
      <c r="A1066" t="s">
        <v>1474</v>
      </c>
      <c r="B1066">
        <v>23</v>
      </c>
      <c r="C1066" t="s">
        <v>16</v>
      </c>
      <c r="D1066" t="s">
        <v>2443</v>
      </c>
      <c r="E1066" t="s">
        <v>18</v>
      </c>
      <c r="F1066" t="s">
        <v>142</v>
      </c>
      <c r="G1066" t="s">
        <v>231</v>
      </c>
      <c r="H1066" t="str">
        <f>TEXT(walmart[[#This Row],[Purchase_Date]],"DDD")</f>
        <v>Thu</v>
      </c>
      <c r="I1066" t="str">
        <f>TEXT(walmart[[#This Row],[Purchase_Date]],"MMM")</f>
        <v>Oct</v>
      </c>
      <c r="J1066" t="str">
        <f>TEXT(walmart[[#This Row],[Purchase_Date]],"YYY")</f>
        <v>2024</v>
      </c>
      <c r="K1066" s="3">
        <v>485.26</v>
      </c>
      <c r="L1066" t="str">
        <f t="shared" si="80"/>
        <v>5% off</v>
      </c>
      <c r="N1066" t="str">
        <f t="shared" si="81"/>
        <v>Yes</v>
      </c>
      <c r="O1066" t="s">
        <v>21</v>
      </c>
      <c r="P1066" s="3">
        <f t="shared" si="82"/>
        <v>485.26</v>
      </c>
      <c r="Q1066" t="s">
        <v>22</v>
      </c>
      <c r="R1066">
        <v>2</v>
      </c>
      <c r="S1066" t="str">
        <f t="shared" si="83"/>
        <v>Poor</v>
      </c>
    </row>
    <row r="1067" spans="1:19" x14ac:dyDescent="0.25">
      <c r="A1067" t="s">
        <v>1475</v>
      </c>
      <c r="B1067">
        <v>32</v>
      </c>
      <c r="C1067" t="s">
        <v>29</v>
      </c>
      <c r="D1067" t="s">
        <v>2444</v>
      </c>
      <c r="E1067" t="s">
        <v>37</v>
      </c>
      <c r="F1067" t="s">
        <v>82</v>
      </c>
      <c r="G1067" t="s">
        <v>508</v>
      </c>
      <c r="H1067" t="str">
        <f>TEXT(walmart[[#This Row],[Purchase_Date]],"DDD")</f>
        <v>Thu</v>
      </c>
      <c r="I1067" t="str">
        <f>TEXT(walmart[[#This Row],[Purchase_Date]],"MMM")</f>
        <v>Jul</v>
      </c>
      <c r="J1067" t="str">
        <f>TEXT(walmart[[#This Row],[Purchase_Date]],"YYY")</f>
        <v>2024</v>
      </c>
      <c r="K1067" s="3">
        <v>270.41000000000003</v>
      </c>
      <c r="L1067" t="str">
        <f t="shared" si="80"/>
        <v>5% off</v>
      </c>
      <c r="N1067" t="str">
        <f t="shared" si="81"/>
        <v>Yes</v>
      </c>
      <c r="O1067" t="s">
        <v>21</v>
      </c>
      <c r="P1067" s="3">
        <f t="shared" si="82"/>
        <v>270.41000000000003</v>
      </c>
      <c r="Q1067" t="s">
        <v>22</v>
      </c>
      <c r="R1067">
        <v>4</v>
      </c>
      <c r="S1067" t="str">
        <f t="shared" si="83"/>
        <v>Good</v>
      </c>
    </row>
    <row r="1068" spans="1:19" x14ac:dyDescent="0.25">
      <c r="A1068" t="s">
        <v>1476</v>
      </c>
      <c r="B1068">
        <v>67</v>
      </c>
      <c r="C1068" t="s">
        <v>29</v>
      </c>
      <c r="D1068" t="s">
        <v>2445</v>
      </c>
      <c r="E1068" t="s">
        <v>31</v>
      </c>
      <c r="F1068" t="s">
        <v>300</v>
      </c>
      <c r="G1068" t="s">
        <v>722</v>
      </c>
      <c r="H1068" t="str">
        <f>TEXT(walmart[[#This Row],[Purchase_Date]],"DDD")</f>
        <v>Mon</v>
      </c>
      <c r="I1068" t="str">
        <f>TEXT(walmart[[#This Row],[Purchase_Date]],"MMM")</f>
        <v>Sep</v>
      </c>
      <c r="J1068" t="str">
        <f>TEXT(walmart[[#This Row],[Purchase_Date]],"YYY")</f>
        <v>2024</v>
      </c>
      <c r="K1068" s="3">
        <v>340.04</v>
      </c>
      <c r="L1068" t="str">
        <f t="shared" si="80"/>
        <v>5% off</v>
      </c>
      <c r="N1068" t="str">
        <f t="shared" si="81"/>
        <v>Yes</v>
      </c>
      <c r="O1068" t="s">
        <v>34</v>
      </c>
      <c r="P1068" s="3">
        <f t="shared" si="82"/>
        <v>340.04</v>
      </c>
      <c r="Q1068" t="s">
        <v>22</v>
      </c>
      <c r="R1068">
        <v>4</v>
      </c>
      <c r="S1068" t="str">
        <f t="shared" si="83"/>
        <v>Good</v>
      </c>
    </row>
    <row r="1069" spans="1:19" x14ac:dyDescent="0.25">
      <c r="A1069" t="s">
        <v>1477</v>
      </c>
      <c r="B1069">
        <v>49</v>
      </c>
      <c r="C1069" t="s">
        <v>16</v>
      </c>
      <c r="D1069" t="s">
        <v>2446</v>
      </c>
      <c r="E1069" t="s">
        <v>37</v>
      </c>
      <c r="F1069" t="s">
        <v>97</v>
      </c>
      <c r="G1069" t="s">
        <v>1478</v>
      </c>
      <c r="H1069" t="str">
        <f>TEXT(walmart[[#This Row],[Purchase_Date]],"DDD")</f>
        <v>Mon</v>
      </c>
      <c r="I1069" t="str">
        <f>TEXT(walmart[[#This Row],[Purchase_Date]],"MMM")</f>
        <v>Sep</v>
      </c>
      <c r="J1069" t="str">
        <f>TEXT(walmart[[#This Row],[Purchase_Date]],"YYY")</f>
        <v>2024</v>
      </c>
      <c r="K1069" s="3">
        <v>855.21</v>
      </c>
      <c r="L1069" t="str">
        <f t="shared" si="80"/>
        <v>15% off</v>
      </c>
      <c r="N1069" t="str">
        <f t="shared" si="81"/>
        <v>Yes</v>
      </c>
      <c r="O1069" t="s">
        <v>21</v>
      </c>
      <c r="P1069" s="3">
        <f t="shared" si="82"/>
        <v>855.21</v>
      </c>
      <c r="Q1069" t="s">
        <v>27</v>
      </c>
      <c r="R1069">
        <v>4</v>
      </c>
      <c r="S1069" t="str">
        <f t="shared" si="83"/>
        <v>Good</v>
      </c>
    </row>
    <row r="1070" spans="1:19" x14ac:dyDescent="0.25">
      <c r="A1070" t="s">
        <v>1479</v>
      </c>
      <c r="B1070">
        <v>36</v>
      </c>
      <c r="C1070" t="s">
        <v>29</v>
      </c>
      <c r="D1070" t="s">
        <v>2447</v>
      </c>
      <c r="E1070" t="s">
        <v>24</v>
      </c>
      <c r="F1070" t="s">
        <v>186</v>
      </c>
      <c r="G1070" t="s">
        <v>207</v>
      </c>
      <c r="H1070" t="str">
        <f>TEXT(walmart[[#This Row],[Purchase_Date]],"DDD")</f>
        <v>Wed</v>
      </c>
      <c r="I1070" t="str">
        <f>TEXT(walmart[[#This Row],[Purchase_Date]],"MMM")</f>
        <v>Aug</v>
      </c>
      <c r="J1070" t="str">
        <f>TEXT(walmart[[#This Row],[Purchase_Date]],"YYY")</f>
        <v>2024</v>
      </c>
      <c r="K1070" s="3">
        <v>527.16999999999996</v>
      </c>
      <c r="L1070" t="str">
        <f t="shared" si="80"/>
        <v>10% off</v>
      </c>
      <c r="N1070" t="str">
        <f t="shared" si="81"/>
        <v>Yes</v>
      </c>
      <c r="O1070" t="s">
        <v>21</v>
      </c>
      <c r="P1070" s="3">
        <f t="shared" si="82"/>
        <v>527.16999999999996</v>
      </c>
      <c r="Q1070" t="s">
        <v>22</v>
      </c>
      <c r="R1070">
        <v>2</v>
      </c>
      <c r="S1070" t="str">
        <f t="shared" si="83"/>
        <v>Poor</v>
      </c>
    </row>
    <row r="1071" spans="1:19" x14ac:dyDescent="0.25">
      <c r="A1071" t="s">
        <v>1480</v>
      </c>
      <c r="B1071">
        <v>55</v>
      </c>
      <c r="C1071" t="s">
        <v>29</v>
      </c>
      <c r="D1071" t="s">
        <v>2448</v>
      </c>
      <c r="E1071" t="s">
        <v>55</v>
      </c>
      <c r="F1071" t="s">
        <v>67</v>
      </c>
      <c r="G1071" t="s">
        <v>588</v>
      </c>
      <c r="H1071" t="str">
        <f>TEXT(walmart[[#This Row],[Purchase_Date]],"DDD")</f>
        <v>Mon</v>
      </c>
      <c r="I1071" t="str">
        <f>TEXT(walmart[[#This Row],[Purchase_Date]],"MMM")</f>
        <v>Mar</v>
      </c>
      <c r="J1071" t="str">
        <f>TEXT(walmart[[#This Row],[Purchase_Date]],"YYY")</f>
        <v>2025</v>
      </c>
      <c r="K1071" s="3">
        <v>452.97</v>
      </c>
      <c r="L1071" t="str">
        <f t="shared" si="80"/>
        <v>5% off</v>
      </c>
      <c r="N1071" t="str">
        <f t="shared" si="81"/>
        <v>Yes</v>
      </c>
      <c r="O1071" t="s">
        <v>34</v>
      </c>
      <c r="P1071" s="3">
        <f t="shared" si="82"/>
        <v>452.97</v>
      </c>
      <c r="Q1071" t="s">
        <v>27</v>
      </c>
      <c r="R1071">
        <v>5</v>
      </c>
      <c r="S1071" t="str">
        <f t="shared" si="83"/>
        <v>Excellent</v>
      </c>
    </row>
    <row r="1072" spans="1:19" x14ac:dyDescent="0.25">
      <c r="A1072" t="s">
        <v>1481</v>
      </c>
      <c r="B1072">
        <v>31</v>
      </c>
      <c r="C1072" t="s">
        <v>16</v>
      </c>
      <c r="D1072" t="s">
        <v>2449</v>
      </c>
      <c r="E1072" t="s">
        <v>31</v>
      </c>
      <c r="F1072" t="s">
        <v>32</v>
      </c>
      <c r="G1072" t="s">
        <v>369</v>
      </c>
      <c r="H1072" t="str">
        <f>TEXT(walmart[[#This Row],[Purchase_Date]],"DDD")</f>
        <v>Fri</v>
      </c>
      <c r="I1072" t="str">
        <f>TEXT(walmart[[#This Row],[Purchase_Date]],"MMM")</f>
        <v>Aug</v>
      </c>
      <c r="J1072" t="str">
        <f>TEXT(walmart[[#This Row],[Purchase_Date]],"YYY")</f>
        <v>2024</v>
      </c>
      <c r="K1072" s="3">
        <v>493.96</v>
      </c>
      <c r="L1072" t="str">
        <f t="shared" si="80"/>
        <v>5% off</v>
      </c>
      <c r="N1072" t="str">
        <f t="shared" si="81"/>
        <v>Yes</v>
      </c>
      <c r="O1072" t="s">
        <v>21</v>
      </c>
      <c r="P1072" s="3">
        <f t="shared" si="82"/>
        <v>493.96</v>
      </c>
      <c r="Q1072" t="s">
        <v>27</v>
      </c>
      <c r="R1072">
        <v>4</v>
      </c>
      <c r="S1072" t="str">
        <f t="shared" si="83"/>
        <v>Good</v>
      </c>
    </row>
    <row r="1073" spans="1:19" x14ac:dyDescent="0.25">
      <c r="A1073" t="s">
        <v>1482</v>
      </c>
      <c r="B1073">
        <v>30</v>
      </c>
      <c r="C1073" t="s">
        <v>29</v>
      </c>
      <c r="D1073" t="s">
        <v>2450</v>
      </c>
      <c r="E1073" t="s">
        <v>55</v>
      </c>
      <c r="F1073" t="s">
        <v>56</v>
      </c>
      <c r="G1073" t="s">
        <v>106</v>
      </c>
      <c r="H1073" t="str">
        <f>TEXT(walmart[[#This Row],[Purchase_Date]],"DDD")</f>
        <v>Sun</v>
      </c>
      <c r="I1073" t="str">
        <f>TEXT(walmart[[#This Row],[Purchase_Date]],"MMM")</f>
        <v>Apr</v>
      </c>
      <c r="J1073" t="str">
        <f>TEXT(walmart[[#This Row],[Purchase_Date]],"YYY")</f>
        <v>2024</v>
      </c>
      <c r="K1073" s="3">
        <v>76.81</v>
      </c>
      <c r="L1073" t="str">
        <f t="shared" si="80"/>
        <v>0% off</v>
      </c>
      <c r="N1073" t="str">
        <f t="shared" si="81"/>
        <v>No</v>
      </c>
      <c r="O1073" t="s">
        <v>21</v>
      </c>
      <c r="P1073" s="3">
        <f t="shared" si="82"/>
        <v>76.81</v>
      </c>
      <c r="Q1073" t="s">
        <v>27</v>
      </c>
      <c r="R1073">
        <v>3</v>
      </c>
      <c r="S1073" t="str">
        <f t="shared" si="83"/>
        <v>Average</v>
      </c>
    </row>
    <row r="1074" spans="1:19" x14ac:dyDescent="0.25">
      <c r="A1074" t="s">
        <v>1483</v>
      </c>
      <c r="B1074">
        <v>26</v>
      </c>
      <c r="C1074" t="s">
        <v>29</v>
      </c>
      <c r="D1074" t="s">
        <v>2451</v>
      </c>
      <c r="E1074" t="s">
        <v>18</v>
      </c>
      <c r="F1074" t="s">
        <v>19</v>
      </c>
      <c r="G1074" t="s">
        <v>840</v>
      </c>
      <c r="H1074" t="str">
        <f>TEXT(walmart[[#This Row],[Purchase_Date]],"DDD")</f>
        <v>Mon</v>
      </c>
      <c r="I1074" t="str">
        <f>TEXT(walmart[[#This Row],[Purchase_Date]],"MMM")</f>
        <v>Aug</v>
      </c>
      <c r="J1074" t="str">
        <f>TEXT(walmart[[#This Row],[Purchase_Date]],"YYY")</f>
        <v>2024</v>
      </c>
      <c r="K1074" s="3">
        <v>697.86</v>
      </c>
      <c r="L1074" t="str">
        <f t="shared" si="80"/>
        <v>10% off</v>
      </c>
      <c r="N1074" t="str">
        <f t="shared" si="81"/>
        <v>Yes</v>
      </c>
      <c r="O1074" t="s">
        <v>21</v>
      </c>
      <c r="P1074" s="3">
        <f t="shared" si="82"/>
        <v>697.86</v>
      </c>
      <c r="Q1074" t="s">
        <v>35</v>
      </c>
      <c r="R1074">
        <v>4</v>
      </c>
      <c r="S1074" t="str">
        <f t="shared" si="83"/>
        <v>Good</v>
      </c>
    </row>
    <row r="1075" spans="1:19" x14ac:dyDescent="0.25">
      <c r="A1075" t="s">
        <v>1484</v>
      </c>
      <c r="B1075">
        <v>42</v>
      </c>
      <c r="C1075" t="s">
        <v>16</v>
      </c>
      <c r="D1075" t="s">
        <v>2452</v>
      </c>
      <c r="E1075" t="s">
        <v>31</v>
      </c>
      <c r="F1075" t="s">
        <v>32</v>
      </c>
      <c r="G1075" t="s">
        <v>496</v>
      </c>
      <c r="H1075" t="str">
        <f>TEXT(walmart[[#This Row],[Purchase_Date]],"DDD")</f>
        <v>Wed</v>
      </c>
      <c r="I1075" t="str">
        <f>TEXT(walmart[[#This Row],[Purchase_Date]],"MMM")</f>
        <v>Jul</v>
      </c>
      <c r="J1075" t="str">
        <f>TEXT(walmart[[#This Row],[Purchase_Date]],"YYY")</f>
        <v>2024</v>
      </c>
      <c r="K1075" s="3">
        <v>493.96</v>
      </c>
      <c r="L1075" t="str">
        <f t="shared" si="80"/>
        <v>5% off</v>
      </c>
      <c r="N1075" t="str">
        <f t="shared" si="81"/>
        <v>Yes</v>
      </c>
      <c r="O1075" t="s">
        <v>34</v>
      </c>
      <c r="P1075" s="3">
        <f t="shared" si="82"/>
        <v>493.96</v>
      </c>
      <c r="Q1075" t="s">
        <v>35</v>
      </c>
      <c r="R1075">
        <v>4</v>
      </c>
      <c r="S1075" t="str">
        <f t="shared" si="83"/>
        <v>Good</v>
      </c>
    </row>
    <row r="1076" spans="1:19" x14ac:dyDescent="0.25">
      <c r="A1076" t="s">
        <v>1485</v>
      </c>
      <c r="B1076">
        <v>18</v>
      </c>
      <c r="C1076" t="s">
        <v>16</v>
      </c>
      <c r="D1076" t="s">
        <v>2453</v>
      </c>
      <c r="E1076" t="s">
        <v>42</v>
      </c>
      <c r="F1076" t="s">
        <v>120</v>
      </c>
      <c r="G1076" t="s">
        <v>50</v>
      </c>
      <c r="H1076" t="str">
        <f>TEXT(walmart[[#This Row],[Purchase_Date]],"DDD")</f>
        <v>Thu</v>
      </c>
      <c r="I1076" t="str">
        <f>TEXT(walmart[[#This Row],[Purchase_Date]],"MMM")</f>
        <v>Oct</v>
      </c>
      <c r="J1076" t="str">
        <f>TEXT(walmart[[#This Row],[Purchase_Date]],"YYY")</f>
        <v>2024</v>
      </c>
      <c r="K1076" s="3">
        <v>260.77999999999997</v>
      </c>
      <c r="L1076" t="str">
        <f t="shared" si="80"/>
        <v>5% off</v>
      </c>
      <c r="N1076" t="str">
        <f t="shared" si="81"/>
        <v>Yes</v>
      </c>
      <c r="O1076" t="s">
        <v>34</v>
      </c>
      <c r="P1076" s="3">
        <f t="shared" si="82"/>
        <v>260.77999999999997</v>
      </c>
      <c r="Q1076" t="s">
        <v>35</v>
      </c>
      <c r="R1076">
        <v>2</v>
      </c>
      <c r="S1076" t="str">
        <f t="shared" si="83"/>
        <v>Poor</v>
      </c>
    </row>
    <row r="1077" spans="1:19" x14ac:dyDescent="0.25">
      <c r="A1077" t="s">
        <v>1486</v>
      </c>
      <c r="B1077">
        <v>41</v>
      </c>
      <c r="C1077" t="s">
        <v>29</v>
      </c>
      <c r="D1077" t="s">
        <v>2454</v>
      </c>
      <c r="E1077" t="s">
        <v>42</v>
      </c>
      <c r="F1077" t="s">
        <v>120</v>
      </c>
      <c r="G1077" t="s">
        <v>349</v>
      </c>
      <c r="H1077" t="str">
        <f>TEXT(walmart[[#This Row],[Purchase_Date]],"DDD")</f>
        <v>Thu</v>
      </c>
      <c r="I1077" t="str">
        <f>TEXT(walmart[[#This Row],[Purchase_Date]],"MMM")</f>
        <v>Dec</v>
      </c>
      <c r="J1077" t="str">
        <f>TEXT(walmart[[#This Row],[Purchase_Date]],"YYY")</f>
        <v>2024</v>
      </c>
      <c r="K1077" s="3">
        <v>260.77999999999997</v>
      </c>
      <c r="L1077" t="str">
        <f t="shared" si="80"/>
        <v>5% off</v>
      </c>
      <c r="N1077" t="str">
        <f t="shared" si="81"/>
        <v>Yes</v>
      </c>
      <c r="O1077" t="s">
        <v>34</v>
      </c>
      <c r="P1077" s="3">
        <f t="shared" si="82"/>
        <v>260.77999999999997</v>
      </c>
      <c r="Q1077" t="s">
        <v>35</v>
      </c>
      <c r="R1077">
        <v>5</v>
      </c>
      <c r="S1077" t="str">
        <f t="shared" si="83"/>
        <v>Excellent</v>
      </c>
    </row>
    <row r="1078" spans="1:19" x14ac:dyDescent="0.25">
      <c r="A1078" t="s">
        <v>1487</v>
      </c>
      <c r="B1078">
        <v>18</v>
      </c>
      <c r="C1078" t="s">
        <v>16</v>
      </c>
      <c r="D1078" t="s">
        <v>2455</v>
      </c>
      <c r="E1078" t="s">
        <v>18</v>
      </c>
      <c r="F1078" t="s">
        <v>142</v>
      </c>
      <c r="G1078" t="s">
        <v>609</v>
      </c>
      <c r="H1078" t="str">
        <f>TEXT(walmart[[#This Row],[Purchase_Date]],"DDD")</f>
        <v>Sat</v>
      </c>
      <c r="I1078" t="str">
        <f>TEXT(walmart[[#This Row],[Purchase_Date]],"MMM")</f>
        <v>Sep</v>
      </c>
      <c r="J1078" t="str">
        <f>TEXT(walmart[[#This Row],[Purchase_Date]],"YYY")</f>
        <v>2024</v>
      </c>
      <c r="K1078" s="3">
        <v>485.26</v>
      </c>
      <c r="L1078" t="str">
        <f t="shared" si="80"/>
        <v>5% off</v>
      </c>
      <c r="N1078" t="str">
        <f t="shared" si="81"/>
        <v>Yes</v>
      </c>
      <c r="O1078" t="s">
        <v>21</v>
      </c>
      <c r="P1078" s="3">
        <f t="shared" si="82"/>
        <v>485.26</v>
      </c>
      <c r="Q1078" t="s">
        <v>47</v>
      </c>
      <c r="R1078">
        <v>2</v>
      </c>
      <c r="S1078" t="str">
        <f t="shared" si="83"/>
        <v>Poor</v>
      </c>
    </row>
    <row r="1079" spans="1:19" x14ac:dyDescent="0.25">
      <c r="A1079" t="s">
        <v>1488</v>
      </c>
      <c r="B1079">
        <v>37</v>
      </c>
      <c r="C1079" t="s">
        <v>29</v>
      </c>
      <c r="D1079" t="s">
        <v>2456</v>
      </c>
      <c r="E1079" t="s">
        <v>24</v>
      </c>
      <c r="F1079" t="s">
        <v>186</v>
      </c>
      <c r="G1079" t="s">
        <v>319</v>
      </c>
      <c r="H1079" t="str">
        <f>TEXT(walmart[[#This Row],[Purchase_Date]],"DDD")</f>
        <v>Tue</v>
      </c>
      <c r="I1079" t="str">
        <f>TEXT(walmart[[#This Row],[Purchase_Date]],"MMM")</f>
        <v>May</v>
      </c>
      <c r="J1079" t="str">
        <f>TEXT(walmart[[#This Row],[Purchase_Date]],"YYY")</f>
        <v>2024</v>
      </c>
      <c r="K1079" s="3">
        <v>527.16999999999996</v>
      </c>
      <c r="L1079" t="str">
        <f t="shared" si="80"/>
        <v>10% off</v>
      </c>
      <c r="N1079" t="str">
        <f t="shared" si="81"/>
        <v>Yes</v>
      </c>
      <c r="O1079" t="s">
        <v>21</v>
      </c>
      <c r="P1079" s="3">
        <f t="shared" si="82"/>
        <v>527.16999999999996</v>
      </c>
      <c r="Q1079" t="s">
        <v>35</v>
      </c>
      <c r="R1079">
        <v>4</v>
      </c>
      <c r="S1079" t="str">
        <f t="shared" si="83"/>
        <v>Good</v>
      </c>
    </row>
    <row r="1080" spans="1:19" x14ac:dyDescent="0.25">
      <c r="A1080" t="s">
        <v>1489</v>
      </c>
      <c r="B1080">
        <v>27</v>
      </c>
      <c r="C1080" t="s">
        <v>16</v>
      </c>
      <c r="D1080" t="s">
        <v>2457</v>
      </c>
      <c r="E1080" t="s">
        <v>31</v>
      </c>
      <c r="F1080" t="s">
        <v>32</v>
      </c>
      <c r="G1080" t="s">
        <v>531</v>
      </c>
      <c r="H1080" t="str">
        <f>TEXT(walmart[[#This Row],[Purchase_Date]],"DDD")</f>
        <v>Thu</v>
      </c>
      <c r="I1080" t="str">
        <f>TEXT(walmart[[#This Row],[Purchase_Date]],"MMM")</f>
        <v>Nov</v>
      </c>
      <c r="J1080" t="str">
        <f>TEXT(walmart[[#This Row],[Purchase_Date]],"YYY")</f>
        <v>2024</v>
      </c>
      <c r="K1080" s="3">
        <v>493.96</v>
      </c>
      <c r="L1080" t="str">
        <f t="shared" si="80"/>
        <v>5% off</v>
      </c>
      <c r="N1080" t="str">
        <f t="shared" si="81"/>
        <v>Yes</v>
      </c>
      <c r="O1080" t="s">
        <v>34</v>
      </c>
      <c r="P1080" s="3">
        <f t="shared" si="82"/>
        <v>493.96</v>
      </c>
      <c r="Q1080" t="s">
        <v>47</v>
      </c>
      <c r="R1080">
        <v>4</v>
      </c>
      <c r="S1080" t="str">
        <f t="shared" si="83"/>
        <v>Good</v>
      </c>
    </row>
    <row r="1081" spans="1:19" x14ac:dyDescent="0.25">
      <c r="A1081" t="s">
        <v>1490</v>
      </c>
      <c r="B1081">
        <v>56</v>
      </c>
      <c r="C1081" t="s">
        <v>29</v>
      </c>
      <c r="D1081" t="s">
        <v>2458</v>
      </c>
      <c r="E1081" t="s">
        <v>18</v>
      </c>
      <c r="F1081" t="s">
        <v>77</v>
      </c>
      <c r="G1081" t="s">
        <v>1043</v>
      </c>
      <c r="H1081" t="str">
        <f>TEXT(walmart[[#This Row],[Purchase_Date]],"DDD")</f>
        <v>Sun</v>
      </c>
      <c r="I1081" t="str">
        <f>TEXT(walmart[[#This Row],[Purchase_Date]],"MMM")</f>
        <v>Sep</v>
      </c>
      <c r="J1081" t="str">
        <f>TEXT(walmart[[#This Row],[Purchase_Date]],"YYY")</f>
        <v>2024</v>
      </c>
      <c r="K1081" s="3">
        <v>116.78</v>
      </c>
      <c r="L1081" t="str">
        <f t="shared" si="80"/>
        <v>0% off</v>
      </c>
      <c r="N1081" t="str">
        <f t="shared" si="81"/>
        <v>No</v>
      </c>
      <c r="O1081" t="s">
        <v>21</v>
      </c>
      <c r="P1081" s="3">
        <f t="shared" si="82"/>
        <v>116.78</v>
      </c>
      <c r="Q1081" t="s">
        <v>35</v>
      </c>
      <c r="R1081">
        <v>4</v>
      </c>
      <c r="S1081" t="str">
        <f t="shared" si="83"/>
        <v>Good</v>
      </c>
    </row>
    <row r="1082" spans="1:19" x14ac:dyDescent="0.25">
      <c r="A1082" t="s">
        <v>1491</v>
      </c>
      <c r="B1082">
        <v>22</v>
      </c>
      <c r="C1082" t="s">
        <v>29</v>
      </c>
      <c r="D1082" t="s">
        <v>2459</v>
      </c>
      <c r="E1082" t="s">
        <v>24</v>
      </c>
      <c r="F1082" t="s">
        <v>25</v>
      </c>
      <c r="G1082" t="s">
        <v>805</v>
      </c>
      <c r="H1082" t="str">
        <f>TEXT(walmart[[#This Row],[Purchase_Date]],"DDD")</f>
        <v>Thu</v>
      </c>
      <c r="I1082" t="str">
        <f>TEXT(walmart[[#This Row],[Purchase_Date]],"MMM")</f>
        <v>Apr</v>
      </c>
      <c r="J1082" t="str">
        <f>TEXT(walmart[[#This Row],[Purchase_Date]],"YYY")</f>
        <v>2024</v>
      </c>
      <c r="K1082" s="3">
        <v>67.040000000000006</v>
      </c>
      <c r="L1082" t="str">
        <f t="shared" si="80"/>
        <v>0% off</v>
      </c>
      <c r="N1082" t="str">
        <f t="shared" si="81"/>
        <v>No</v>
      </c>
      <c r="O1082" t="s">
        <v>21</v>
      </c>
      <c r="P1082" s="3">
        <f t="shared" si="82"/>
        <v>67.040000000000006</v>
      </c>
      <c r="Q1082" t="s">
        <v>27</v>
      </c>
      <c r="R1082">
        <v>3</v>
      </c>
      <c r="S1082" t="str">
        <f t="shared" si="83"/>
        <v>Average</v>
      </c>
    </row>
    <row r="1083" spans="1:19" x14ac:dyDescent="0.25">
      <c r="A1083" t="s">
        <v>1492</v>
      </c>
      <c r="B1083">
        <v>65</v>
      </c>
      <c r="C1083" t="s">
        <v>16</v>
      </c>
      <c r="D1083" t="s">
        <v>2460</v>
      </c>
      <c r="E1083" t="s">
        <v>31</v>
      </c>
      <c r="F1083" t="s">
        <v>169</v>
      </c>
      <c r="G1083" t="s">
        <v>639</v>
      </c>
      <c r="H1083" t="str">
        <f>TEXT(walmart[[#This Row],[Purchase_Date]],"DDD")</f>
        <v>Fri</v>
      </c>
      <c r="I1083" t="str">
        <f>TEXT(walmart[[#This Row],[Purchase_Date]],"MMM")</f>
        <v>Jun</v>
      </c>
      <c r="J1083" t="str">
        <f>TEXT(walmart[[#This Row],[Purchase_Date]],"YYY")</f>
        <v>2024</v>
      </c>
      <c r="K1083" s="3">
        <v>52.44</v>
      </c>
      <c r="L1083" t="str">
        <f t="shared" si="80"/>
        <v>0% off</v>
      </c>
      <c r="N1083" t="str">
        <f t="shared" si="81"/>
        <v>No</v>
      </c>
      <c r="O1083" t="s">
        <v>34</v>
      </c>
      <c r="P1083" s="3">
        <f t="shared" si="82"/>
        <v>52.44</v>
      </c>
      <c r="Q1083" t="s">
        <v>22</v>
      </c>
      <c r="R1083">
        <v>4</v>
      </c>
      <c r="S1083" t="str">
        <f t="shared" si="83"/>
        <v>Good</v>
      </c>
    </row>
    <row r="1084" spans="1:19" x14ac:dyDescent="0.25">
      <c r="A1084" t="s">
        <v>1493</v>
      </c>
      <c r="B1084">
        <v>23</v>
      </c>
      <c r="C1084" t="s">
        <v>16</v>
      </c>
      <c r="D1084" t="s">
        <v>2461</v>
      </c>
      <c r="E1084" t="s">
        <v>24</v>
      </c>
      <c r="F1084" t="s">
        <v>186</v>
      </c>
      <c r="G1084" t="s">
        <v>488</v>
      </c>
      <c r="H1084" t="str">
        <f>TEXT(walmart[[#This Row],[Purchase_Date]],"DDD")</f>
        <v>Wed</v>
      </c>
      <c r="I1084" t="str">
        <f>TEXT(walmart[[#This Row],[Purchase_Date]],"MMM")</f>
        <v>Mar</v>
      </c>
      <c r="J1084" t="str">
        <f>TEXT(walmart[[#This Row],[Purchase_Date]],"YYY")</f>
        <v>2025</v>
      </c>
      <c r="K1084" s="3">
        <v>527.16999999999996</v>
      </c>
      <c r="L1084" t="str">
        <f t="shared" si="80"/>
        <v>10% off</v>
      </c>
      <c r="N1084" t="str">
        <f t="shared" si="81"/>
        <v>Yes</v>
      </c>
      <c r="O1084" t="s">
        <v>21</v>
      </c>
      <c r="P1084" s="3">
        <f t="shared" si="82"/>
        <v>527.16999999999996</v>
      </c>
      <c r="Q1084" t="s">
        <v>27</v>
      </c>
      <c r="R1084">
        <v>5</v>
      </c>
      <c r="S1084" t="str">
        <f t="shared" si="83"/>
        <v>Excellent</v>
      </c>
    </row>
    <row r="1085" spans="1:19" x14ac:dyDescent="0.25">
      <c r="A1085" t="s">
        <v>1494</v>
      </c>
      <c r="B1085">
        <v>70</v>
      </c>
      <c r="C1085" t="s">
        <v>16</v>
      </c>
      <c r="D1085" t="s">
        <v>2462</v>
      </c>
      <c r="E1085" t="s">
        <v>24</v>
      </c>
      <c r="F1085" t="s">
        <v>209</v>
      </c>
      <c r="G1085" t="s">
        <v>1495</v>
      </c>
      <c r="H1085" t="str">
        <f>TEXT(walmart[[#This Row],[Purchase_Date]],"DDD")</f>
        <v>Tue</v>
      </c>
      <c r="I1085" t="str">
        <f>TEXT(walmart[[#This Row],[Purchase_Date]],"MMM")</f>
        <v>Mar</v>
      </c>
      <c r="J1085" t="str">
        <f>TEXT(walmart[[#This Row],[Purchase_Date]],"YYY")</f>
        <v>2025</v>
      </c>
      <c r="K1085" s="3">
        <v>775.75</v>
      </c>
      <c r="L1085" t="str">
        <f t="shared" si="80"/>
        <v>15% off</v>
      </c>
      <c r="N1085" t="str">
        <f t="shared" si="81"/>
        <v>Yes</v>
      </c>
      <c r="O1085" t="s">
        <v>34</v>
      </c>
      <c r="P1085" s="3">
        <f t="shared" si="82"/>
        <v>775.75</v>
      </c>
      <c r="Q1085" t="s">
        <v>27</v>
      </c>
      <c r="R1085">
        <v>2</v>
      </c>
      <c r="S1085" t="str">
        <f t="shared" si="83"/>
        <v>Poor</v>
      </c>
    </row>
    <row r="1086" spans="1:19" x14ac:dyDescent="0.25">
      <c r="A1086" t="s">
        <v>1496</v>
      </c>
      <c r="B1086">
        <v>48</v>
      </c>
      <c r="C1086" t="s">
        <v>29</v>
      </c>
      <c r="D1086" t="s">
        <v>2463</v>
      </c>
      <c r="E1086" t="s">
        <v>55</v>
      </c>
      <c r="F1086" t="s">
        <v>56</v>
      </c>
      <c r="G1086" t="s">
        <v>53</v>
      </c>
      <c r="H1086" t="str">
        <f>TEXT(walmart[[#This Row],[Purchase_Date]],"DDD")</f>
        <v>Sat</v>
      </c>
      <c r="I1086" t="str">
        <f>TEXT(walmart[[#This Row],[Purchase_Date]],"MMM")</f>
        <v>Mar</v>
      </c>
      <c r="J1086" t="str">
        <f>TEXT(walmart[[#This Row],[Purchase_Date]],"YYY")</f>
        <v>2025</v>
      </c>
      <c r="K1086" s="3">
        <v>76.81</v>
      </c>
      <c r="L1086" t="str">
        <f t="shared" si="80"/>
        <v>0% off</v>
      </c>
      <c r="N1086" t="str">
        <f t="shared" si="81"/>
        <v>No</v>
      </c>
      <c r="O1086" t="s">
        <v>34</v>
      </c>
      <c r="P1086" s="3">
        <f t="shared" si="82"/>
        <v>76.81</v>
      </c>
      <c r="Q1086" t="s">
        <v>35</v>
      </c>
      <c r="R1086">
        <v>1</v>
      </c>
      <c r="S1086" t="str">
        <f t="shared" si="83"/>
        <v>Very Poor</v>
      </c>
    </row>
    <row r="1087" spans="1:19" x14ac:dyDescent="0.25">
      <c r="A1087" t="s">
        <v>1497</v>
      </c>
      <c r="B1087">
        <v>62</v>
      </c>
      <c r="C1087" t="s">
        <v>16</v>
      </c>
      <c r="D1087" t="s">
        <v>2464</v>
      </c>
      <c r="E1087" t="s">
        <v>42</v>
      </c>
      <c r="F1087" t="s">
        <v>120</v>
      </c>
      <c r="G1087" t="s">
        <v>174</v>
      </c>
      <c r="H1087" t="str">
        <f>TEXT(walmart[[#This Row],[Purchase_Date]],"DDD")</f>
        <v>Sun</v>
      </c>
      <c r="I1087" t="str">
        <f>TEXT(walmart[[#This Row],[Purchase_Date]],"MMM")</f>
        <v>Dec</v>
      </c>
      <c r="J1087" t="str">
        <f>TEXT(walmart[[#This Row],[Purchase_Date]],"YYY")</f>
        <v>2024</v>
      </c>
      <c r="K1087" s="3">
        <v>260.77999999999997</v>
      </c>
      <c r="L1087" t="str">
        <f t="shared" si="80"/>
        <v>5% off</v>
      </c>
      <c r="N1087" t="str">
        <f t="shared" si="81"/>
        <v>Yes</v>
      </c>
      <c r="O1087" t="s">
        <v>34</v>
      </c>
      <c r="P1087" s="3">
        <f t="shared" si="82"/>
        <v>260.77999999999997</v>
      </c>
      <c r="Q1087" t="s">
        <v>35</v>
      </c>
      <c r="R1087">
        <v>1</v>
      </c>
      <c r="S1087" t="str">
        <f t="shared" si="83"/>
        <v>Very Poor</v>
      </c>
    </row>
    <row r="1088" spans="1:19" x14ac:dyDescent="0.25">
      <c r="A1088" t="s">
        <v>1498</v>
      </c>
      <c r="B1088">
        <v>34</v>
      </c>
      <c r="C1088" t="s">
        <v>29</v>
      </c>
      <c r="D1088" t="s">
        <v>2465</v>
      </c>
      <c r="E1088" t="s">
        <v>37</v>
      </c>
      <c r="F1088" t="s">
        <v>97</v>
      </c>
      <c r="G1088" t="s">
        <v>405</v>
      </c>
      <c r="H1088" t="str">
        <f>TEXT(walmart[[#This Row],[Purchase_Date]],"DDD")</f>
        <v>Tue</v>
      </c>
      <c r="I1088" t="str">
        <f>TEXT(walmart[[#This Row],[Purchase_Date]],"MMM")</f>
        <v>Sep</v>
      </c>
      <c r="J1088" t="str">
        <f>TEXT(walmart[[#This Row],[Purchase_Date]],"YYY")</f>
        <v>2024</v>
      </c>
      <c r="K1088" s="3">
        <v>855.21</v>
      </c>
      <c r="L1088" t="str">
        <f t="shared" si="80"/>
        <v>15% off</v>
      </c>
      <c r="N1088" t="str">
        <f t="shared" si="81"/>
        <v>Yes</v>
      </c>
      <c r="O1088" t="s">
        <v>34</v>
      </c>
      <c r="P1088" s="3">
        <f t="shared" si="82"/>
        <v>855.21</v>
      </c>
      <c r="Q1088" t="s">
        <v>35</v>
      </c>
      <c r="R1088">
        <v>4</v>
      </c>
      <c r="S1088" t="str">
        <f t="shared" si="83"/>
        <v>Good</v>
      </c>
    </row>
    <row r="1089" spans="1:19" x14ac:dyDescent="0.25">
      <c r="A1089" t="s">
        <v>1499</v>
      </c>
      <c r="B1089">
        <v>57</v>
      </c>
      <c r="C1089" t="s">
        <v>29</v>
      </c>
      <c r="D1089" t="s">
        <v>2466</v>
      </c>
      <c r="E1089" t="s">
        <v>55</v>
      </c>
      <c r="F1089" t="s">
        <v>100</v>
      </c>
      <c r="G1089" t="s">
        <v>275</v>
      </c>
      <c r="H1089" t="str">
        <f>TEXT(walmart[[#This Row],[Purchase_Date]],"DDD")</f>
        <v>Sat</v>
      </c>
      <c r="I1089" t="str">
        <f>TEXT(walmart[[#This Row],[Purchase_Date]],"MMM")</f>
        <v>Jun</v>
      </c>
      <c r="J1089" t="str">
        <f>TEXT(walmart[[#This Row],[Purchase_Date]],"YYY")</f>
        <v>2024</v>
      </c>
      <c r="K1089" s="3">
        <v>592.26</v>
      </c>
      <c r="L1089" t="str">
        <f t="shared" si="80"/>
        <v>10% off</v>
      </c>
      <c r="N1089" t="str">
        <f t="shared" si="81"/>
        <v>Yes</v>
      </c>
      <c r="O1089" t="s">
        <v>34</v>
      </c>
      <c r="P1089" s="3">
        <f t="shared" si="82"/>
        <v>592.26</v>
      </c>
      <c r="Q1089" t="s">
        <v>35</v>
      </c>
      <c r="R1089">
        <v>2</v>
      </c>
      <c r="S1089" t="str">
        <f t="shared" si="83"/>
        <v>Poor</v>
      </c>
    </row>
    <row r="1090" spans="1:19" x14ac:dyDescent="0.25">
      <c r="A1090" t="s">
        <v>1500</v>
      </c>
      <c r="B1090">
        <v>58</v>
      </c>
      <c r="C1090" t="s">
        <v>16</v>
      </c>
      <c r="D1090" t="s">
        <v>2467</v>
      </c>
      <c r="E1090" t="s">
        <v>73</v>
      </c>
      <c r="F1090" t="s">
        <v>94</v>
      </c>
      <c r="G1090" t="s">
        <v>71</v>
      </c>
      <c r="H1090" t="str">
        <f>TEXT(walmart[[#This Row],[Purchase_Date]],"DDD")</f>
        <v>Wed</v>
      </c>
      <c r="I1090" t="str">
        <f>TEXT(walmart[[#This Row],[Purchase_Date]],"MMM")</f>
        <v>Jul</v>
      </c>
      <c r="J1090" t="str">
        <f>TEXT(walmart[[#This Row],[Purchase_Date]],"YYY")</f>
        <v>2024</v>
      </c>
      <c r="K1090" s="3">
        <v>965.09</v>
      </c>
      <c r="L1090" t="str">
        <f t="shared" si="80"/>
        <v>20% off</v>
      </c>
      <c r="N1090" t="str">
        <f t="shared" si="81"/>
        <v>Yes</v>
      </c>
      <c r="O1090" t="s">
        <v>34</v>
      </c>
      <c r="P1090" s="3">
        <f t="shared" si="82"/>
        <v>965.09</v>
      </c>
      <c r="Q1090" t="s">
        <v>27</v>
      </c>
      <c r="R1090">
        <v>2</v>
      </c>
      <c r="S1090" t="str">
        <f t="shared" si="83"/>
        <v>Poor</v>
      </c>
    </row>
    <row r="1091" spans="1:19" x14ac:dyDescent="0.25">
      <c r="A1091" t="s">
        <v>1501</v>
      </c>
      <c r="B1091">
        <v>69</v>
      </c>
      <c r="C1091" t="s">
        <v>29</v>
      </c>
      <c r="D1091" t="s">
        <v>2468</v>
      </c>
      <c r="E1091" t="s">
        <v>31</v>
      </c>
      <c r="F1091" t="s">
        <v>169</v>
      </c>
      <c r="G1091" t="s">
        <v>1502</v>
      </c>
      <c r="H1091" t="str">
        <f>TEXT(walmart[[#This Row],[Purchase_Date]],"DDD")</f>
        <v>Thu</v>
      </c>
      <c r="I1091" t="str">
        <f>TEXT(walmart[[#This Row],[Purchase_Date]],"MMM")</f>
        <v>Jul</v>
      </c>
      <c r="J1091" t="str">
        <f>TEXT(walmart[[#This Row],[Purchase_Date]],"YYY")</f>
        <v>2024</v>
      </c>
      <c r="K1091" s="3">
        <v>52.44</v>
      </c>
      <c r="L1091" t="str">
        <f t="shared" ref="L1091:L1154" si="84">IF(K1091&lt;150,"0% off",IF(K1091&lt;500,"5% off",IF(K1091&lt;700,"10% off",IF(K1091&lt;900,"15% off","20% off"))))</f>
        <v>0% off</v>
      </c>
      <c r="N1091" t="str">
        <f t="shared" ref="N1091:N1154" si="85">IF(L1091="0% off", "No", "Yes")</f>
        <v>No</v>
      </c>
      <c r="O1091" t="s">
        <v>34</v>
      </c>
      <c r="P1091" s="3">
        <f t="shared" ref="P1091:P1154" si="86">K1091-M1091</f>
        <v>52.44</v>
      </c>
      <c r="Q1091" t="s">
        <v>22</v>
      </c>
      <c r="R1091">
        <v>4</v>
      </c>
      <c r="S1091" t="str">
        <f t="shared" ref="S1091:S1154" si="87">IF(R1091=5, "Excellent", IF(R1091=4, "Good", IF(R1091=3, "Average", IF(R1091=2, "Poor", IF(R1091=1, "Very Poor", "Invalid Rating")))))</f>
        <v>Good</v>
      </c>
    </row>
    <row r="1092" spans="1:19" x14ac:dyDescent="0.25">
      <c r="A1092" t="s">
        <v>1503</v>
      </c>
      <c r="B1092">
        <v>38</v>
      </c>
      <c r="C1092" t="s">
        <v>16</v>
      </c>
      <c r="D1092" t="s">
        <v>2469</v>
      </c>
      <c r="E1092" t="s">
        <v>73</v>
      </c>
      <c r="F1092" t="s">
        <v>94</v>
      </c>
      <c r="G1092" t="s">
        <v>411</v>
      </c>
      <c r="H1092" t="str">
        <f>TEXT(walmart[[#This Row],[Purchase_Date]],"DDD")</f>
        <v>Wed</v>
      </c>
      <c r="I1092" t="str">
        <f>TEXT(walmart[[#This Row],[Purchase_Date]],"MMM")</f>
        <v>Apr</v>
      </c>
      <c r="J1092" t="str">
        <f>TEXT(walmart[[#This Row],[Purchase_Date]],"YYY")</f>
        <v>2024</v>
      </c>
      <c r="K1092" s="3">
        <v>965.09</v>
      </c>
      <c r="L1092" t="str">
        <f t="shared" si="84"/>
        <v>20% off</v>
      </c>
      <c r="N1092" t="str">
        <f t="shared" si="85"/>
        <v>Yes</v>
      </c>
      <c r="O1092" t="s">
        <v>34</v>
      </c>
      <c r="P1092" s="3">
        <f t="shared" si="86"/>
        <v>965.09</v>
      </c>
      <c r="Q1092" t="s">
        <v>27</v>
      </c>
      <c r="R1092">
        <v>3</v>
      </c>
      <c r="S1092" t="str">
        <f t="shared" si="87"/>
        <v>Average</v>
      </c>
    </row>
    <row r="1093" spans="1:19" x14ac:dyDescent="0.25">
      <c r="A1093" t="s">
        <v>1504</v>
      </c>
      <c r="B1093">
        <v>56</v>
      </c>
      <c r="C1093" t="s">
        <v>29</v>
      </c>
      <c r="D1093" t="s">
        <v>2470</v>
      </c>
      <c r="E1093" t="s">
        <v>24</v>
      </c>
      <c r="F1093" t="s">
        <v>209</v>
      </c>
      <c r="G1093" t="s">
        <v>681</v>
      </c>
      <c r="H1093" t="str">
        <f>TEXT(walmart[[#This Row],[Purchase_Date]],"DDD")</f>
        <v>Sun</v>
      </c>
      <c r="I1093" t="str">
        <f>TEXT(walmart[[#This Row],[Purchase_Date]],"MMM")</f>
        <v>Jun</v>
      </c>
      <c r="J1093" t="str">
        <f>TEXT(walmart[[#This Row],[Purchase_Date]],"YYY")</f>
        <v>2024</v>
      </c>
      <c r="K1093" s="3">
        <v>775.75</v>
      </c>
      <c r="L1093" t="str">
        <f t="shared" si="84"/>
        <v>15% off</v>
      </c>
      <c r="N1093" t="str">
        <f t="shared" si="85"/>
        <v>Yes</v>
      </c>
      <c r="O1093" t="s">
        <v>21</v>
      </c>
      <c r="P1093" s="3">
        <f t="shared" si="86"/>
        <v>775.75</v>
      </c>
      <c r="Q1093" t="s">
        <v>27</v>
      </c>
      <c r="R1093">
        <v>3</v>
      </c>
      <c r="S1093" t="str">
        <f t="shared" si="87"/>
        <v>Average</v>
      </c>
    </row>
    <row r="1094" spans="1:19" x14ac:dyDescent="0.25">
      <c r="A1094" t="s">
        <v>1505</v>
      </c>
      <c r="B1094">
        <v>46</v>
      </c>
      <c r="C1094" t="s">
        <v>29</v>
      </c>
      <c r="D1094" t="s">
        <v>2471</v>
      </c>
      <c r="E1094" t="s">
        <v>55</v>
      </c>
      <c r="F1094" t="s">
        <v>100</v>
      </c>
      <c r="G1094" t="s">
        <v>644</v>
      </c>
      <c r="H1094" t="str">
        <f>TEXT(walmart[[#This Row],[Purchase_Date]],"DDD")</f>
        <v>Fri</v>
      </c>
      <c r="I1094" t="str">
        <f>TEXT(walmart[[#This Row],[Purchase_Date]],"MMM")</f>
        <v>Jan</v>
      </c>
      <c r="J1094" t="str">
        <f>TEXT(walmart[[#This Row],[Purchase_Date]],"YYY")</f>
        <v>2025</v>
      </c>
      <c r="K1094" s="3">
        <v>592.26</v>
      </c>
      <c r="L1094" t="str">
        <f t="shared" si="84"/>
        <v>10% off</v>
      </c>
      <c r="N1094" t="str">
        <f t="shared" si="85"/>
        <v>Yes</v>
      </c>
      <c r="O1094" t="s">
        <v>34</v>
      </c>
      <c r="P1094" s="3">
        <f t="shared" si="86"/>
        <v>592.26</v>
      </c>
      <c r="Q1094" t="s">
        <v>22</v>
      </c>
      <c r="R1094">
        <v>5</v>
      </c>
      <c r="S1094" t="str">
        <f t="shared" si="87"/>
        <v>Excellent</v>
      </c>
    </row>
    <row r="1095" spans="1:19" x14ac:dyDescent="0.25">
      <c r="A1095" t="s">
        <v>1506</v>
      </c>
      <c r="B1095">
        <v>25</v>
      </c>
      <c r="C1095" t="s">
        <v>16</v>
      </c>
      <c r="D1095" t="s">
        <v>2472</v>
      </c>
      <c r="E1095" t="s">
        <v>42</v>
      </c>
      <c r="F1095" t="s">
        <v>43</v>
      </c>
      <c r="G1095" t="s">
        <v>1283</v>
      </c>
      <c r="H1095" t="str">
        <f>TEXT(walmart[[#This Row],[Purchase_Date]],"DDD")</f>
        <v>Wed</v>
      </c>
      <c r="I1095" t="str">
        <f>TEXT(walmart[[#This Row],[Purchase_Date]],"MMM")</f>
        <v>Nov</v>
      </c>
      <c r="J1095" t="str">
        <f>TEXT(walmart[[#This Row],[Purchase_Date]],"YYY")</f>
        <v>2024</v>
      </c>
      <c r="K1095" s="3">
        <v>512.94000000000005</v>
      </c>
      <c r="L1095" t="str">
        <f t="shared" si="84"/>
        <v>10% off</v>
      </c>
      <c r="N1095" t="str">
        <f t="shared" si="85"/>
        <v>Yes</v>
      </c>
      <c r="O1095" t="s">
        <v>34</v>
      </c>
      <c r="P1095" s="3">
        <f t="shared" si="86"/>
        <v>512.94000000000005</v>
      </c>
      <c r="Q1095" t="s">
        <v>47</v>
      </c>
      <c r="R1095">
        <v>1</v>
      </c>
      <c r="S1095" t="str">
        <f t="shared" si="87"/>
        <v>Very Poor</v>
      </c>
    </row>
    <row r="1096" spans="1:19" x14ac:dyDescent="0.25">
      <c r="A1096" t="s">
        <v>1507</v>
      </c>
      <c r="B1096">
        <v>44</v>
      </c>
      <c r="C1096" t="s">
        <v>29</v>
      </c>
      <c r="D1096" t="s">
        <v>2473</v>
      </c>
      <c r="E1096" t="s">
        <v>31</v>
      </c>
      <c r="F1096" t="s">
        <v>169</v>
      </c>
      <c r="G1096" t="s">
        <v>174</v>
      </c>
      <c r="H1096" t="str">
        <f>TEXT(walmart[[#This Row],[Purchase_Date]],"DDD")</f>
        <v>Sun</v>
      </c>
      <c r="I1096" t="str">
        <f>TEXT(walmart[[#This Row],[Purchase_Date]],"MMM")</f>
        <v>Dec</v>
      </c>
      <c r="J1096" t="str">
        <f>TEXT(walmart[[#This Row],[Purchase_Date]],"YYY")</f>
        <v>2024</v>
      </c>
      <c r="K1096" s="3">
        <v>52.44</v>
      </c>
      <c r="L1096" t="str">
        <f t="shared" si="84"/>
        <v>0% off</v>
      </c>
      <c r="N1096" t="str">
        <f t="shared" si="85"/>
        <v>No</v>
      </c>
      <c r="O1096" t="s">
        <v>34</v>
      </c>
      <c r="P1096" s="3">
        <f t="shared" si="86"/>
        <v>52.44</v>
      </c>
      <c r="Q1096" t="s">
        <v>27</v>
      </c>
      <c r="R1096">
        <v>5</v>
      </c>
      <c r="S1096" t="str">
        <f t="shared" si="87"/>
        <v>Excellent</v>
      </c>
    </row>
    <row r="1097" spans="1:19" x14ac:dyDescent="0.25">
      <c r="A1097" t="s">
        <v>1508</v>
      </c>
      <c r="B1097">
        <v>22</v>
      </c>
      <c r="C1097" t="s">
        <v>29</v>
      </c>
      <c r="D1097" t="s">
        <v>2474</v>
      </c>
      <c r="E1097" t="s">
        <v>42</v>
      </c>
      <c r="F1097" t="s">
        <v>52</v>
      </c>
      <c r="G1097" t="s">
        <v>1283</v>
      </c>
      <c r="H1097" t="str">
        <f>TEXT(walmart[[#This Row],[Purchase_Date]],"DDD")</f>
        <v>Wed</v>
      </c>
      <c r="I1097" t="str">
        <f>TEXT(walmart[[#This Row],[Purchase_Date]],"MMM")</f>
        <v>Nov</v>
      </c>
      <c r="J1097" t="str">
        <f>TEXT(walmart[[#This Row],[Purchase_Date]],"YYY")</f>
        <v>2024</v>
      </c>
      <c r="K1097" s="3">
        <v>988.77</v>
      </c>
      <c r="L1097" t="str">
        <f t="shared" si="84"/>
        <v>20% off</v>
      </c>
      <c r="N1097" t="str">
        <f t="shared" si="85"/>
        <v>Yes</v>
      </c>
      <c r="O1097" t="s">
        <v>21</v>
      </c>
      <c r="P1097" s="3">
        <f t="shared" si="86"/>
        <v>988.77</v>
      </c>
      <c r="Q1097" t="s">
        <v>22</v>
      </c>
      <c r="R1097">
        <v>3</v>
      </c>
      <c r="S1097" t="str">
        <f t="shared" si="87"/>
        <v>Average</v>
      </c>
    </row>
    <row r="1098" spans="1:19" x14ac:dyDescent="0.25">
      <c r="A1098" t="s">
        <v>1509</v>
      </c>
      <c r="B1098">
        <v>34</v>
      </c>
      <c r="C1098" t="s">
        <v>16</v>
      </c>
      <c r="D1098" t="s">
        <v>2475</v>
      </c>
      <c r="E1098" t="s">
        <v>42</v>
      </c>
      <c r="F1098" t="s">
        <v>52</v>
      </c>
      <c r="G1098" t="s">
        <v>20</v>
      </c>
      <c r="H1098" t="str">
        <f>TEXT(walmart[[#This Row],[Purchase_Date]],"DDD")</f>
        <v>Fri</v>
      </c>
      <c r="I1098" t="str">
        <f>TEXT(walmart[[#This Row],[Purchase_Date]],"MMM")</f>
        <v>Apr</v>
      </c>
      <c r="J1098" t="str">
        <f>TEXT(walmart[[#This Row],[Purchase_Date]],"YYY")</f>
        <v>2024</v>
      </c>
      <c r="K1098" s="3">
        <v>988.77</v>
      </c>
      <c r="L1098" t="str">
        <f t="shared" si="84"/>
        <v>20% off</v>
      </c>
      <c r="N1098" t="str">
        <f t="shared" si="85"/>
        <v>Yes</v>
      </c>
      <c r="O1098" t="s">
        <v>21</v>
      </c>
      <c r="P1098" s="3">
        <f t="shared" si="86"/>
        <v>988.77</v>
      </c>
      <c r="Q1098" t="s">
        <v>22</v>
      </c>
      <c r="R1098">
        <v>1</v>
      </c>
      <c r="S1098" t="str">
        <f t="shared" si="87"/>
        <v>Very Poor</v>
      </c>
    </row>
    <row r="1099" spans="1:19" x14ac:dyDescent="0.25">
      <c r="A1099" t="s">
        <v>1510</v>
      </c>
      <c r="B1099">
        <v>70</v>
      </c>
      <c r="C1099" t="s">
        <v>29</v>
      </c>
      <c r="D1099" t="s">
        <v>2476</v>
      </c>
      <c r="E1099" t="s">
        <v>73</v>
      </c>
      <c r="F1099" t="s">
        <v>94</v>
      </c>
      <c r="G1099" t="s">
        <v>1224</v>
      </c>
      <c r="H1099" t="str">
        <f>TEXT(walmart[[#This Row],[Purchase_Date]],"DDD")</f>
        <v>Sat</v>
      </c>
      <c r="I1099" t="str">
        <f>TEXT(walmart[[#This Row],[Purchase_Date]],"MMM")</f>
        <v>Nov</v>
      </c>
      <c r="J1099" t="str">
        <f>TEXT(walmart[[#This Row],[Purchase_Date]],"YYY")</f>
        <v>2024</v>
      </c>
      <c r="K1099" s="3">
        <v>965.09</v>
      </c>
      <c r="L1099" t="str">
        <f t="shared" si="84"/>
        <v>20% off</v>
      </c>
      <c r="N1099" t="str">
        <f t="shared" si="85"/>
        <v>Yes</v>
      </c>
      <c r="O1099" t="s">
        <v>34</v>
      </c>
      <c r="P1099" s="3">
        <f t="shared" si="86"/>
        <v>965.09</v>
      </c>
      <c r="Q1099" t="s">
        <v>27</v>
      </c>
      <c r="R1099">
        <v>4</v>
      </c>
      <c r="S1099" t="str">
        <f t="shared" si="87"/>
        <v>Good</v>
      </c>
    </row>
    <row r="1100" spans="1:19" x14ac:dyDescent="0.25">
      <c r="A1100" t="s">
        <v>1511</v>
      </c>
      <c r="B1100">
        <v>58</v>
      </c>
      <c r="C1100" t="s">
        <v>16</v>
      </c>
      <c r="D1100" t="s">
        <v>2477</v>
      </c>
      <c r="E1100" t="s">
        <v>31</v>
      </c>
      <c r="F1100" t="s">
        <v>112</v>
      </c>
      <c r="G1100" t="s">
        <v>256</v>
      </c>
      <c r="H1100" t="str">
        <f>TEXT(walmart[[#This Row],[Purchase_Date]],"DDD")</f>
        <v>Sat</v>
      </c>
      <c r="I1100" t="str">
        <f>TEXT(walmart[[#This Row],[Purchase_Date]],"MMM")</f>
        <v>May</v>
      </c>
      <c r="J1100" t="str">
        <f>TEXT(walmart[[#This Row],[Purchase_Date]],"YYY")</f>
        <v>2024</v>
      </c>
      <c r="K1100" s="3">
        <v>492.1</v>
      </c>
      <c r="L1100" t="str">
        <f t="shared" si="84"/>
        <v>5% off</v>
      </c>
      <c r="N1100" t="str">
        <f t="shared" si="85"/>
        <v>Yes</v>
      </c>
      <c r="O1100" t="s">
        <v>21</v>
      </c>
      <c r="P1100" s="3">
        <f t="shared" si="86"/>
        <v>492.1</v>
      </c>
      <c r="Q1100" t="s">
        <v>35</v>
      </c>
      <c r="R1100">
        <v>2</v>
      </c>
      <c r="S1100" t="str">
        <f t="shared" si="87"/>
        <v>Poor</v>
      </c>
    </row>
    <row r="1101" spans="1:19" x14ac:dyDescent="0.25">
      <c r="A1101" t="s">
        <v>1512</v>
      </c>
      <c r="B1101">
        <v>57</v>
      </c>
      <c r="C1101" t="s">
        <v>16</v>
      </c>
      <c r="D1101" t="s">
        <v>2478</v>
      </c>
      <c r="E1101" t="s">
        <v>24</v>
      </c>
      <c r="F1101" t="s">
        <v>209</v>
      </c>
      <c r="G1101" t="s">
        <v>764</v>
      </c>
      <c r="H1101" t="str">
        <f>TEXT(walmart[[#This Row],[Purchase_Date]],"DDD")</f>
        <v>Sun</v>
      </c>
      <c r="I1101" t="str">
        <f>TEXT(walmart[[#This Row],[Purchase_Date]],"MMM")</f>
        <v>Apr</v>
      </c>
      <c r="J1101" t="str">
        <f>TEXT(walmart[[#This Row],[Purchase_Date]],"YYY")</f>
        <v>2024</v>
      </c>
      <c r="K1101" s="3">
        <v>775.75</v>
      </c>
      <c r="L1101" t="str">
        <f t="shared" si="84"/>
        <v>15% off</v>
      </c>
      <c r="N1101" t="str">
        <f t="shared" si="85"/>
        <v>Yes</v>
      </c>
      <c r="O1101" t="s">
        <v>34</v>
      </c>
      <c r="P1101" s="3">
        <f t="shared" si="86"/>
        <v>775.75</v>
      </c>
      <c r="Q1101" t="s">
        <v>47</v>
      </c>
      <c r="R1101">
        <v>4</v>
      </c>
      <c r="S1101" t="str">
        <f t="shared" si="87"/>
        <v>Good</v>
      </c>
    </row>
    <row r="1102" spans="1:19" x14ac:dyDescent="0.25">
      <c r="A1102" t="s">
        <v>1513</v>
      </c>
      <c r="B1102">
        <v>30</v>
      </c>
      <c r="C1102" t="s">
        <v>29</v>
      </c>
      <c r="D1102" t="s">
        <v>2479</v>
      </c>
      <c r="E1102" t="s">
        <v>18</v>
      </c>
      <c r="F1102" t="s">
        <v>77</v>
      </c>
      <c r="G1102" t="s">
        <v>1514</v>
      </c>
      <c r="H1102" t="str">
        <f>TEXT(walmart[[#This Row],[Purchase_Date]],"DDD")</f>
        <v>Thu</v>
      </c>
      <c r="I1102" t="str">
        <f>TEXT(walmart[[#This Row],[Purchase_Date]],"MMM")</f>
        <v>Aug</v>
      </c>
      <c r="J1102" t="str">
        <f>TEXT(walmart[[#This Row],[Purchase_Date]],"YYY")</f>
        <v>2024</v>
      </c>
      <c r="K1102" s="3">
        <v>116.78</v>
      </c>
      <c r="L1102" t="str">
        <f t="shared" si="84"/>
        <v>0% off</v>
      </c>
      <c r="N1102" t="str">
        <f t="shared" si="85"/>
        <v>No</v>
      </c>
      <c r="O1102" t="s">
        <v>34</v>
      </c>
      <c r="P1102" s="3">
        <f t="shared" si="86"/>
        <v>116.78</v>
      </c>
      <c r="Q1102" t="s">
        <v>22</v>
      </c>
      <c r="R1102">
        <v>1</v>
      </c>
      <c r="S1102" t="str">
        <f t="shared" si="87"/>
        <v>Very Poor</v>
      </c>
    </row>
    <row r="1103" spans="1:19" x14ac:dyDescent="0.25">
      <c r="A1103" t="s">
        <v>1515</v>
      </c>
      <c r="B1103">
        <v>67</v>
      </c>
      <c r="C1103" t="s">
        <v>29</v>
      </c>
      <c r="D1103" t="s">
        <v>2480</v>
      </c>
      <c r="E1103" t="s">
        <v>42</v>
      </c>
      <c r="F1103" t="s">
        <v>43</v>
      </c>
      <c r="G1103" t="s">
        <v>98</v>
      </c>
      <c r="H1103" t="str">
        <f>TEXT(walmart[[#This Row],[Purchase_Date]],"DDD")</f>
        <v>Sun</v>
      </c>
      <c r="I1103" t="str">
        <f>TEXT(walmart[[#This Row],[Purchase_Date]],"MMM")</f>
        <v>Aug</v>
      </c>
      <c r="J1103" t="str">
        <f>TEXT(walmart[[#This Row],[Purchase_Date]],"YYY")</f>
        <v>2024</v>
      </c>
      <c r="K1103" s="3">
        <v>512.94000000000005</v>
      </c>
      <c r="L1103" t="str">
        <f t="shared" si="84"/>
        <v>10% off</v>
      </c>
      <c r="N1103" t="str">
        <f t="shared" si="85"/>
        <v>Yes</v>
      </c>
      <c r="O1103" t="s">
        <v>34</v>
      </c>
      <c r="P1103" s="3">
        <f t="shared" si="86"/>
        <v>512.94000000000005</v>
      </c>
      <c r="Q1103" t="s">
        <v>22</v>
      </c>
      <c r="R1103">
        <v>1</v>
      </c>
      <c r="S1103" t="str">
        <f t="shared" si="87"/>
        <v>Very Poor</v>
      </c>
    </row>
    <row r="1104" spans="1:19" x14ac:dyDescent="0.25">
      <c r="A1104" t="s">
        <v>1516</v>
      </c>
      <c r="B1104">
        <v>45</v>
      </c>
      <c r="C1104" t="s">
        <v>16</v>
      </c>
      <c r="D1104" t="s">
        <v>2481</v>
      </c>
      <c r="E1104" t="s">
        <v>18</v>
      </c>
      <c r="F1104" t="s">
        <v>59</v>
      </c>
      <c r="G1104" t="s">
        <v>540</v>
      </c>
      <c r="H1104" t="str">
        <f>TEXT(walmart[[#This Row],[Purchase_Date]],"DDD")</f>
        <v>Sun</v>
      </c>
      <c r="I1104" t="str">
        <f>TEXT(walmart[[#This Row],[Purchase_Date]],"MMM")</f>
        <v>Feb</v>
      </c>
      <c r="J1104" t="str">
        <f>TEXT(walmart[[#This Row],[Purchase_Date]],"YYY")</f>
        <v>2025</v>
      </c>
      <c r="K1104" s="3">
        <v>78.349999999999994</v>
      </c>
      <c r="L1104" t="str">
        <f t="shared" si="84"/>
        <v>0% off</v>
      </c>
      <c r="N1104" t="str">
        <f t="shared" si="85"/>
        <v>No</v>
      </c>
      <c r="O1104" t="s">
        <v>21</v>
      </c>
      <c r="P1104" s="3">
        <f t="shared" si="86"/>
        <v>78.349999999999994</v>
      </c>
      <c r="Q1104" t="s">
        <v>35</v>
      </c>
      <c r="R1104">
        <v>4</v>
      </c>
      <c r="S1104" t="str">
        <f t="shared" si="87"/>
        <v>Good</v>
      </c>
    </row>
    <row r="1105" spans="1:19" x14ac:dyDescent="0.25">
      <c r="A1105" t="s">
        <v>1517</v>
      </c>
      <c r="B1105">
        <v>68</v>
      </c>
      <c r="C1105" t="s">
        <v>29</v>
      </c>
      <c r="D1105" t="s">
        <v>2482</v>
      </c>
      <c r="E1105" t="s">
        <v>31</v>
      </c>
      <c r="F1105" t="s">
        <v>169</v>
      </c>
      <c r="G1105" t="s">
        <v>231</v>
      </c>
      <c r="H1105" t="str">
        <f>TEXT(walmart[[#This Row],[Purchase_Date]],"DDD")</f>
        <v>Thu</v>
      </c>
      <c r="I1105" t="str">
        <f>TEXT(walmart[[#This Row],[Purchase_Date]],"MMM")</f>
        <v>Oct</v>
      </c>
      <c r="J1105" t="str">
        <f>TEXT(walmart[[#This Row],[Purchase_Date]],"YYY")</f>
        <v>2024</v>
      </c>
      <c r="K1105" s="3">
        <v>52.44</v>
      </c>
      <c r="L1105" t="str">
        <f t="shared" si="84"/>
        <v>0% off</v>
      </c>
      <c r="N1105" t="str">
        <f t="shared" si="85"/>
        <v>No</v>
      </c>
      <c r="O1105" t="s">
        <v>34</v>
      </c>
      <c r="P1105" s="3">
        <f t="shared" si="86"/>
        <v>52.44</v>
      </c>
      <c r="Q1105" t="s">
        <v>22</v>
      </c>
      <c r="R1105">
        <v>3</v>
      </c>
      <c r="S1105" t="str">
        <f t="shared" si="87"/>
        <v>Average</v>
      </c>
    </row>
    <row r="1106" spans="1:19" x14ac:dyDescent="0.25">
      <c r="A1106" t="s">
        <v>1518</v>
      </c>
      <c r="B1106">
        <v>28</v>
      </c>
      <c r="C1106" t="s">
        <v>16</v>
      </c>
      <c r="D1106" t="s">
        <v>2462</v>
      </c>
      <c r="E1106" t="s">
        <v>37</v>
      </c>
      <c r="F1106" t="s">
        <v>97</v>
      </c>
      <c r="G1106" t="s">
        <v>647</v>
      </c>
      <c r="H1106" t="str">
        <f>TEXT(walmart[[#This Row],[Purchase_Date]],"DDD")</f>
        <v>Wed</v>
      </c>
      <c r="I1106" t="str">
        <f>TEXT(walmart[[#This Row],[Purchase_Date]],"MMM")</f>
        <v>Oct</v>
      </c>
      <c r="J1106" t="str">
        <f>TEXT(walmart[[#This Row],[Purchase_Date]],"YYY")</f>
        <v>2024</v>
      </c>
      <c r="K1106" s="3">
        <v>855.21</v>
      </c>
      <c r="L1106" t="str">
        <f t="shared" si="84"/>
        <v>15% off</v>
      </c>
      <c r="N1106" t="str">
        <f t="shared" si="85"/>
        <v>Yes</v>
      </c>
      <c r="O1106" t="s">
        <v>34</v>
      </c>
      <c r="P1106" s="3">
        <f t="shared" si="86"/>
        <v>855.21</v>
      </c>
      <c r="Q1106" t="s">
        <v>35</v>
      </c>
      <c r="R1106">
        <v>1</v>
      </c>
      <c r="S1106" t="str">
        <f t="shared" si="87"/>
        <v>Very Poor</v>
      </c>
    </row>
    <row r="1107" spans="1:19" x14ac:dyDescent="0.25">
      <c r="A1107" t="s">
        <v>1519</v>
      </c>
      <c r="B1107">
        <v>58</v>
      </c>
      <c r="C1107" t="s">
        <v>16</v>
      </c>
      <c r="D1107" t="s">
        <v>2483</v>
      </c>
      <c r="E1107" t="s">
        <v>55</v>
      </c>
      <c r="F1107" t="s">
        <v>67</v>
      </c>
      <c r="G1107" t="s">
        <v>632</v>
      </c>
      <c r="H1107" t="str">
        <f>TEXT(walmart[[#This Row],[Purchase_Date]],"DDD")</f>
        <v>Wed</v>
      </c>
      <c r="I1107" t="str">
        <f>TEXT(walmart[[#This Row],[Purchase_Date]],"MMM")</f>
        <v>Jan</v>
      </c>
      <c r="J1107" t="str">
        <f>TEXT(walmart[[#This Row],[Purchase_Date]],"YYY")</f>
        <v>2025</v>
      </c>
      <c r="K1107" s="3">
        <v>452.97</v>
      </c>
      <c r="L1107" t="str">
        <f t="shared" si="84"/>
        <v>5% off</v>
      </c>
      <c r="N1107" t="str">
        <f t="shared" si="85"/>
        <v>Yes</v>
      </c>
      <c r="O1107" t="s">
        <v>34</v>
      </c>
      <c r="P1107" s="3">
        <f t="shared" si="86"/>
        <v>452.97</v>
      </c>
      <c r="Q1107" t="s">
        <v>22</v>
      </c>
      <c r="R1107">
        <v>1</v>
      </c>
      <c r="S1107" t="str">
        <f t="shared" si="87"/>
        <v>Very Poor</v>
      </c>
    </row>
    <row r="1108" spans="1:19" x14ac:dyDescent="0.25">
      <c r="A1108" t="s">
        <v>1520</v>
      </c>
      <c r="B1108">
        <v>30</v>
      </c>
      <c r="C1108" t="s">
        <v>16</v>
      </c>
      <c r="D1108" t="s">
        <v>2484</v>
      </c>
      <c r="E1108" t="s">
        <v>31</v>
      </c>
      <c r="F1108" t="s">
        <v>112</v>
      </c>
      <c r="G1108" t="s">
        <v>639</v>
      </c>
      <c r="H1108" t="str">
        <f>TEXT(walmart[[#This Row],[Purchase_Date]],"DDD")</f>
        <v>Fri</v>
      </c>
      <c r="I1108" t="str">
        <f>TEXT(walmart[[#This Row],[Purchase_Date]],"MMM")</f>
        <v>Jun</v>
      </c>
      <c r="J1108" t="str">
        <f>TEXT(walmart[[#This Row],[Purchase_Date]],"YYY")</f>
        <v>2024</v>
      </c>
      <c r="K1108" s="3">
        <v>492.1</v>
      </c>
      <c r="L1108" t="str">
        <f t="shared" si="84"/>
        <v>5% off</v>
      </c>
      <c r="N1108" t="str">
        <f t="shared" si="85"/>
        <v>Yes</v>
      </c>
      <c r="O1108" t="s">
        <v>21</v>
      </c>
      <c r="P1108" s="3">
        <f t="shared" si="86"/>
        <v>492.1</v>
      </c>
      <c r="Q1108" t="s">
        <v>22</v>
      </c>
      <c r="R1108">
        <v>3</v>
      </c>
      <c r="S1108" t="str">
        <f t="shared" si="87"/>
        <v>Average</v>
      </c>
    </row>
    <row r="1109" spans="1:19" x14ac:dyDescent="0.25">
      <c r="A1109" t="s">
        <v>1521</v>
      </c>
      <c r="B1109">
        <v>67</v>
      </c>
      <c r="C1109" t="s">
        <v>16</v>
      </c>
      <c r="D1109" t="s">
        <v>2485</v>
      </c>
      <c r="E1109" t="s">
        <v>37</v>
      </c>
      <c r="F1109" t="s">
        <v>97</v>
      </c>
      <c r="G1109" t="s">
        <v>95</v>
      </c>
      <c r="H1109" t="str">
        <f>TEXT(walmart[[#This Row],[Purchase_Date]],"DDD")</f>
        <v>Wed</v>
      </c>
      <c r="I1109" t="str">
        <f>TEXT(walmart[[#This Row],[Purchase_Date]],"MMM")</f>
        <v>Dec</v>
      </c>
      <c r="J1109" t="str">
        <f>TEXT(walmart[[#This Row],[Purchase_Date]],"YYY")</f>
        <v>2024</v>
      </c>
      <c r="K1109" s="3">
        <v>855.21</v>
      </c>
      <c r="L1109" t="str">
        <f t="shared" si="84"/>
        <v>15% off</v>
      </c>
      <c r="N1109" t="str">
        <f t="shared" si="85"/>
        <v>Yes</v>
      </c>
      <c r="O1109" t="s">
        <v>34</v>
      </c>
      <c r="P1109" s="3">
        <f t="shared" si="86"/>
        <v>855.21</v>
      </c>
      <c r="Q1109" t="s">
        <v>27</v>
      </c>
      <c r="R1109">
        <v>2</v>
      </c>
      <c r="S1109" t="str">
        <f t="shared" si="87"/>
        <v>Poor</v>
      </c>
    </row>
    <row r="1110" spans="1:19" x14ac:dyDescent="0.25">
      <c r="A1110" t="s">
        <v>1522</v>
      </c>
      <c r="B1110">
        <v>56</v>
      </c>
      <c r="C1110" t="s">
        <v>16</v>
      </c>
      <c r="D1110" t="s">
        <v>2486</v>
      </c>
      <c r="E1110" t="s">
        <v>37</v>
      </c>
      <c r="F1110" t="s">
        <v>82</v>
      </c>
      <c r="G1110" t="s">
        <v>207</v>
      </c>
      <c r="H1110" t="str">
        <f>TEXT(walmart[[#This Row],[Purchase_Date]],"DDD")</f>
        <v>Wed</v>
      </c>
      <c r="I1110" t="str">
        <f>TEXT(walmart[[#This Row],[Purchase_Date]],"MMM")</f>
        <v>Aug</v>
      </c>
      <c r="J1110" t="str">
        <f>TEXT(walmart[[#This Row],[Purchase_Date]],"YYY")</f>
        <v>2024</v>
      </c>
      <c r="K1110" s="3">
        <v>270.41000000000003</v>
      </c>
      <c r="L1110" t="str">
        <f t="shared" si="84"/>
        <v>5% off</v>
      </c>
      <c r="N1110" t="str">
        <f t="shared" si="85"/>
        <v>Yes</v>
      </c>
      <c r="O1110" t="s">
        <v>34</v>
      </c>
      <c r="P1110" s="3">
        <f t="shared" si="86"/>
        <v>270.41000000000003</v>
      </c>
      <c r="Q1110" t="s">
        <v>22</v>
      </c>
      <c r="R1110">
        <v>1</v>
      </c>
      <c r="S1110" t="str">
        <f t="shared" si="87"/>
        <v>Very Poor</v>
      </c>
    </row>
    <row r="1111" spans="1:19" x14ac:dyDescent="0.25">
      <c r="A1111" t="s">
        <v>1523</v>
      </c>
      <c r="B1111">
        <v>21</v>
      </c>
      <c r="C1111" t="s">
        <v>29</v>
      </c>
      <c r="D1111" t="s">
        <v>2487</v>
      </c>
      <c r="E1111" t="s">
        <v>73</v>
      </c>
      <c r="F1111" t="s">
        <v>74</v>
      </c>
      <c r="G1111" t="s">
        <v>174</v>
      </c>
      <c r="H1111" t="str">
        <f>TEXT(walmart[[#This Row],[Purchase_Date]],"DDD")</f>
        <v>Sun</v>
      </c>
      <c r="I1111" t="str">
        <f>TEXT(walmart[[#This Row],[Purchase_Date]],"MMM")</f>
        <v>Dec</v>
      </c>
      <c r="J1111" t="str">
        <f>TEXT(walmart[[#This Row],[Purchase_Date]],"YYY")</f>
        <v>2024</v>
      </c>
      <c r="K1111" s="3">
        <v>782.29</v>
      </c>
      <c r="L1111" t="str">
        <f t="shared" si="84"/>
        <v>15% off</v>
      </c>
      <c r="N1111" t="str">
        <f t="shared" si="85"/>
        <v>Yes</v>
      </c>
      <c r="O1111" t="s">
        <v>21</v>
      </c>
      <c r="P1111" s="3">
        <f t="shared" si="86"/>
        <v>782.29</v>
      </c>
      <c r="Q1111" t="s">
        <v>22</v>
      </c>
      <c r="R1111">
        <v>1</v>
      </c>
      <c r="S1111" t="str">
        <f t="shared" si="87"/>
        <v>Very Poor</v>
      </c>
    </row>
    <row r="1112" spans="1:19" x14ac:dyDescent="0.25">
      <c r="A1112" t="s">
        <v>1524</v>
      </c>
      <c r="B1112">
        <v>28</v>
      </c>
      <c r="C1112" t="s">
        <v>29</v>
      </c>
      <c r="D1112" t="s">
        <v>2488</v>
      </c>
      <c r="E1112" t="s">
        <v>37</v>
      </c>
      <c r="F1112" t="s">
        <v>38</v>
      </c>
      <c r="G1112" t="s">
        <v>108</v>
      </c>
      <c r="H1112" t="str">
        <f>TEXT(walmart[[#This Row],[Purchase_Date]],"DDD")</f>
        <v>Wed</v>
      </c>
      <c r="I1112" t="str">
        <f>TEXT(walmart[[#This Row],[Purchase_Date]],"MMM")</f>
        <v>Aug</v>
      </c>
      <c r="J1112" t="str">
        <f>TEXT(walmart[[#This Row],[Purchase_Date]],"YYY")</f>
        <v>2024</v>
      </c>
      <c r="K1112" s="3">
        <v>211.46</v>
      </c>
      <c r="L1112" t="str">
        <f t="shared" si="84"/>
        <v>5% off</v>
      </c>
      <c r="N1112" t="str">
        <f t="shared" si="85"/>
        <v>Yes</v>
      </c>
      <c r="O1112" t="s">
        <v>21</v>
      </c>
      <c r="P1112" s="3">
        <f t="shared" si="86"/>
        <v>211.46</v>
      </c>
      <c r="Q1112" t="s">
        <v>35</v>
      </c>
      <c r="R1112">
        <v>3</v>
      </c>
      <c r="S1112" t="str">
        <f t="shared" si="87"/>
        <v>Average</v>
      </c>
    </row>
    <row r="1113" spans="1:19" x14ac:dyDescent="0.25">
      <c r="A1113" t="s">
        <v>1525</v>
      </c>
      <c r="B1113">
        <v>69</v>
      </c>
      <c r="C1113" t="s">
        <v>16</v>
      </c>
      <c r="D1113" t="s">
        <v>2489</v>
      </c>
      <c r="E1113" t="s">
        <v>37</v>
      </c>
      <c r="F1113" t="s">
        <v>97</v>
      </c>
      <c r="G1113" t="s">
        <v>644</v>
      </c>
      <c r="H1113" t="str">
        <f>TEXT(walmart[[#This Row],[Purchase_Date]],"DDD")</f>
        <v>Fri</v>
      </c>
      <c r="I1113" t="str">
        <f>TEXT(walmart[[#This Row],[Purchase_Date]],"MMM")</f>
        <v>Jan</v>
      </c>
      <c r="J1113" t="str">
        <f>TEXT(walmart[[#This Row],[Purchase_Date]],"YYY")</f>
        <v>2025</v>
      </c>
      <c r="K1113" s="3">
        <v>855.21</v>
      </c>
      <c r="L1113" t="str">
        <f t="shared" si="84"/>
        <v>15% off</v>
      </c>
      <c r="N1113" t="str">
        <f t="shared" si="85"/>
        <v>Yes</v>
      </c>
      <c r="O1113" t="s">
        <v>21</v>
      </c>
      <c r="P1113" s="3">
        <f t="shared" si="86"/>
        <v>855.21</v>
      </c>
      <c r="Q1113" t="s">
        <v>35</v>
      </c>
      <c r="R1113">
        <v>4</v>
      </c>
      <c r="S1113" t="str">
        <f t="shared" si="87"/>
        <v>Good</v>
      </c>
    </row>
    <row r="1114" spans="1:19" x14ac:dyDescent="0.25">
      <c r="A1114" t="s">
        <v>1526</v>
      </c>
      <c r="B1114">
        <v>39</v>
      </c>
      <c r="C1114" t="s">
        <v>29</v>
      </c>
      <c r="D1114" t="s">
        <v>2490</v>
      </c>
      <c r="E1114" t="s">
        <v>73</v>
      </c>
      <c r="F1114" t="s">
        <v>94</v>
      </c>
      <c r="G1114" t="s">
        <v>193</v>
      </c>
      <c r="H1114" t="str">
        <f>TEXT(walmart[[#This Row],[Purchase_Date]],"DDD")</f>
        <v>Thu</v>
      </c>
      <c r="I1114" t="str">
        <f>TEXT(walmart[[#This Row],[Purchase_Date]],"MMM")</f>
        <v>May</v>
      </c>
      <c r="J1114" t="str">
        <f>TEXT(walmart[[#This Row],[Purchase_Date]],"YYY")</f>
        <v>2024</v>
      </c>
      <c r="K1114" s="3">
        <v>965.09</v>
      </c>
      <c r="L1114" t="str">
        <f t="shared" si="84"/>
        <v>20% off</v>
      </c>
      <c r="N1114" t="str">
        <f t="shared" si="85"/>
        <v>Yes</v>
      </c>
      <c r="O1114" t="s">
        <v>21</v>
      </c>
      <c r="P1114" s="3">
        <f t="shared" si="86"/>
        <v>965.09</v>
      </c>
      <c r="Q1114" t="s">
        <v>27</v>
      </c>
      <c r="R1114">
        <v>2</v>
      </c>
      <c r="S1114" t="str">
        <f t="shared" si="87"/>
        <v>Poor</v>
      </c>
    </row>
    <row r="1115" spans="1:19" x14ac:dyDescent="0.25">
      <c r="A1115" t="s">
        <v>1527</v>
      </c>
      <c r="B1115">
        <v>69</v>
      </c>
      <c r="C1115" t="s">
        <v>16</v>
      </c>
      <c r="D1115" t="s">
        <v>2471</v>
      </c>
      <c r="E1115" t="s">
        <v>37</v>
      </c>
      <c r="F1115" t="s">
        <v>82</v>
      </c>
      <c r="G1115" t="s">
        <v>219</v>
      </c>
      <c r="H1115" t="str">
        <f>TEXT(walmart[[#This Row],[Purchase_Date]],"DDD")</f>
        <v>Thu</v>
      </c>
      <c r="I1115" t="str">
        <f>TEXT(walmart[[#This Row],[Purchase_Date]],"MMM")</f>
        <v>Aug</v>
      </c>
      <c r="J1115" t="str">
        <f>TEXT(walmart[[#This Row],[Purchase_Date]],"YYY")</f>
        <v>2024</v>
      </c>
      <c r="K1115" s="3">
        <v>270.41000000000003</v>
      </c>
      <c r="L1115" t="str">
        <f t="shared" si="84"/>
        <v>5% off</v>
      </c>
      <c r="N1115" t="str">
        <f t="shared" si="85"/>
        <v>Yes</v>
      </c>
      <c r="O1115" t="s">
        <v>34</v>
      </c>
      <c r="P1115" s="3">
        <f t="shared" si="86"/>
        <v>270.41000000000003</v>
      </c>
      <c r="Q1115" t="s">
        <v>27</v>
      </c>
      <c r="R1115">
        <v>4</v>
      </c>
      <c r="S1115" t="str">
        <f t="shared" si="87"/>
        <v>Good</v>
      </c>
    </row>
    <row r="1116" spans="1:19" x14ac:dyDescent="0.25">
      <c r="A1116" t="s">
        <v>1528</v>
      </c>
      <c r="B1116">
        <v>27</v>
      </c>
      <c r="C1116" t="s">
        <v>29</v>
      </c>
      <c r="D1116" t="s">
        <v>2491</v>
      </c>
      <c r="E1116" t="s">
        <v>31</v>
      </c>
      <c r="F1116" t="s">
        <v>169</v>
      </c>
      <c r="G1116" t="s">
        <v>1021</v>
      </c>
      <c r="H1116" t="str">
        <f>TEXT(walmart[[#This Row],[Purchase_Date]],"DDD")</f>
        <v>Wed</v>
      </c>
      <c r="I1116" t="str">
        <f>TEXT(walmart[[#This Row],[Purchase_Date]],"MMM")</f>
        <v>Apr</v>
      </c>
      <c r="J1116" t="str">
        <f>TEXT(walmart[[#This Row],[Purchase_Date]],"YYY")</f>
        <v>2024</v>
      </c>
      <c r="K1116" s="3">
        <v>52.44</v>
      </c>
      <c r="L1116" t="str">
        <f t="shared" si="84"/>
        <v>0% off</v>
      </c>
      <c r="N1116" t="str">
        <f t="shared" si="85"/>
        <v>No</v>
      </c>
      <c r="O1116" t="s">
        <v>34</v>
      </c>
      <c r="P1116" s="3">
        <f t="shared" si="86"/>
        <v>52.44</v>
      </c>
      <c r="Q1116" t="s">
        <v>35</v>
      </c>
      <c r="R1116">
        <v>3</v>
      </c>
      <c r="S1116" t="str">
        <f t="shared" si="87"/>
        <v>Average</v>
      </c>
    </row>
    <row r="1117" spans="1:19" x14ac:dyDescent="0.25">
      <c r="A1117" t="s">
        <v>1529</v>
      </c>
      <c r="B1117">
        <v>55</v>
      </c>
      <c r="C1117" t="s">
        <v>16</v>
      </c>
      <c r="D1117" t="s">
        <v>2492</v>
      </c>
      <c r="E1117" t="s">
        <v>55</v>
      </c>
      <c r="F1117" t="s">
        <v>67</v>
      </c>
      <c r="G1117" t="s">
        <v>115</v>
      </c>
      <c r="H1117" t="str">
        <f>TEXT(walmart[[#This Row],[Purchase_Date]],"DDD")</f>
        <v>Mon</v>
      </c>
      <c r="I1117" t="str">
        <f>TEXT(walmart[[#This Row],[Purchase_Date]],"MMM")</f>
        <v>Nov</v>
      </c>
      <c r="J1117" t="str">
        <f>TEXT(walmart[[#This Row],[Purchase_Date]],"YYY")</f>
        <v>2024</v>
      </c>
      <c r="K1117" s="3">
        <v>452.97</v>
      </c>
      <c r="L1117" t="str">
        <f t="shared" si="84"/>
        <v>5% off</v>
      </c>
      <c r="N1117" t="str">
        <f t="shared" si="85"/>
        <v>Yes</v>
      </c>
      <c r="O1117" t="s">
        <v>21</v>
      </c>
      <c r="P1117" s="3">
        <f t="shared" si="86"/>
        <v>452.97</v>
      </c>
      <c r="Q1117" t="s">
        <v>27</v>
      </c>
      <c r="R1117">
        <v>1</v>
      </c>
      <c r="S1117" t="str">
        <f t="shared" si="87"/>
        <v>Very Poor</v>
      </c>
    </row>
    <row r="1118" spans="1:19" x14ac:dyDescent="0.25">
      <c r="A1118" t="s">
        <v>1530</v>
      </c>
      <c r="B1118">
        <v>38</v>
      </c>
      <c r="C1118" t="s">
        <v>16</v>
      </c>
      <c r="D1118" t="s">
        <v>2493</v>
      </c>
      <c r="E1118" t="s">
        <v>37</v>
      </c>
      <c r="F1118" t="s">
        <v>38</v>
      </c>
      <c r="G1118" t="s">
        <v>681</v>
      </c>
      <c r="H1118" t="str">
        <f>TEXT(walmart[[#This Row],[Purchase_Date]],"DDD")</f>
        <v>Sun</v>
      </c>
      <c r="I1118" t="str">
        <f>TEXT(walmart[[#This Row],[Purchase_Date]],"MMM")</f>
        <v>Jun</v>
      </c>
      <c r="J1118" t="str">
        <f>TEXT(walmart[[#This Row],[Purchase_Date]],"YYY")</f>
        <v>2024</v>
      </c>
      <c r="K1118" s="3">
        <v>211.46</v>
      </c>
      <c r="L1118" t="str">
        <f t="shared" si="84"/>
        <v>5% off</v>
      </c>
      <c r="N1118" t="str">
        <f t="shared" si="85"/>
        <v>Yes</v>
      </c>
      <c r="O1118" t="s">
        <v>34</v>
      </c>
      <c r="P1118" s="3">
        <f t="shared" si="86"/>
        <v>211.46</v>
      </c>
      <c r="Q1118" t="s">
        <v>35</v>
      </c>
      <c r="R1118">
        <v>1</v>
      </c>
      <c r="S1118" t="str">
        <f t="shared" si="87"/>
        <v>Very Poor</v>
      </c>
    </row>
    <row r="1119" spans="1:19" x14ac:dyDescent="0.25">
      <c r="A1119" t="s">
        <v>1531</v>
      </c>
      <c r="B1119">
        <v>53</v>
      </c>
      <c r="C1119" t="s">
        <v>16</v>
      </c>
      <c r="D1119" t="s">
        <v>2494</v>
      </c>
      <c r="E1119" t="s">
        <v>55</v>
      </c>
      <c r="F1119" t="s">
        <v>56</v>
      </c>
      <c r="G1119" t="s">
        <v>50</v>
      </c>
      <c r="H1119" t="str">
        <f>TEXT(walmart[[#This Row],[Purchase_Date]],"DDD")</f>
        <v>Thu</v>
      </c>
      <c r="I1119" t="str">
        <f>TEXT(walmart[[#This Row],[Purchase_Date]],"MMM")</f>
        <v>Oct</v>
      </c>
      <c r="J1119" t="str">
        <f>TEXT(walmart[[#This Row],[Purchase_Date]],"YYY")</f>
        <v>2024</v>
      </c>
      <c r="K1119" s="3">
        <v>76.81</v>
      </c>
      <c r="L1119" t="str">
        <f t="shared" si="84"/>
        <v>0% off</v>
      </c>
      <c r="N1119" t="str">
        <f t="shared" si="85"/>
        <v>No</v>
      </c>
      <c r="O1119" t="s">
        <v>21</v>
      </c>
      <c r="P1119" s="3">
        <f t="shared" si="86"/>
        <v>76.81</v>
      </c>
      <c r="Q1119" t="s">
        <v>22</v>
      </c>
      <c r="R1119">
        <v>1</v>
      </c>
      <c r="S1119" t="str">
        <f t="shared" si="87"/>
        <v>Very Poor</v>
      </c>
    </row>
    <row r="1120" spans="1:19" x14ac:dyDescent="0.25">
      <c r="A1120" t="s">
        <v>1532</v>
      </c>
      <c r="B1120">
        <v>65</v>
      </c>
      <c r="C1120" t="s">
        <v>16</v>
      </c>
      <c r="D1120" t="s">
        <v>2495</v>
      </c>
      <c r="E1120" t="s">
        <v>73</v>
      </c>
      <c r="F1120" t="s">
        <v>91</v>
      </c>
      <c r="G1120" t="s">
        <v>325</v>
      </c>
      <c r="H1120" t="str">
        <f>TEXT(walmart[[#This Row],[Purchase_Date]],"DDD")</f>
        <v>Sat</v>
      </c>
      <c r="I1120" t="str">
        <f>TEXT(walmart[[#This Row],[Purchase_Date]],"MMM")</f>
        <v>Jun</v>
      </c>
      <c r="J1120" t="str">
        <f>TEXT(walmart[[#This Row],[Purchase_Date]],"YYY")</f>
        <v>2024</v>
      </c>
      <c r="K1120" s="3">
        <v>418.55</v>
      </c>
      <c r="L1120" t="str">
        <f t="shared" si="84"/>
        <v>5% off</v>
      </c>
      <c r="N1120" t="str">
        <f t="shared" si="85"/>
        <v>Yes</v>
      </c>
      <c r="O1120" t="s">
        <v>21</v>
      </c>
      <c r="P1120" s="3">
        <f t="shared" si="86"/>
        <v>418.55</v>
      </c>
      <c r="Q1120" t="s">
        <v>47</v>
      </c>
      <c r="R1120">
        <v>3</v>
      </c>
      <c r="S1120" t="str">
        <f t="shared" si="87"/>
        <v>Average</v>
      </c>
    </row>
    <row r="1121" spans="1:19" x14ac:dyDescent="0.25">
      <c r="A1121" t="s">
        <v>1533</v>
      </c>
      <c r="B1121">
        <v>63</v>
      </c>
      <c r="C1121" t="s">
        <v>29</v>
      </c>
      <c r="D1121" t="s">
        <v>2496</v>
      </c>
      <c r="E1121" t="s">
        <v>37</v>
      </c>
      <c r="F1121" t="s">
        <v>97</v>
      </c>
      <c r="G1121" t="s">
        <v>622</v>
      </c>
      <c r="H1121" t="str">
        <f>TEXT(walmart[[#This Row],[Purchase_Date]],"DDD")</f>
        <v>Mon</v>
      </c>
      <c r="I1121" t="str">
        <f>TEXT(walmart[[#This Row],[Purchase_Date]],"MMM")</f>
        <v>Dec</v>
      </c>
      <c r="J1121" t="str">
        <f>TEXT(walmart[[#This Row],[Purchase_Date]],"YYY")</f>
        <v>2024</v>
      </c>
      <c r="K1121" s="3">
        <v>855.21</v>
      </c>
      <c r="L1121" t="str">
        <f t="shared" si="84"/>
        <v>15% off</v>
      </c>
      <c r="N1121" t="str">
        <f t="shared" si="85"/>
        <v>Yes</v>
      </c>
      <c r="O1121" t="s">
        <v>21</v>
      </c>
      <c r="P1121" s="3">
        <f t="shared" si="86"/>
        <v>855.21</v>
      </c>
      <c r="Q1121" t="s">
        <v>35</v>
      </c>
      <c r="R1121">
        <v>2</v>
      </c>
      <c r="S1121" t="str">
        <f t="shared" si="87"/>
        <v>Poor</v>
      </c>
    </row>
    <row r="1122" spans="1:19" x14ac:dyDescent="0.25">
      <c r="A1122" t="s">
        <v>1534</v>
      </c>
      <c r="B1122">
        <v>35</v>
      </c>
      <c r="C1122" t="s">
        <v>29</v>
      </c>
      <c r="D1122" t="s">
        <v>2497</v>
      </c>
      <c r="E1122" t="s">
        <v>55</v>
      </c>
      <c r="F1122" t="s">
        <v>64</v>
      </c>
      <c r="G1122" t="s">
        <v>1239</v>
      </c>
      <c r="H1122" t="str">
        <f>TEXT(walmart[[#This Row],[Purchase_Date]],"DDD")</f>
        <v>Sun</v>
      </c>
      <c r="I1122" t="str">
        <f>TEXT(walmart[[#This Row],[Purchase_Date]],"MMM")</f>
        <v>Jan</v>
      </c>
      <c r="J1122" t="str">
        <f>TEXT(walmart[[#This Row],[Purchase_Date]],"YYY")</f>
        <v>2025</v>
      </c>
      <c r="K1122" s="3">
        <v>374.92</v>
      </c>
      <c r="L1122" t="str">
        <f t="shared" si="84"/>
        <v>5% off</v>
      </c>
      <c r="N1122" t="str">
        <f t="shared" si="85"/>
        <v>Yes</v>
      </c>
      <c r="O1122" t="s">
        <v>21</v>
      </c>
      <c r="P1122" s="3">
        <f t="shared" si="86"/>
        <v>374.92</v>
      </c>
      <c r="Q1122" t="s">
        <v>22</v>
      </c>
      <c r="R1122">
        <v>3</v>
      </c>
      <c r="S1122" t="str">
        <f t="shared" si="87"/>
        <v>Average</v>
      </c>
    </row>
    <row r="1123" spans="1:19" x14ac:dyDescent="0.25">
      <c r="A1123" t="s">
        <v>1535</v>
      </c>
      <c r="B1123">
        <v>70</v>
      </c>
      <c r="C1123" t="s">
        <v>29</v>
      </c>
      <c r="D1123" t="s">
        <v>2498</v>
      </c>
      <c r="E1123" t="s">
        <v>18</v>
      </c>
      <c r="F1123" t="s">
        <v>59</v>
      </c>
      <c r="G1123" t="s">
        <v>568</v>
      </c>
      <c r="H1123" t="str">
        <f>TEXT(walmart[[#This Row],[Purchase_Date]],"DDD")</f>
        <v>Sun</v>
      </c>
      <c r="I1123" t="str">
        <f>TEXT(walmart[[#This Row],[Purchase_Date]],"MMM")</f>
        <v>Oct</v>
      </c>
      <c r="J1123" t="str">
        <f>TEXT(walmart[[#This Row],[Purchase_Date]],"YYY")</f>
        <v>2024</v>
      </c>
      <c r="K1123" s="3">
        <v>78.349999999999994</v>
      </c>
      <c r="L1123" t="str">
        <f t="shared" si="84"/>
        <v>0% off</v>
      </c>
      <c r="N1123" t="str">
        <f t="shared" si="85"/>
        <v>No</v>
      </c>
      <c r="O1123" t="s">
        <v>21</v>
      </c>
      <c r="P1123" s="3">
        <f t="shared" si="86"/>
        <v>78.349999999999994</v>
      </c>
      <c r="Q1123" t="s">
        <v>35</v>
      </c>
      <c r="R1123">
        <v>3</v>
      </c>
      <c r="S1123" t="str">
        <f t="shared" si="87"/>
        <v>Average</v>
      </c>
    </row>
    <row r="1124" spans="1:19" x14ac:dyDescent="0.25">
      <c r="A1124" t="s">
        <v>1536</v>
      </c>
      <c r="B1124">
        <v>33</v>
      </c>
      <c r="C1124" t="s">
        <v>16</v>
      </c>
      <c r="D1124" t="s">
        <v>2499</v>
      </c>
      <c r="E1124" t="s">
        <v>37</v>
      </c>
      <c r="F1124" t="s">
        <v>38</v>
      </c>
      <c r="G1124" t="s">
        <v>1143</v>
      </c>
      <c r="H1124" t="str">
        <f>TEXT(walmart[[#This Row],[Purchase_Date]],"DDD")</f>
        <v>Sat</v>
      </c>
      <c r="I1124" t="str">
        <f>TEXT(walmart[[#This Row],[Purchase_Date]],"MMM")</f>
        <v>Nov</v>
      </c>
      <c r="J1124" t="str">
        <f>TEXT(walmart[[#This Row],[Purchase_Date]],"YYY")</f>
        <v>2024</v>
      </c>
      <c r="K1124" s="3">
        <v>211.46</v>
      </c>
      <c r="L1124" t="str">
        <f t="shared" si="84"/>
        <v>5% off</v>
      </c>
      <c r="N1124" t="str">
        <f t="shared" si="85"/>
        <v>Yes</v>
      </c>
      <c r="O1124" t="s">
        <v>21</v>
      </c>
      <c r="P1124" s="3">
        <f t="shared" si="86"/>
        <v>211.46</v>
      </c>
      <c r="Q1124" t="s">
        <v>47</v>
      </c>
      <c r="R1124">
        <v>5</v>
      </c>
      <c r="S1124" t="str">
        <f t="shared" si="87"/>
        <v>Excellent</v>
      </c>
    </row>
    <row r="1125" spans="1:19" x14ac:dyDescent="0.25">
      <c r="A1125" t="s">
        <v>1537</v>
      </c>
      <c r="B1125">
        <v>25</v>
      </c>
      <c r="C1125" t="s">
        <v>16</v>
      </c>
      <c r="D1125" t="s">
        <v>2500</v>
      </c>
      <c r="E1125" t="s">
        <v>24</v>
      </c>
      <c r="F1125" t="s">
        <v>162</v>
      </c>
      <c r="G1125" t="s">
        <v>632</v>
      </c>
      <c r="H1125" t="str">
        <f>TEXT(walmart[[#This Row],[Purchase_Date]],"DDD")</f>
        <v>Wed</v>
      </c>
      <c r="I1125" t="str">
        <f>TEXT(walmart[[#This Row],[Purchase_Date]],"MMM")</f>
        <v>Jan</v>
      </c>
      <c r="J1125" t="str">
        <f>TEXT(walmart[[#This Row],[Purchase_Date]],"YYY")</f>
        <v>2025</v>
      </c>
      <c r="K1125" s="3">
        <v>362.55</v>
      </c>
      <c r="L1125" t="str">
        <f t="shared" si="84"/>
        <v>5% off</v>
      </c>
      <c r="N1125" t="str">
        <f t="shared" si="85"/>
        <v>Yes</v>
      </c>
      <c r="O1125" t="s">
        <v>34</v>
      </c>
      <c r="P1125" s="3">
        <f t="shared" si="86"/>
        <v>362.55</v>
      </c>
      <c r="Q1125" t="s">
        <v>47</v>
      </c>
      <c r="R1125">
        <v>2</v>
      </c>
      <c r="S1125" t="str">
        <f t="shared" si="87"/>
        <v>Poor</v>
      </c>
    </row>
    <row r="1126" spans="1:19" x14ac:dyDescent="0.25">
      <c r="A1126" t="s">
        <v>1538</v>
      </c>
      <c r="B1126">
        <v>40</v>
      </c>
      <c r="C1126" t="s">
        <v>16</v>
      </c>
      <c r="D1126" t="s">
        <v>2501</v>
      </c>
      <c r="E1126" t="s">
        <v>37</v>
      </c>
      <c r="F1126" t="s">
        <v>97</v>
      </c>
      <c r="G1126" t="s">
        <v>234</v>
      </c>
      <c r="H1126" t="str">
        <f>TEXT(walmart[[#This Row],[Purchase_Date]],"DDD")</f>
        <v>Fri</v>
      </c>
      <c r="I1126" t="str">
        <f>TEXT(walmart[[#This Row],[Purchase_Date]],"MMM")</f>
        <v>Jul</v>
      </c>
      <c r="J1126" t="str">
        <f>TEXT(walmart[[#This Row],[Purchase_Date]],"YYY")</f>
        <v>2024</v>
      </c>
      <c r="K1126" s="3">
        <v>855.21</v>
      </c>
      <c r="L1126" t="str">
        <f t="shared" si="84"/>
        <v>15% off</v>
      </c>
      <c r="N1126" t="str">
        <f t="shared" si="85"/>
        <v>Yes</v>
      </c>
      <c r="O1126" t="s">
        <v>21</v>
      </c>
      <c r="P1126" s="3">
        <f t="shared" si="86"/>
        <v>855.21</v>
      </c>
      <c r="Q1126" t="s">
        <v>35</v>
      </c>
      <c r="R1126">
        <v>3</v>
      </c>
      <c r="S1126" t="str">
        <f t="shared" si="87"/>
        <v>Average</v>
      </c>
    </row>
    <row r="1127" spans="1:19" x14ac:dyDescent="0.25">
      <c r="A1127" t="s">
        <v>1539</v>
      </c>
      <c r="B1127">
        <v>42</v>
      </c>
      <c r="C1127" t="s">
        <v>16</v>
      </c>
      <c r="D1127" t="s">
        <v>2502</v>
      </c>
      <c r="E1127" t="s">
        <v>73</v>
      </c>
      <c r="F1127" t="s">
        <v>91</v>
      </c>
      <c r="G1127" t="s">
        <v>558</v>
      </c>
      <c r="H1127" t="str">
        <f>TEXT(walmart[[#This Row],[Purchase_Date]],"DDD")</f>
        <v>Tue</v>
      </c>
      <c r="I1127" t="str">
        <f>TEXT(walmart[[#This Row],[Purchase_Date]],"MMM")</f>
        <v>Dec</v>
      </c>
      <c r="J1127" t="str">
        <f>TEXT(walmart[[#This Row],[Purchase_Date]],"YYY")</f>
        <v>2024</v>
      </c>
      <c r="K1127" s="3">
        <v>418.55</v>
      </c>
      <c r="L1127" t="str">
        <f t="shared" si="84"/>
        <v>5% off</v>
      </c>
      <c r="N1127" t="str">
        <f t="shared" si="85"/>
        <v>Yes</v>
      </c>
      <c r="O1127" t="s">
        <v>34</v>
      </c>
      <c r="P1127" s="3">
        <f t="shared" si="86"/>
        <v>418.55</v>
      </c>
      <c r="Q1127" t="s">
        <v>27</v>
      </c>
      <c r="R1127">
        <v>3</v>
      </c>
      <c r="S1127" t="str">
        <f t="shared" si="87"/>
        <v>Average</v>
      </c>
    </row>
    <row r="1128" spans="1:19" x14ac:dyDescent="0.25">
      <c r="A1128" t="s">
        <v>1540</v>
      </c>
      <c r="B1128">
        <v>37</v>
      </c>
      <c r="C1128" t="s">
        <v>16</v>
      </c>
      <c r="D1128" t="s">
        <v>2503</v>
      </c>
      <c r="E1128" t="s">
        <v>37</v>
      </c>
      <c r="F1128" t="s">
        <v>38</v>
      </c>
      <c r="G1128" t="s">
        <v>416</v>
      </c>
      <c r="H1128" t="str">
        <f>TEXT(walmart[[#This Row],[Purchase_Date]],"DDD")</f>
        <v>Tue</v>
      </c>
      <c r="I1128" t="str">
        <f>TEXT(walmart[[#This Row],[Purchase_Date]],"MMM")</f>
        <v>Mar</v>
      </c>
      <c r="J1128" t="str">
        <f>TEXT(walmart[[#This Row],[Purchase_Date]],"YYY")</f>
        <v>2025</v>
      </c>
      <c r="K1128" s="3">
        <v>211.46</v>
      </c>
      <c r="L1128" t="str">
        <f t="shared" si="84"/>
        <v>5% off</v>
      </c>
      <c r="N1128" t="str">
        <f t="shared" si="85"/>
        <v>Yes</v>
      </c>
      <c r="O1128" t="s">
        <v>21</v>
      </c>
      <c r="P1128" s="3">
        <f t="shared" si="86"/>
        <v>211.46</v>
      </c>
      <c r="Q1128" t="s">
        <v>35</v>
      </c>
      <c r="R1128">
        <v>4</v>
      </c>
      <c r="S1128" t="str">
        <f t="shared" si="87"/>
        <v>Good</v>
      </c>
    </row>
    <row r="1129" spans="1:19" x14ac:dyDescent="0.25">
      <c r="A1129" t="s">
        <v>1541</v>
      </c>
      <c r="B1129">
        <v>19</v>
      </c>
      <c r="C1129" t="s">
        <v>16</v>
      </c>
      <c r="D1129" t="s">
        <v>2504</v>
      </c>
      <c r="E1129" t="s">
        <v>73</v>
      </c>
      <c r="F1129" t="s">
        <v>94</v>
      </c>
      <c r="G1129" t="s">
        <v>825</v>
      </c>
      <c r="H1129" t="str">
        <f>TEXT(walmart[[#This Row],[Purchase_Date]],"DDD")</f>
        <v>Sat</v>
      </c>
      <c r="I1129" t="str">
        <f>TEXT(walmart[[#This Row],[Purchase_Date]],"MMM")</f>
        <v>Apr</v>
      </c>
      <c r="J1129" t="str">
        <f>TEXT(walmart[[#This Row],[Purchase_Date]],"YYY")</f>
        <v>2024</v>
      </c>
      <c r="K1129" s="3">
        <v>965.09</v>
      </c>
      <c r="L1129" t="str">
        <f t="shared" si="84"/>
        <v>20% off</v>
      </c>
      <c r="N1129" t="str">
        <f t="shared" si="85"/>
        <v>Yes</v>
      </c>
      <c r="O1129" t="s">
        <v>21</v>
      </c>
      <c r="P1129" s="3">
        <f t="shared" si="86"/>
        <v>965.09</v>
      </c>
      <c r="Q1129" t="s">
        <v>22</v>
      </c>
      <c r="R1129">
        <v>2</v>
      </c>
      <c r="S1129" t="str">
        <f t="shared" si="87"/>
        <v>Poor</v>
      </c>
    </row>
    <row r="1130" spans="1:19" x14ac:dyDescent="0.25">
      <c r="A1130" t="s">
        <v>1542</v>
      </c>
      <c r="B1130">
        <v>62</v>
      </c>
      <c r="C1130" t="s">
        <v>16</v>
      </c>
      <c r="D1130" t="s">
        <v>2505</v>
      </c>
      <c r="E1130" t="s">
        <v>37</v>
      </c>
      <c r="F1130" t="s">
        <v>82</v>
      </c>
      <c r="G1130" t="s">
        <v>291</v>
      </c>
      <c r="H1130" t="str">
        <f>TEXT(walmart[[#This Row],[Purchase_Date]],"DDD")</f>
        <v>Fri</v>
      </c>
      <c r="I1130" t="str">
        <f>TEXT(walmart[[#This Row],[Purchase_Date]],"MMM")</f>
        <v>Sep</v>
      </c>
      <c r="J1130" t="str">
        <f>TEXT(walmart[[#This Row],[Purchase_Date]],"YYY")</f>
        <v>2024</v>
      </c>
      <c r="K1130" s="3">
        <v>270.41000000000003</v>
      </c>
      <c r="L1130" t="str">
        <f t="shared" si="84"/>
        <v>5% off</v>
      </c>
      <c r="N1130" t="str">
        <f t="shared" si="85"/>
        <v>Yes</v>
      </c>
      <c r="O1130" t="s">
        <v>21</v>
      </c>
      <c r="P1130" s="3">
        <f t="shared" si="86"/>
        <v>270.41000000000003</v>
      </c>
      <c r="Q1130" t="s">
        <v>35</v>
      </c>
      <c r="R1130">
        <v>4</v>
      </c>
      <c r="S1130" t="str">
        <f t="shared" si="87"/>
        <v>Good</v>
      </c>
    </row>
    <row r="1131" spans="1:19" x14ac:dyDescent="0.25">
      <c r="A1131" t="s">
        <v>1543</v>
      </c>
      <c r="B1131">
        <v>67</v>
      </c>
      <c r="C1131" t="s">
        <v>16</v>
      </c>
      <c r="D1131" t="s">
        <v>2506</v>
      </c>
      <c r="E1131" t="s">
        <v>31</v>
      </c>
      <c r="F1131" t="s">
        <v>32</v>
      </c>
      <c r="G1131" t="s">
        <v>482</v>
      </c>
      <c r="H1131" t="str">
        <f>TEXT(walmart[[#This Row],[Purchase_Date]],"DDD")</f>
        <v>Fri</v>
      </c>
      <c r="I1131" t="str">
        <f>TEXT(walmart[[#This Row],[Purchase_Date]],"MMM")</f>
        <v>May</v>
      </c>
      <c r="J1131" t="str">
        <f>TEXT(walmart[[#This Row],[Purchase_Date]],"YYY")</f>
        <v>2024</v>
      </c>
      <c r="K1131" s="3">
        <v>493.96</v>
      </c>
      <c r="L1131" t="str">
        <f t="shared" si="84"/>
        <v>5% off</v>
      </c>
      <c r="N1131" t="str">
        <f t="shared" si="85"/>
        <v>Yes</v>
      </c>
      <c r="O1131" t="s">
        <v>34</v>
      </c>
      <c r="P1131" s="3">
        <f t="shared" si="86"/>
        <v>493.96</v>
      </c>
      <c r="Q1131" t="s">
        <v>47</v>
      </c>
      <c r="R1131">
        <v>1</v>
      </c>
      <c r="S1131" t="str">
        <f t="shared" si="87"/>
        <v>Very Poor</v>
      </c>
    </row>
    <row r="1132" spans="1:19" x14ac:dyDescent="0.25">
      <c r="A1132" t="s">
        <v>1544</v>
      </c>
      <c r="B1132">
        <v>30</v>
      </c>
      <c r="C1132" t="s">
        <v>16</v>
      </c>
      <c r="D1132" t="s">
        <v>2507</v>
      </c>
      <c r="E1132" t="s">
        <v>24</v>
      </c>
      <c r="F1132" t="s">
        <v>162</v>
      </c>
      <c r="G1132" t="s">
        <v>1545</v>
      </c>
      <c r="H1132" t="str">
        <f>TEXT(walmart[[#This Row],[Purchase_Date]],"DDD")</f>
        <v>Sat</v>
      </c>
      <c r="I1132" t="str">
        <f>TEXT(walmart[[#This Row],[Purchase_Date]],"MMM")</f>
        <v>Feb</v>
      </c>
      <c r="J1132" t="str">
        <f>TEXT(walmart[[#This Row],[Purchase_Date]],"YYY")</f>
        <v>2025</v>
      </c>
      <c r="K1132" s="3">
        <v>362.55</v>
      </c>
      <c r="L1132" t="str">
        <f t="shared" si="84"/>
        <v>5% off</v>
      </c>
      <c r="N1132" t="str">
        <f t="shared" si="85"/>
        <v>Yes</v>
      </c>
      <c r="O1132" t="s">
        <v>34</v>
      </c>
      <c r="P1132" s="3">
        <f t="shared" si="86"/>
        <v>362.55</v>
      </c>
      <c r="Q1132" t="s">
        <v>35</v>
      </c>
      <c r="R1132">
        <v>3</v>
      </c>
      <c r="S1132" t="str">
        <f t="shared" si="87"/>
        <v>Average</v>
      </c>
    </row>
    <row r="1133" spans="1:19" x14ac:dyDescent="0.25">
      <c r="A1133" t="s">
        <v>1546</v>
      </c>
      <c r="B1133">
        <v>54</v>
      </c>
      <c r="C1133" t="s">
        <v>16</v>
      </c>
      <c r="D1133" t="s">
        <v>2508</v>
      </c>
      <c r="E1133" t="s">
        <v>18</v>
      </c>
      <c r="F1133" t="s">
        <v>142</v>
      </c>
      <c r="G1133" t="s">
        <v>388</v>
      </c>
      <c r="H1133" t="str">
        <f>TEXT(walmart[[#This Row],[Purchase_Date]],"DDD")</f>
        <v>Sun</v>
      </c>
      <c r="I1133" t="str">
        <f>TEXT(walmart[[#This Row],[Purchase_Date]],"MMM")</f>
        <v>Nov</v>
      </c>
      <c r="J1133" t="str">
        <f>TEXT(walmart[[#This Row],[Purchase_Date]],"YYY")</f>
        <v>2024</v>
      </c>
      <c r="K1133" s="3">
        <v>485.26</v>
      </c>
      <c r="L1133" t="str">
        <f t="shared" si="84"/>
        <v>5% off</v>
      </c>
      <c r="N1133" t="str">
        <f t="shared" si="85"/>
        <v>Yes</v>
      </c>
      <c r="O1133" t="s">
        <v>21</v>
      </c>
      <c r="P1133" s="3">
        <f t="shared" si="86"/>
        <v>485.26</v>
      </c>
      <c r="Q1133" t="s">
        <v>22</v>
      </c>
      <c r="R1133">
        <v>1</v>
      </c>
      <c r="S1133" t="str">
        <f t="shared" si="87"/>
        <v>Very Poor</v>
      </c>
    </row>
    <row r="1134" spans="1:19" x14ac:dyDescent="0.25">
      <c r="A1134" t="s">
        <v>1547</v>
      </c>
      <c r="B1134">
        <v>25</v>
      </c>
      <c r="C1134" t="s">
        <v>29</v>
      </c>
      <c r="D1134" t="s">
        <v>2509</v>
      </c>
      <c r="E1134" t="s">
        <v>31</v>
      </c>
      <c r="F1134" t="s">
        <v>300</v>
      </c>
      <c r="G1134" t="s">
        <v>287</v>
      </c>
      <c r="H1134" t="str">
        <f>TEXT(walmart[[#This Row],[Purchase_Date]],"DDD")</f>
        <v>Sun</v>
      </c>
      <c r="I1134" t="str">
        <f>TEXT(walmart[[#This Row],[Purchase_Date]],"MMM")</f>
        <v>Jul</v>
      </c>
      <c r="J1134" t="str">
        <f>TEXT(walmart[[#This Row],[Purchase_Date]],"YYY")</f>
        <v>2024</v>
      </c>
      <c r="K1134" s="3">
        <v>340.04</v>
      </c>
      <c r="L1134" t="str">
        <f t="shared" si="84"/>
        <v>5% off</v>
      </c>
      <c r="N1134" t="str">
        <f t="shared" si="85"/>
        <v>Yes</v>
      </c>
      <c r="O1134" t="s">
        <v>34</v>
      </c>
      <c r="P1134" s="3">
        <f t="shared" si="86"/>
        <v>340.04</v>
      </c>
      <c r="Q1134" t="s">
        <v>35</v>
      </c>
      <c r="R1134">
        <v>2</v>
      </c>
      <c r="S1134" t="str">
        <f t="shared" si="87"/>
        <v>Poor</v>
      </c>
    </row>
    <row r="1135" spans="1:19" x14ac:dyDescent="0.25">
      <c r="A1135" t="s">
        <v>1548</v>
      </c>
      <c r="B1135">
        <v>49</v>
      </c>
      <c r="C1135" t="s">
        <v>29</v>
      </c>
      <c r="D1135" t="s">
        <v>2510</v>
      </c>
      <c r="E1135" t="s">
        <v>24</v>
      </c>
      <c r="F1135" t="s">
        <v>25</v>
      </c>
      <c r="G1135" t="s">
        <v>811</v>
      </c>
      <c r="H1135" t="str">
        <f>TEXT(walmart[[#This Row],[Purchase_Date]],"DDD")</f>
        <v>Sun</v>
      </c>
      <c r="I1135" t="str">
        <f>TEXT(walmart[[#This Row],[Purchase_Date]],"MMM")</f>
        <v>Sep</v>
      </c>
      <c r="J1135" t="str">
        <f>TEXT(walmart[[#This Row],[Purchase_Date]],"YYY")</f>
        <v>2024</v>
      </c>
      <c r="K1135" s="3">
        <v>67.040000000000006</v>
      </c>
      <c r="L1135" t="str">
        <f t="shared" si="84"/>
        <v>0% off</v>
      </c>
      <c r="N1135" t="str">
        <f t="shared" si="85"/>
        <v>No</v>
      </c>
      <c r="O1135" t="s">
        <v>34</v>
      </c>
      <c r="P1135" s="3">
        <f t="shared" si="86"/>
        <v>67.040000000000006</v>
      </c>
      <c r="Q1135" t="s">
        <v>35</v>
      </c>
      <c r="R1135">
        <v>5</v>
      </c>
      <c r="S1135" t="str">
        <f t="shared" si="87"/>
        <v>Excellent</v>
      </c>
    </row>
    <row r="1136" spans="1:19" x14ac:dyDescent="0.25">
      <c r="A1136" t="s">
        <v>1549</v>
      </c>
      <c r="B1136">
        <v>58</v>
      </c>
      <c r="C1136" t="s">
        <v>16</v>
      </c>
      <c r="D1136" t="s">
        <v>2511</v>
      </c>
      <c r="E1136" t="s">
        <v>73</v>
      </c>
      <c r="F1136" t="s">
        <v>74</v>
      </c>
      <c r="G1136" t="s">
        <v>1495</v>
      </c>
      <c r="H1136" t="str">
        <f>TEXT(walmart[[#This Row],[Purchase_Date]],"DDD")</f>
        <v>Tue</v>
      </c>
      <c r="I1136" t="str">
        <f>TEXT(walmart[[#This Row],[Purchase_Date]],"MMM")</f>
        <v>Mar</v>
      </c>
      <c r="J1136" t="str">
        <f>TEXT(walmart[[#This Row],[Purchase_Date]],"YYY")</f>
        <v>2025</v>
      </c>
      <c r="K1136" s="3">
        <v>782.29</v>
      </c>
      <c r="L1136" t="str">
        <f t="shared" si="84"/>
        <v>15% off</v>
      </c>
      <c r="N1136" t="str">
        <f t="shared" si="85"/>
        <v>Yes</v>
      </c>
      <c r="O1136" t="s">
        <v>34</v>
      </c>
      <c r="P1136" s="3">
        <f t="shared" si="86"/>
        <v>782.29</v>
      </c>
      <c r="Q1136" t="s">
        <v>22</v>
      </c>
      <c r="R1136">
        <v>2</v>
      </c>
      <c r="S1136" t="str">
        <f t="shared" si="87"/>
        <v>Poor</v>
      </c>
    </row>
    <row r="1137" spans="1:19" x14ac:dyDescent="0.25">
      <c r="A1137" t="s">
        <v>1550</v>
      </c>
      <c r="B1137">
        <v>54</v>
      </c>
      <c r="C1137" t="s">
        <v>16</v>
      </c>
      <c r="D1137" t="s">
        <v>2512</v>
      </c>
      <c r="E1137" t="s">
        <v>37</v>
      </c>
      <c r="F1137" t="s">
        <v>82</v>
      </c>
      <c r="G1137" t="s">
        <v>1126</v>
      </c>
      <c r="H1137" t="str">
        <f>TEXT(walmart[[#This Row],[Purchase_Date]],"DDD")</f>
        <v>Wed</v>
      </c>
      <c r="I1137" t="str">
        <f>TEXT(walmart[[#This Row],[Purchase_Date]],"MMM")</f>
        <v>Dec</v>
      </c>
      <c r="J1137" t="str">
        <f>TEXT(walmart[[#This Row],[Purchase_Date]],"YYY")</f>
        <v>2024</v>
      </c>
      <c r="K1137" s="3">
        <v>270.41000000000003</v>
      </c>
      <c r="L1137" t="str">
        <f t="shared" si="84"/>
        <v>5% off</v>
      </c>
      <c r="N1137" t="str">
        <f t="shared" si="85"/>
        <v>Yes</v>
      </c>
      <c r="O1137" t="s">
        <v>34</v>
      </c>
      <c r="P1137" s="3">
        <f t="shared" si="86"/>
        <v>270.41000000000003</v>
      </c>
      <c r="Q1137" t="s">
        <v>35</v>
      </c>
      <c r="R1137">
        <v>5</v>
      </c>
      <c r="S1137" t="str">
        <f t="shared" si="87"/>
        <v>Excellent</v>
      </c>
    </row>
    <row r="1138" spans="1:19" x14ac:dyDescent="0.25">
      <c r="A1138" t="s">
        <v>1551</v>
      </c>
      <c r="B1138">
        <v>29</v>
      </c>
      <c r="C1138" t="s">
        <v>16</v>
      </c>
      <c r="D1138" t="s">
        <v>2513</v>
      </c>
      <c r="E1138" t="s">
        <v>18</v>
      </c>
      <c r="F1138" t="s">
        <v>142</v>
      </c>
      <c r="G1138" t="s">
        <v>1253</v>
      </c>
      <c r="H1138" t="str">
        <f>TEXT(walmart[[#This Row],[Purchase_Date]],"DDD")</f>
        <v>Thu</v>
      </c>
      <c r="I1138" t="str">
        <f>TEXT(walmart[[#This Row],[Purchase_Date]],"MMM")</f>
        <v>Feb</v>
      </c>
      <c r="J1138" t="str">
        <f>TEXT(walmart[[#This Row],[Purchase_Date]],"YYY")</f>
        <v>2025</v>
      </c>
      <c r="K1138" s="3">
        <v>485.26</v>
      </c>
      <c r="L1138" t="str">
        <f t="shared" si="84"/>
        <v>5% off</v>
      </c>
      <c r="N1138" t="str">
        <f t="shared" si="85"/>
        <v>Yes</v>
      </c>
      <c r="O1138" t="s">
        <v>21</v>
      </c>
      <c r="P1138" s="3">
        <f t="shared" si="86"/>
        <v>485.26</v>
      </c>
      <c r="Q1138" t="s">
        <v>22</v>
      </c>
      <c r="R1138">
        <v>5</v>
      </c>
      <c r="S1138" t="str">
        <f t="shared" si="87"/>
        <v>Excellent</v>
      </c>
    </row>
    <row r="1139" spans="1:19" x14ac:dyDescent="0.25">
      <c r="A1139" t="s">
        <v>1552</v>
      </c>
      <c r="B1139">
        <v>57</v>
      </c>
      <c r="C1139" t="s">
        <v>16</v>
      </c>
      <c r="D1139" t="s">
        <v>2514</v>
      </c>
      <c r="E1139" t="s">
        <v>73</v>
      </c>
      <c r="F1139" t="s">
        <v>138</v>
      </c>
      <c r="G1139" t="s">
        <v>428</v>
      </c>
      <c r="H1139" t="str">
        <f>TEXT(walmart[[#This Row],[Purchase_Date]],"DDD")</f>
        <v>Wed</v>
      </c>
      <c r="I1139" t="str">
        <f>TEXT(walmart[[#This Row],[Purchase_Date]],"MMM")</f>
        <v>May</v>
      </c>
      <c r="J1139" t="str">
        <f>TEXT(walmart[[#This Row],[Purchase_Date]],"YYY")</f>
        <v>2024</v>
      </c>
      <c r="K1139" s="3">
        <v>461.81</v>
      </c>
      <c r="L1139" t="str">
        <f t="shared" si="84"/>
        <v>5% off</v>
      </c>
      <c r="N1139" t="str">
        <f t="shared" si="85"/>
        <v>Yes</v>
      </c>
      <c r="O1139" t="s">
        <v>34</v>
      </c>
      <c r="P1139" s="3">
        <f t="shared" si="86"/>
        <v>461.81</v>
      </c>
      <c r="Q1139" t="s">
        <v>22</v>
      </c>
      <c r="R1139">
        <v>1</v>
      </c>
      <c r="S1139" t="str">
        <f t="shared" si="87"/>
        <v>Very Poor</v>
      </c>
    </row>
    <row r="1140" spans="1:19" x14ac:dyDescent="0.25">
      <c r="A1140" t="s">
        <v>1553</v>
      </c>
      <c r="B1140">
        <v>31</v>
      </c>
      <c r="C1140" t="s">
        <v>29</v>
      </c>
      <c r="D1140" t="s">
        <v>2515</v>
      </c>
      <c r="E1140" t="s">
        <v>73</v>
      </c>
      <c r="F1140" t="s">
        <v>138</v>
      </c>
      <c r="G1140" t="s">
        <v>106</v>
      </c>
      <c r="H1140" t="str">
        <f>TEXT(walmart[[#This Row],[Purchase_Date]],"DDD")</f>
        <v>Sun</v>
      </c>
      <c r="I1140" t="str">
        <f>TEXT(walmart[[#This Row],[Purchase_Date]],"MMM")</f>
        <v>Apr</v>
      </c>
      <c r="J1140" t="str">
        <f>TEXT(walmart[[#This Row],[Purchase_Date]],"YYY")</f>
        <v>2024</v>
      </c>
      <c r="K1140" s="3">
        <v>461.81</v>
      </c>
      <c r="L1140" t="str">
        <f t="shared" si="84"/>
        <v>5% off</v>
      </c>
      <c r="N1140" t="str">
        <f t="shared" si="85"/>
        <v>Yes</v>
      </c>
      <c r="O1140" t="s">
        <v>21</v>
      </c>
      <c r="P1140" s="3">
        <f t="shared" si="86"/>
        <v>461.81</v>
      </c>
      <c r="Q1140" t="s">
        <v>35</v>
      </c>
      <c r="R1140">
        <v>3</v>
      </c>
      <c r="S1140" t="str">
        <f t="shared" si="87"/>
        <v>Average</v>
      </c>
    </row>
    <row r="1141" spans="1:19" x14ac:dyDescent="0.25">
      <c r="A1141" t="s">
        <v>1554</v>
      </c>
      <c r="B1141">
        <v>28</v>
      </c>
      <c r="C1141" t="s">
        <v>16</v>
      </c>
      <c r="D1141" t="s">
        <v>2516</v>
      </c>
      <c r="E1141" t="s">
        <v>18</v>
      </c>
      <c r="F1141" t="s">
        <v>59</v>
      </c>
      <c r="G1141" t="s">
        <v>203</v>
      </c>
      <c r="H1141" t="str">
        <f>TEXT(walmart[[#This Row],[Purchase_Date]],"DDD")</f>
        <v>Thu</v>
      </c>
      <c r="I1141" t="str">
        <f>TEXT(walmart[[#This Row],[Purchase_Date]],"MMM")</f>
        <v>Mar</v>
      </c>
      <c r="J1141" t="str">
        <f>TEXT(walmart[[#This Row],[Purchase_Date]],"YYY")</f>
        <v>2024</v>
      </c>
      <c r="K1141" s="3">
        <v>78.349999999999994</v>
      </c>
      <c r="L1141" t="str">
        <f t="shared" si="84"/>
        <v>0% off</v>
      </c>
      <c r="N1141" t="str">
        <f t="shared" si="85"/>
        <v>No</v>
      </c>
      <c r="O1141" t="s">
        <v>34</v>
      </c>
      <c r="P1141" s="3">
        <f t="shared" si="86"/>
        <v>78.349999999999994</v>
      </c>
      <c r="Q1141" t="s">
        <v>27</v>
      </c>
      <c r="R1141">
        <v>2</v>
      </c>
      <c r="S1141" t="str">
        <f t="shared" si="87"/>
        <v>Poor</v>
      </c>
    </row>
    <row r="1142" spans="1:19" x14ac:dyDescent="0.25">
      <c r="A1142" t="s">
        <v>1555</v>
      </c>
      <c r="B1142">
        <v>64</v>
      </c>
      <c r="C1142" t="s">
        <v>16</v>
      </c>
      <c r="D1142" t="s">
        <v>2517</v>
      </c>
      <c r="E1142" t="s">
        <v>37</v>
      </c>
      <c r="F1142" t="s">
        <v>117</v>
      </c>
      <c r="G1142" t="s">
        <v>187</v>
      </c>
      <c r="H1142" t="str">
        <f>TEXT(walmart[[#This Row],[Purchase_Date]],"DDD")</f>
        <v>Sat</v>
      </c>
      <c r="I1142" t="str">
        <f>TEXT(walmart[[#This Row],[Purchase_Date]],"MMM")</f>
        <v>Dec</v>
      </c>
      <c r="J1142" t="str">
        <f>TEXT(walmart[[#This Row],[Purchase_Date]],"YYY")</f>
        <v>2024</v>
      </c>
      <c r="K1142" s="3">
        <v>165.68</v>
      </c>
      <c r="L1142" t="str">
        <f t="shared" si="84"/>
        <v>5% off</v>
      </c>
      <c r="N1142" t="str">
        <f t="shared" si="85"/>
        <v>Yes</v>
      </c>
      <c r="O1142" t="s">
        <v>34</v>
      </c>
      <c r="P1142" s="3">
        <f t="shared" si="86"/>
        <v>165.68</v>
      </c>
      <c r="Q1142" t="s">
        <v>35</v>
      </c>
      <c r="R1142">
        <v>4</v>
      </c>
      <c r="S1142" t="str">
        <f t="shared" si="87"/>
        <v>Good</v>
      </c>
    </row>
    <row r="1143" spans="1:19" x14ac:dyDescent="0.25">
      <c r="A1143" t="s">
        <v>1556</v>
      </c>
      <c r="B1143">
        <v>56</v>
      </c>
      <c r="C1143" t="s">
        <v>29</v>
      </c>
      <c r="D1143" t="s">
        <v>2518</v>
      </c>
      <c r="E1143" t="s">
        <v>42</v>
      </c>
      <c r="F1143" t="s">
        <v>43</v>
      </c>
      <c r="G1143" t="s">
        <v>538</v>
      </c>
      <c r="H1143" t="str">
        <f>TEXT(walmart[[#This Row],[Purchase_Date]],"DDD")</f>
        <v>Mon</v>
      </c>
      <c r="I1143" t="str">
        <f>TEXT(walmart[[#This Row],[Purchase_Date]],"MMM")</f>
        <v>May</v>
      </c>
      <c r="J1143" t="str">
        <f>TEXT(walmart[[#This Row],[Purchase_Date]],"YYY")</f>
        <v>2024</v>
      </c>
      <c r="K1143" s="3">
        <v>512.94000000000005</v>
      </c>
      <c r="L1143" t="str">
        <f t="shared" si="84"/>
        <v>10% off</v>
      </c>
      <c r="N1143" t="str">
        <f t="shared" si="85"/>
        <v>Yes</v>
      </c>
      <c r="O1143" t="s">
        <v>34</v>
      </c>
      <c r="P1143" s="3">
        <f t="shared" si="86"/>
        <v>512.94000000000005</v>
      </c>
      <c r="Q1143" t="s">
        <v>47</v>
      </c>
      <c r="R1143">
        <v>5</v>
      </c>
      <c r="S1143" t="str">
        <f t="shared" si="87"/>
        <v>Excellent</v>
      </c>
    </row>
    <row r="1144" spans="1:19" x14ac:dyDescent="0.25">
      <c r="A1144" t="s">
        <v>1557</v>
      </c>
      <c r="B1144">
        <v>26</v>
      </c>
      <c r="C1144" t="s">
        <v>16</v>
      </c>
      <c r="D1144" t="s">
        <v>2519</v>
      </c>
      <c r="E1144" t="s">
        <v>55</v>
      </c>
      <c r="F1144" t="s">
        <v>100</v>
      </c>
      <c r="G1144" t="s">
        <v>1021</v>
      </c>
      <c r="H1144" t="str">
        <f>TEXT(walmart[[#This Row],[Purchase_Date]],"DDD")</f>
        <v>Wed</v>
      </c>
      <c r="I1144" t="str">
        <f>TEXT(walmart[[#This Row],[Purchase_Date]],"MMM")</f>
        <v>Apr</v>
      </c>
      <c r="J1144" t="str">
        <f>TEXT(walmart[[#This Row],[Purchase_Date]],"YYY")</f>
        <v>2024</v>
      </c>
      <c r="K1144" s="3">
        <v>592.26</v>
      </c>
      <c r="L1144" t="str">
        <f t="shared" si="84"/>
        <v>10% off</v>
      </c>
      <c r="N1144" t="str">
        <f t="shared" si="85"/>
        <v>Yes</v>
      </c>
      <c r="O1144" t="s">
        <v>21</v>
      </c>
      <c r="P1144" s="3">
        <f t="shared" si="86"/>
        <v>592.26</v>
      </c>
      <c r="Q1144" t="s">
        <v>35</v>
      </c>
      <c r="R1144">
        <v>4</v>
      </c>
      <c r="S1144" t="str">
        <f t="shared" si="87"/>
        <v>Good</v>
      </c>
    </row>
    <row r="1145" spans="1:19" x14ac:dyDescent="0.25">
      <c r="A1145" t="s">
        <v>1558</v>
      </c>
      <c r="B1145">
        <v>59</v>
      </c>
      <c r="C1145" t="s">
        <v>16</v>
      </c>
      <c r="D1145" t="s">
        <v>2520</v>
      </c>
      <c r="E1145" t="s">
        <v>42</v>
      </c>
      <c r="F1145" t="s">
        <v>120</v>
      </c>
      <c r="G1145" t="s">
        <v>1286</v>
      </c>
      <c r="H1145" t="str">
        <f>TEXT(walmart[[#This Row],[Purchase_Date]],"DDD")</f>
        <v>Mon</v>
      </c>
      <c r="I1145" t="str">
        <f>TEXT(walmart[[#This Row],[Purchase_Date]],"MMM")</f>
        <v>Apr</v>
      </c>
      <c r="J1145" t="str">
        <f>TEXT(walmart[[#This Row],[Purchase_Date]],"YYY")</f>
        <v>2024</v>
      </c>
      <c r="K1145" s="3">
        <v>260.77999999999997</v>
      </c>
      <c r="L1145" t="str">
        <f t="shared" si="84"/>
        <v>5% off</v>
      </c>
      <c r="N1145" t="str">
        <f t="shared" si="85"/>
        <v>Yes</v>
      </c>
      <c r="O1145" t="s">
        <v>34</v>
      </c>
      <c r="P1145" s="3">
        <f t="shared" si="86"/>
        <v>260.77999999999997</v>
      </c>
      <c r="Q1145" t="s">
        <v>22</v>
      </c>
      <c r="R1145">
        <v>2</v>
      </c>
      <c r="S1145" t="str">
        <f t="shared" si="87"/>
        <v>Poor</v>
      </c>
    </row>
    <row r="1146" spans="1:19" x14ac:dyDescent="0.25">
      <c r="A1146" t="s">
        <v>1559</v>
      </c>
      <c r="B1146">
        <v>52</v>
      </c>
      <c r="C1146" t="s">
        <v>29</v>
      </c>
      <c r="D1146" t="s">
        <v>2521</v>
      </c>
      <c r="E1146" t="s">
        <v>37</v>
      </c>
      <c r="F1146" t="s">
        <v>38</v>
      </c>
      <c r="G1146" t="s">
        <v>260</v>
      </c>
      <c r="H1146" t="str">
        <f>TEXT(walmart[[#This Row],[Purchase_Date]],"DDD")</f>
        <v>Thu</v>
      </c>
      <c r="I1146" t="str">
        <f>TEXT(walmart[[#This Row],[Purchase_Date]],"MMM")</f>
        <v>Mar</v>
      </c>
      <c r="J1146" t="str">
        <f>TEXT(walmart[[#This Row],[Purchase_Date]],"YYY")</f>
        <v>2025</v>
      </c>
      <c r="K1146" s="3">
        <v>211.46</v>
      </c>
      <c r="L1146" t="str">
        <f t="shared" si="84"/>
        <v>5% off</v>
      </c>
      <c r="N1146" t="str">
        <f t="shared" si="85"/>
        <v>Yes</v>
      </c>
      <c r="O1146" t="s">
        <v>21</v>
      </c>
      <c r="P1146" s="3">
        <f t="shared" si="86"/>
        <v>211.46</v>
      </c>
      <c r="Q1146" t="s">
        <v>22</v>
      </c>
      <c r="R1146">
        <v>5</v>
      </c>
      <c r="S1146" t="str">
        <f t="shared" si="87"/>
        <v>Excellent</v>
      </c>
    </row>
    <row r="1147" spans="1:19" x14ac:dyDescent="0.25">
      <c r="A1147" t="s">
        <v>1560</v>
      </c>
      <c r="B1147">
        <v>48</v>
      </c>
      <c r="C1147" t="s">
        <v>16</v>
      </c>
      <c r="D1147" t="s">
        <v>2522</v>
      </c>
      <c r="E1147" t="s">
        <v>24</v>
      </c>
      <c r="F1147" t="s">
        <v>25</v>
      </c>
      <c r="G1147" t="s">
        <v>130</v>
      </c>
      <c r="H1147" t="str">
        <f>TEXT(walmart[[#This Row],[Purchase_Date]],"DDD")</f>
        <v>Mon</v>
      </c>
      <c r="I1147" t="str">
        <f>TEXT(walmart[[#This Row],[Purchase_Date]],"MMM")</f>
        <v>Nov</v>
      </c>
      <c r="J1147" t="str">
        <f>TEXT(walmart[[#This Row],[Purchase_Date]],"YYY")</f>
        <v>2024</v>
      </c>
      <c r="K1147" s="3">
        <v>67.040000000000006</v>
      </c>
      <c r="L1147" t="str">
        <f t="shared" si="84"/>
        <v>0% off</v>
      </c>
      <c r="N1147" t="str">
        <f t="shared" si="85"/>
        <v>No</v>
      </c>
      <c r="O1147" t="s">
        <v>21</v>
      </c>
      <c r="P1147" s="3">
        <f t="shared" si="86"/>
        <v>67.040000000000006</v>
      </c>
      <c r="Q1147" t="s">
        <v>27</v>
      </c>
      <c r="R1147">
        <v>5</v>
      </c>
      <c r="S1147" t="str">
        <f t="shared" si="87"/>
        <v>Excellent</v>
      </c>
    </row>
    <row r="1148" spans="1:19" x14ac:dyDescent="0.25">
      <c r="A1148" t="s">
        <v>1561</v>
      </c>
      <c r="B1148">
        <v>46</v>
      </c>
      <c r="C1148" t="s">
        <v>16</v>
      </c>
      <c r="D1148" t="s">
        <v>2485</v>
      </c>
      <c r="E1148" t="s">
        <v>42</v>
      </c>
      <c r="F1148" t="s">
        <v>103</v>
      </c>
      <c r="G1148" t="s">
        <v>98</v>
      </c>
      <c r="H1148" t="str">
        <f>TEXT(walmart[[#This Row],[Purchase_Date]],"DDD")</f>
        <v>Sun</v>
      </c>
      <c r="I1148" t="str">
        <f>TEXT(walmart[[#This Row],[Purchase_Date]],"MMM")</f>
        <v>Aug</v>
      </c>
      <c r="J1148" t="str">
        <f>TEXT(walmart[[#This Row],[Purchase_Date]],"YYY")</f>
        <v>2024</v>
      </c>
      <c r="K1148" s="3">
        <v>315.56</v>
      </c>
      <c r="L1148" t="str">
        <f t="shared" si="84"/>
        <v>5% off</v>
      </c>
      <c r="N1148" t="str">
        <f t="shared" si="85"/>
        <v>Yes</v>
      </c>
      <c r="O1148" t="s">
        <v>34</v>
      </c>
      <c r="P1148" s="3">
        <f t="shared" si="86"/>
        <v>315.56</v>
      </c>
      <c r="Q1148" t="s">
        <v>47</v>
      </c>
      <c r="R1148">
        <v>4</v>
      </c>
      <c r="S1148" t="str">
        <f t="shared" si="87"/>
        <v>Good</v>
      </c>
    </row>
    <row r="1149" spans="1:19" x14ac:dyDescent="0.25">
      <c r="A1149" t="s">
        <v>1562</v>
      </c>
      <c r="B1149">
        <v>24</v>
      </c>
      <c r="C1149" t="s">
        <v>16</v>
      </c>
      <c r="D1149" t="s">
        <v>2523</v>
      </c>
      <c r="E1149" t="s">
        <v>31</v>
      </c>
      <c r="F1149" t="s">
        <v>300</v>
      </c>
      <c r="G1149" t="s">
        <v>625</v>
      </c>
      <c r="H1149" t="str">
        <f>TEXT(walmart[[#This Row],[Purchase_Date]],"DDD")</f>
        <v>Wed</v>
      </c>
      <c r="I1149" t="str">
        <f>TEXT(walmart[[#This Row],[Purchase_Date]],"MMM")</f>
        <v>Sep</v>
      </c>
      <c r="J1149" t="str">
        <f>TEXT(walmart[[#This Row],[Purchase_Date]],"YYY")</f>
        <v>2024</v>
      </c>
      <c r="K1149" s="3">
        <v>340.04</v>
      </c>
      <c r="L1149" t="str">
        <f t="shared" si="84"/>
        <v>5% off</v>
      </c>
      <c r="N1149" t="str">
        <f t="shared" si="85"/>
        <v>Yes</v>
      </c>
      <c r="O1149" t="s">
        <v>21</v>
      </c>
      <c r="P1149" s="3">
        <f t="shared" si="86"/>
        <v>340.04</v>
      </c>
      <c r="Q1149" t="s">
        <v>22</v>
      </c>
      <c r="R1149">
        <v>3</v>
      </c>
      <c r="S1149" t="str">
        <f t="shared" si="87"/>
        <v>Average</v>
      </c>
    </row>
    <row r="1150" spans="1:19" x14ac:dyDescent="0.25">
      <c r="A1150" t="s">
        <v>1563</v>
      </c>
      <c r="B1150">
        <v>38</v>
      </c>
      <c r="C1150" t="s">
        <v>16</v>
      </c>
      <c r="D1150" t="s">
        <v>2518</v>
      </c>
      <c r="E1150" t="s">
        <v>31</v>
      </c>
      <c r="F1150" t="s">
        <v>112</v>
      </c>
      <c r="G1150" t="s">
        <v>71</v>
      </c>
      <c r="H1150" t="str">
        <f>TEXT(walmart[[#This Row],[Purchase_Date]],"DDD")</f>
        <v>Wed</v>
      </c>
      <c r="I1150" t="str">
        <f>TEXT(walmart[[#This Row],[Purchase_Date]],"MMM")</f>
        <v>Jul</v>
      </c>
      <c r="J1150" t="str">
        <f>TEXT(walmart[[#This Row],[Purchase_Date]],"YYY")</f>
        <v>2024</v>
      </c>
      <c r="K1150" s="3">
        <v>492.1</v>
      </c>
      <c r="L1150" t="str">
        <f t="shared" si="84"/>
        <v>5% off</v>
      </c>
      <c r="N1150" t="str">
        <f t="shared" si="85"/>
        <v>Yes</v>
      </c>
      <c r="O1150" t="s">
        <v>34</v>
      </c>
      <c r="P1150" s="3">
        <f t="shared" si="86"/>
        <v>492.1</v>
      </c>
      <c r="Q1150" t="s">
        <v>27</v>
      </c>
      <c r="R1150">
        <v>1</v>
      </c>
      <c r="S1150" t="str">
        <f t="shared" si="87"/>
        <v>Very Poor</v>
      </c>
    </row>
    <row r="1151" spans="1:19" x14ac:dyDescent="0.25">
      <c r="A1151" t="s">
        <v>1564</v>
      </c>
      <c r="B1151">
        <v>64</v>
      </c>
      <c r="C1151" t="s">
        <v>29</v>
      </c>
      <c r="D1151" t="s">
        <v>2524</v>
      </c>
      <c r="E1151" t="s">
        <v>31</v>
      </c>
      <c r="F1151" t="s">
        <v>112</v>
      </c>
      <c r="G1151" t="s">
        <v>1024</v>
      </c>
      <c r="H1151" t="str">
        <f>TEXT(walmart[[#This Row],[Purchase_Date]],"DDD")</f>
        <v>Wed</v>
      </c>
      <c r="I1151" t="str">
        <f>TEXT(walmart[[#This Row],[Purchase_Date]],"MMM")</f>
        <v>May</v>
      </c>
      <c r="J1151" t="str">
        <f>TEXT(walmart[[#This Row],[Purchase_Date]],"YYY")</f>
        <v>2024</v>
      </c>
      <c r="K1151" s="3">
        <v>492.1</v>
      </c>
      <c r="L1151" t="str">
        <f t="shared" si="84"/>
        <v>5% off</v>
      </c>
      <c r="N1151" t="str">
        <f t="shared" si="85"/>
        <v>Yes</v>
      </c>
      <c r="O1151" t="s">
        <v>21</v>
      </c>
      <c r="P1151" s="3">
        <f t="shared" si="86"/>
        <v>492.1</v>
      </c>
      <c r="Q1151" t="s">
        <v>22</v>
      </c>
      <c r="R1151">
        <v>4</v>
      </c>
      <c r="S1151" t="str">
        <f t="shared" si="87"/>
        <v>Good</v>
      </c>
    </row>
    <row r="1152" spans="1:19" x14ac:dyDescent="0.25">
      <c r="A1152" t="s">
        <v>1565</v>
      </c>
      <c r="B1152">
        <v>21</v>
      </c>
      <c r="C1152" t="s">
        <v>16</v>
      </c>
      <c r="D1152" t="s">
        <v>2525</v>
      </c>
      <c r="E1152" t="s">
        <v>31</v>
      </c>
      <c r="F1152" t="s">
        <v>32</v>
      </c>
      <c r="G1152" t="s">
        <v>641</v>
      </c>
      <c r="H1152" t="str">
        <f>TEXT(walmart[[#This Row],[Purchase_Date]],"DDD")</f>
        <v>Sun</v>
      </c>
      <c r="I1152" t="str">
        <f>TEXT(walmart[[#This Row],[Purchase_Date]],"MMM")</f>
        <v>Nov</v>
      </c>
      <c r="J1152" t="str">
        <f>TEXT(walmart[[#This Row],[Purchase_Date]],"YYY")</f>
        <v>2024</v>
      </c>
      <c r="K1152" s="3">
        <v>493.96</v>
      </c>
      <c r="L1152" t="str">
        <f t="shared" si="84"/>
        <v>5% off</v>
      </c>
      <c r="N1152" t="str">
        <f t="shared" si="85"/>
        <v>Yes</v>
      </c>
      <c r="O1152" t="s">
        <v>34</v>
      </c>
      <c r="P1152" s="3">
        <f t="shared" si="86"/>
        <v>493.96</v>
      </c>
      <c r="Q1152" t="s">
        <v>22</v>
      </c>
      <c r="R1152">
        <v>1</v>
      </c>
      <c r="S1152" t="str">
        <f t="shared" si="87"/>
        <v>Very Poor</v>
      </c>
    </row>
    <row r="1153" spans="1:19" x14ac:dyDescent="0.25">
      <c r="A1153" t="s">
        <v>1566</v>
      </c>
      <c r="B1153">
        <v>21</v>
      </c>
      <c r="C1153" t="s">
        <v>29</v>
      </c>
      <c r="D1153" t="s">
        <v>2487</v>
      </c>
      <c r="E1153" t="s">
        <v>42</v>
      </c>
      <c r="F1153" t="s">
        <v>120</v>
      </c>
      <c r="G1153" t="s">
        <v>605</v>
      </c>
      <c r="H1153" t="str">
        <f>TEXT(walmart[[#This Row],[Purchase_Date]],"DDD")</f>
        <v>Sun</v>
      </c>
      <c r="I1153" t="str">
        <f>TEXT(walmart[[#This Row],[Purchase_Date]],"MMM")</f>
        <v>Mar</v>
      </c>
      <c r="J1153" t="str">
        <f>TEXT(walmart[[#This Row],[Purchase_Date]],"YYY")</f>
        <v>2025</v>
      </c>
      <c r="K1153" s="3">
        <v>260.77999999999997</v>
      </c>
      <c r="L1153" t="str">
        <f t="shared" si="84"/>
        <v>5% off</v>
      </c>
      <c r="N1153" t="str">
        <f t="shared" si="85"/>
        <v>Yes</v>
      </c>
      <c r="O1153" t="s">
        <v>21</v>
      </c>
      <c r="P1153" s="3">
        <f t="shared" si="86"/>
        <v>260.77999999999997</v>
      </c>
      <c r="Q1153" t="s">
        <v>35</v>
      </c>
      <c r="R1153">
        <v>2</v>
      </c>
      <c r="S1153" t="str">
        <f t="shared" si="87"/>
        <v>Poor</v>
      </c>
    </row>
    <row r="1154" spans="1:19" x14ac:dyDescent="0.25">
      <c r="A1154" t="s">
        <v>1567</v>
      </c>
      <c r="B1154">
        <v>51</v>
      </c>
      <c r="C1154" t="s">
        <v>29</v>
      </c>
      <c r="D1154" t="s">
        <v>2519</v>
      </c>
      <c r="E1154" t="s">
        <v>55</v>
      </c>
      <c r="F1154" t="s">
        <v>100</v>
      </c>
      <c r="G1154" t="s">
        <v>1131</v>
      </c>
      <c r="H1154" t="str">
        <f>TEXT(walmart[[#This Row],[Purchase_Date]],"DDD")</f>
        <v>Sat</v>
      </c>
      <c r="I1154" t="str">
        <f>TEXT(walmart[[#This Row],[Purchase_Date]],"MMM")</f>
        <v>Jan</v>
      </c>
      <c r="J1154" t="str">
        <f>TEXT(walmart[[#This Row],[Purchase_Date]],"YYY")</f>
        <v>2025</v>
      </c>
      <c r="K1154" s="3">
        <v>592.26</v>
      </c>
      <c r="L1154" t="str">
        <f t="shared" si="84"/>
        <v>10% off</v>
      </c>
      <c r="N1154" t="str">
        <f t="shared" si="85"/>
        <v>Yes</v>
      </c>
      <c r="O1154" t="s">
        <v>34</v>
      </c>
      <c r="P1154" s="3">
        <f t="shared" si="86"/>
        <v>592.26</v>
      </c>
      <c r="Q1154" t="s">
        <v>22</v>
      </c>
      <c r="R1154">
        <v>2</v>
      </c>
      <c r="S1154" t="str">
        <f t="shared" si="87"/>
        <v>Poor</v>
      </c>
    </row>
    <row r="1155" spans="1:19" x14ac:dyDescent="0.25">
      <c r="A1155" t="s">
        <v>1568</v>
      </c>
      <c r="B1155">
        <v>31</v>
      </c>
      <c r="C1155" t="s">
        <v>29</v>
      </c>
      <c r="D1155" t="s">
        <v>2520</v>
      </c>
      <c r="E1155" t="s">
        <v>73</v>
      </c>
      <c r="F1155" t="s">
        <v>91</v>
      </c>
      <c r="G1155" t="s">
        <v>287</v>
      </c>
      <c r="H1155" t="str">
        <f>TEXT(walmart[[#This Row],[Purchase_Date]],"DDD")</f>
        <v>Sun</v>
      </c>
      <c r="I1155" t="str">
        <f>TEXT(walmart[[#This Row],[Purchase_Date]],"MMM")</f>
        <v>Jul</v>
      </c>
      <c r="J1155" t="str">
        <f>TEXT(walmart[[#This Row],[Purchase_Date]],"YYY")</f>
        <v>2024</v>
      </c>
      <c r="K1155" s="3">
        <v>418.55</v>
      </c>
      <c r="L1155" t="str">
        <f t="shared" ref="L1155:L1218" si="88">IF(K1155&lt;150,"0% off",IF(K1155&lt;500,"5% off",IF(K1155&lt;700,"10% off",IF(K1155&lt;900,"15% off","20% off"))))</f>
        <v>5% off</v>
      </c>
      <c r="N1155" t="str">
        <f t="shared" ref="N1155:N1218" si="89">IF(L1155="0% off", "No", "Yes")</f>
        <v>Yes</v>
      </c>
      <c r="O1155" t="s">
        <v>21</v>
      </c>
      <c r="P1155" s="3">
        <f t="shared" ref="P1155:P1218" si="90">K1155-M1155</f>
        <v>418.55</v>
      </c>
      <c r="Q1155" t="s">
        <v>47</v>
      </c>
      <c r="R1155">
        <v>1</v>
      </c>
      <c r="S1155" t="str">
        <f t="shared" ref="S1155:S1218" si="91">IF(R1155=5, "Excellent", IF(R1155=4, "Good", IF(R1155=3, "Average", IF(R1155=2, "Poor", IF(R1155=1, "Very Poor", "Invalid Rating")))))</f>
        <v>Very Poor</v>
      </c>
    </row>
    <row r="1156" spans="1:19" x14ac:dyDescent="0.25">
      <c r="A1156" t="s">
        <v>1569</v>
      </c>
      <c r="B1156">
        <v>41</v>
      </c>
      <c r="C1156" t="s">
        <v>16</v>
      </c>
      <c r="D1156" t="s">
        <v>2526</v>
      </c>
      <c r="E1156" t="s">
        <v>55</v>
      </c>
      <c r="F1156" t="s">
        <v>100</v>
      </c>
      <c r="G1156" t="s">
        <v>401</v>
      </c>
      <c r="H1156" t="str">
        <f>TEXT(walmart[[#This Row],[Purchase_Date]],"DDD")</f>
        <v>Wed</v>
      </c>
      <c r="I1156" t="str">
        <f>TEXT(walmart[[#This Row],[Purchase_Date]],"MMM")</f>
        <v>Mar</v>
      </c>
      <c r="J1156" t="str">
        <f>TEXT(walmart[[#This Row],[Purchase_Date]],"YYY")</f>
        <v>2024</v>
      </c>
      <c r="K1156" s="3">
        <v>592.26</v>
      </c>
      <c r="L1156" t="str">
        <f t="shared" si="88"/>
        <v>10% off</v>
      </c>
      <c r="N1156" t="str">
        <f t="shared" si="89"/>
        <v>Yes</v>
      </c>
      <c r="O1156" t="s">
        <v>34</v>
      </c>
      <c r="P1156" s="3">
        <f t="shared" si="90"/>
        <v>592.26</v>
      </c>
      <c r="Q1156" t="s">
        <v>47</v>
      </c>
      <c r="R1156">
        <v>2</v>
      </c>
      <c r="S1156" t="str">
        <f t="shared" si="91"/>
        <v>Poor</v>
      </c>
    </row>
    <row r="1157" spans="1:19" x14ac:dyDescent="0.25">
      <c r="A1157" t="s">
        <v>1570</v>
      </c>
      <c r="B1157">
        <v>46</v>
      </c>
      <c r="C1157" t="s">
        <v>29</v>
      </c>
      <c r="D1157" t="s">
        <v>2527</v>
      </c>
      <c r="E1157" t="s">
        <v>42</v>
      </c>
      <c r="F1157" t="s">
        <v>120</v>
      </c>
      <c r="G1157" t="s">
        <v>1253</v>
      </c>
      <c r="H1157" t="str">
        <f>TEXT(walmart[[#This Row],[Purchase_Date]],"DDD")</f>
        <v>Thu</v>
      </c>
      <c r="I1157" t="str">
        <f>TEXT(walmart[[#This Row],[Purchase_Date]],"MMM")</f>
        <v>Feb</v>
      </c>
      <c r="J1157" t="str">
        <f>TEXT(walmart[[#This Row],[Purchase_Date]],"YYY")</f>
        <v>2025</v>
      </c>
      <c r="K1157" s="3">
        <v>260.77999999999997</v>
      </c>
      <c r="L1157" t="str">
        <f t="shared" si="88"/>
        <v>5% off</v>
      </c>
      <c r="N1157" t="str">
        <f t="shared" si="89"/>
        <v>Yes</v>
      </c>
      <c r="O1157" t="s">
        <v>21</v>
      </c>
      <c r="P1157" s="3">
        <f t="shared" si="90"/>
        <v>260.77999999999997</v>
      </c>
      <c r="Q1157" t="s">
        <v>27</v>
      </c>
      <c r="R1157">
        <v>4</v>
      </c>
      <c r="S1157" t="str">
        <f t="shared" si="91"/>
        <v>Good</v>
      </c>
    </row>
    <row r="1158" spans="1:19" x14ac:dyDescent="0.25">
      <c r="A1158" t="s">
        <v>1571</v>
      </c>
      <c r="B1158">
        <v>21</v>
      </c>
      <c r="C1158" t="s">
        <v>29</v>
      </c>
      <c r="D1158" t="s">
        <v>2528</v>
      </c>
      <c r="E1158" t="s">
        <v>37</v>
      </c>
      <c r="F1158" t="s">
        <v>82</v>
      </c>
      <c r="G1158" t="s">
        <v>256</v>
      </c>
      <c r="H1158" t="str">
        <f>TEXT(walmart[[#This Row],[Purchase_Date]],"DDD")</f>
        <v>Sat</v>
      </c>
      <c r="I1158" t="str">
        <f>TEXT(walmart[[#This Row],[Purchase_Date]],"MMM")</f>
        <v>May</v>
      </c>
      <c r="J1158" t="str">
        <f>TEXT(walmart[[#This Row],[Purchase_Date]],"YYY")</f>
        <v>2024</v>
      </c>
      <c r="K1158" s="3">
        <v>270.41000000000003</v>
      </c>
      <c r="L1158" t="str">
        <f t="shared" si="88"/>
        <v>5% off</v>
      </c>
      <c r="N1158" t="str">
        <f t="shared" si="89"/>
        <v>Yes</v>
      </c>
      <c r="O1158" t="s">
        <v>34</v>
      </c>
      <c r="P1158" s="3">
        <f t="shared" si="90"/>
        <v>270.41000000000003</v>
      </c>
      <c r="Q1158" t="s">
        <v>47</v>
      </c>
      <c r="R1158">
        <v>5</v>
      </c>
      <c r="S1158" t="str">
        <f t="shared" si="91"/>
        <v>Excellent</v>
      </c>
    </row>
    <row r="1159" spans="1:19" x14ac:dyDescent="0.25">
      <c r="A1159" t="s">
        <v>1572</v>
      </c>
      <c r="B1159">
        <v>58</v>
      </c>
      <c r="C1159" t="s">
        <v>29</v>
      </c>
      <c r="D1159" t="s">
        <v>2529</v>
      </c>
      <c r="E1159" t="s">
        <v>55</v>
      </c>
      <c r="F1159" t="s">
        <v>56</v>
      </c>
      <c r="G1159" t="s">
        <v>785</v>
      </c>
      <c r="H1159" t="str">
        <f>TEXT(walmart[[#This Row],[Purchase_Date]],"DDD")</f>
        <v>Sat</v>
      </c>
      <c r="I1159" t="str">
        <f>TEXT(walmart[[#This Row],[Purchase_Date]],"MMM")</f>
        <v>Apr</v>
      </c>
      <c r="J1159" t="str">
        <f>TEXT(walmart[[#This Row],[Purchase_Date]],"YYY")</f>
        <v>2024</v>
      </c>
      <c r="K1159" s="3">
        <v>76.81</v>
      </c>
      <c r="L1159" t="str">
        <f t="shared" si="88"/>
        <v>0% off</v>
      </c>
      <c r="N1159" t="str">
        <f t="shared" si="89"/>
        <v>No</v>
      </c>
      <c r="O1159" t="s">
        <v>34</v>
      </c>
      <c r="P1159" s="3">
        <f t="shared" si="90"/>
        <v>76.81</v>
      </c>
      <c r="Q1159" t="s">
        <v>22</v>
      </c>
      <c r="R1159">
        <v>3</v>
      </c>
      <c r="S1159" t="str">
        <f t="shared" si="91"/>
        <v>Average</v>
      </c>
    </row>
    <row r="1160" spans="1:19" x14ac:dyDescent="0.25">
      <c r="A1160" t="s">
        <v>1573</v>
      </c>
      <c r="B1160">
        <v>19</v>
      </c>
      <c r="C1160" t="s">
        <v>16</v>
      </c>
      <c r="D1160" t="s">
        <v>2530</v>
      </c>
      <c r="E1160" t="s">
        <v>42</v>
      </c>
      <c r="F1160" t="s">
        <v>120</v>
      </c>
      <c r="G1160" t="s">
        <v>805</v>
      </c>
      <c r="H1160" t="str">
        <f>TEXT(walmart[[#This Row],[Purchase_Date]],"DDD")</f>
        <v>Thu</v>
      </c>
      <c r="I1160" t="str">
        <f>TEXT(walmart[[#This Row],[Purchase_Date]],"MMM")</f>
        <v>Apr</v>
      </c>
      <c r="J1160" t="str">
        <f>TEXT(walmart[[#This Row],[Purchase_Date]],"YYY")</f>
        <v>2024</v>
      </c>
      <c r="K1160" s="3">
        <v>260.77999999999997</v>
      </c>
      <c r="L1160" t="str">
        <f t="shared" si="88"/>
        <v>5% off</v>
      </c>
      <c r="N1160" t="str">
        <f t="shared" si="89"/>
        <v>Yes</v>
      </c>
      <c r="O1160" t="s">
        <v>34</v>
      </c>
      <c r="P1160" s="3">
        <f t="shared" si="90"/>
        <v>260.77999999999997</v>
      </c>
      <c r="Q1160" t="s">
        <v>47</v>
      </c>
      <c r="R1160">
        <v>1</v>
      </c>
      <c r="S1160" t="str">
        <f t="shared" si="91"/>
        <v>Very Poor</v>
      </c>
    </row>
    <row r="1161" spans="1:19" x14ac:dyDescent="0.25">
      <c r="A1161" t="s">
        <v>1574</v>
      </c>
      <c r="B1161">
        <v>42</v>
      </c>
      <c r="C1161" t="s">
        <v>29</v>
      </c>
      <c r="D1161" t="s">
        <v>2531</v>
      </c>
      <c r="E1161" t="s">
        <v>31</v>
      </c>
      <c r="F1161" t="s">
        <v>169</v>
      </c>
      <c r="G1161" t="s">
        <v>553</v>
      </c>
      <c r="H1161" t="str">
        <f>TEXT(walmart[[#This Row],[Purchase_Date]],"DDD")</f>
        <v>Thu</v>
      </c>
      <c r="I1161" t="str">
        <f>TEXT(walmart[[#This Row],[Purchase_Date]],"MMM")</f>
        <v>Jan</v>
      </c>
      <c r="J1161" t="str">
        <f>TEXT(walmart[[#This Row],[Purchase_Date]],"YYY")</f>
        <v>2025</v>
      </c>
      <c r="K1161" s="3">
        <v>52.44</v>
      </c>
      <c r="L1161" t="str">
        <f t="shared" si="88"/>
        <v>0% off</v>
      </c>
      <c r="N1161" t="str">
        <f t="shared" si="89"/>
        <v>No</v>
      </c>
      <c r="O1161" t="s">
        <v>21</v>
      </c>
      <c r="P1161" s="3">
        <f t="shared" si="90"/>
        <v>52.44</v>
      </c>
      <c r="Q1161" t="s">
        <v>22</v>
      </c>
      <c r="R1161">
        <v>3</v>
      </c>
      <c r="S1161" t="str">
        <f t="shared" si="91"/>
        <v>Average</v>
      </c>
    </row>
    <row r="1162" spans="1:19" x14ac:dyDescent="0.25">
      <c r="A1162" t="s">
        <v>1575</v>
      </c>
      <c r="B1162">
        <v>62</v>
      </c>
      <c r="C1162" t="s">
        <v>16</v>
      </c>
      <c r="D1162" t="s">
        <v>2532</v>
      </c>
      <c r="E1162" t="s">
        <v>24</v>
      </c>
      <c r="F1162" t="s">
        <v>25</v>
      </c>
      <c r="G1162" t="s">
        <v>510</v>
      </c>
      <c r="H1162" t="str">
        <f>TEXT(walmart[[#This Row],[Purchase_Date]],"DDD")</f>
        <v>Tue</v>
      </c>
      <c r="I1162" t="str">
        <f>TEXT(walmart[[#This Row],[Purchase_Date]],"MMM")</f>
        <v>Feb</v>
      </c>
      <c r="J1162" t="str">
        <f>TEXT(walmart[[#This Row],[Purchase_Date]],"YYY")</f>
        <v>2025</v>
      </c>
      <c r="K1162" s="3">
        <v>67.040000000000006</v>
      </c>
      <c r="L1162" t="str">
        <f t="shared" si="88"/>
        <v>0% off</v>
      </c>
      <c r="N1162" t="str">
        <f t="shared" si="89"/>
        <v>No</v>
      </c>
      <c r="O1162" t="s">
        <v>34</v>
      </c>
      <c r="P1162" s="3">
        <f t="shared" si="90"/>
        <v>67.040000000000006</v>
      </c>
      <c r="Q1162" t="s">
        <v>27</v>
      </c>
      <c r="R1162">
        <v>2</v>
      </c>
      <c r="S1162" t="str">
        <f t="shared" si="91"/>
        <v>Poor</v>
      </c>
    </row>
    <row r="1163" spans="1:19" x14ac:dyDescent="0.25">
      <c r="A1163" t="s">
        <v>1576</v>
      </c>
      <c r="B1163">
        <v>43</v>
      </c>
      <c r="C1163" t="s">
        <v>16</v>
      </c>
      <c r="D1163" t="s">
        <v>2533</v>
      </c>
      <c r="E1163" t="s">
        <v>42</v>
      </c>
      <c r="F1163" t="s">
        <v>43</v>
      </c>
      <c r="G1163" t="s">
        <v>920</v>
      </c>
      <c r="H1163" t="str">
        <f>TEXT(walmart[[#This Row],[Purchase_Date]],"DDD")</f>
        <v>Sun</v>
      </c>
      <c r="I1163" t="str">
        <f>TEXT(walmart[[#This Row],[Purchase_Date]],"MMM")</f>
        <v>Nov</v>
      </c>
      <c r="J1163" t="str">
        <f>TEXT(walmart[[#This Row],[Purchase_Date]],"YYY")</f>
        <v>2024</v>
      </c>
      <c r="K1163" s="3">
        <v>512.94000000000005</v>
      </c>
      <c r="L1163" t="str">
        <f t="shared" si="88"/>
        <v>10% off</v>
      </c>
      <c r="N1163" t="str">
        <f t="shared" si="89"/>
        <v>Yes</v>
      </c>
      <c r="O1163" t="s">
        <v>21</v>
      </c>
      <c r="P1163" s="3">
        <f t="shared" si="90"/>
        <v>512.94000000000005</v>
      </c>
      <c r="Q1163" t="s">
        <v>47</v>
      </c>
      <c r="R1163">
        <v>2</v>
      </c>
      <c r="S1163" t="str">
        <f t="shared" si="91"/>
        <v>Poor</v>
      </c>
    </row>
    <row r="1164" spans="1:19" x14ac:dyDescent="0.25">
      <c r="A1164" t="s">
        <v>1577</v>
      </c>
      <c r="B1164">
        <v>19</v>
      </c>
      <c r="C1164" t="s">
        <v>16</v>
      </c>
      <c r="D1164" t="s">
        <v>2534</v>
      </c>
      <c r="E1164" t="s">
        <v>31</v>
      </c>
      <c r="F1164" t="s">
        <v>32</v>
      </c>
      <c r="G1164" t="s">
        <v>189</v>
      </c>
      <c r="H1164" t="str">
        <f>TEXT(walmart[[#This Row],[Purchase_Date]],"DDD")</f>
        <v>Sat</v>
      </c>
      <c r="I1164" t="str">
        <f>TEXT(walmart[[#This Row],[Purchase_Date]],"MMM")</f>
        <v>Jun</v>
      </c>
      <c r="J1164" t="str">
        <f>TEXT(walmart[[#This Row],[Purchase_Date]],"YYY")</f>
        <v>2024</v>
      </c>
      <c r="K1164" s="3">
        <v>493.96</v>
      </c>
      <c r="L1164" t="str">
        <f t="shared" si="88"/>
        <v>5% off</v>
      </c>
      <c r="N1164" t="str">
        <f t="shared" si="89"/>
        <v>Yes</v>
      </c>
      <c r="O1164" t="s">
        <v>34</v>
      </c>
      <c r="P1164" s="3">
        <f t="shared" si="90"/>
        <v>493.96</v>
      </c>
      <c r="Q1164" t="s">
        <v>22</v>
      </c>
      <c r="R1164">
        <v>4</v>
      </c>
      <c r="S1164" t="str">
        <f t="shared" si="91"/>
        <v>Good</v>
      </c>
    </row>
    <row r="1165" spans="1:19" x14ac:dyDescent="0.25">
      <c r="A1165" t="s">
        <v>1578</v>
      </c>
      <c r="B1165">
        <v>34</v>
      </c>
      <c r="C1165" t="s">
        <v>29</v>
      </c>
      <c r="D1165" t="s">
        <v>2535</v>
      </c>
      <c r="E1165" t="s">
        <v>31</v>
      </c>
      <c r="F1165" t="s">
        <v>112</v>
      </c>
      <c r="G1165" t="s">
        <v>160</v>
      </c>
      <c r="H1165" t="str">
        <f>TEXT(walmart[[#This Row],[Purchase_Date]],"DDD")</f>
        <v>Tue</v>
      </c>
      <c r="I1165" t="str">
        <f>TEXT(walmart[[#This Row],[Purchase_Date]],"MMM")</f>
        <v>Oct</v>
      </c>
      <c r="J1165" t="str">
        <f>TEXT(walmart[[#This Row],[Purchase_Date]],"YYY")</f>
        <v>2024</v>
      </c>
      <c r="K1165" s="3">
        <v>492.1</v>
      </c>
      <c r="L1165" t="str">
        <f t="shared" si="88"/>
        <v>5% off</v>
      </c>
      <c r="N1165" t="str">
        <f t="shared" si="89"/>
        <v>Yes</v>
      </c>
      <c r="O1165" t="s">
        <v>34</v>
      </c>
      <c r="P1165" s="3">
        <f t="shared" si="90"/>
        <v>492.1</v>
      </c>
      <c r="Q1165" t="s">
        <v>22</v>
      </c>
      <c r="R1165">
        <v>2</v>
      </c>
      <c r="S1165" t="str">
        <f t="shared" si="91"/>
        <v>Poor</v>
      </c>
    </row>
    <row r="1166" spans="1:19" x14ac:dyDescent="0.25">
      <c r="A1166" t="s">
        <v>1579</v>
      </c>
      <c r="B1166">
        <v>48</v>
      </c>
      <c r="C1166" t="s">
        <v>29</v>
      </c>
      <c r="D1166" t="s">
        <v>2518</v>
      </c>
      <c r="E1166" t="s">
        <v>55</v>
      </c>
      <c r="F1166" t="s">
        <v>56</v>
      </c>
      <c r="G1166" t="s">
        <v>1495</v>
      </c>
      <c r="H1166" t="str">
        <f>TEXT(walmart[[#This Row],[Purchase_Date]],"DDD")</f>
        <v>Tue</v>
      </c>
      <c r="I1166" t="str">
        <f>TEXT(walmart[[#This Row],[Purchase_Date]],"MMM")</f>
        <v>Mar</v>
      </c>
      <c r="J1166" t="str">
        <f>TEXT(walmart[[#This Row],[Purchase_Date]],"YYY")</f>
        <v>2025</v>
      </c>
      <c r="K1166" s="3">
        <v>76.81</v>
      </c>
      <c r="L1166" t="str">
        <f t="shared" si="88"/>
        <v>0% off</v>
      </c>
      <c r="N1166" t="str">
        <f t="shared" si="89"/>
        <v>No</v>
      </c>
      <c r="O1166" t="s">
        <v>21</v>
      </c>
      <c r="P1166" s="3">
        <f t="shared" si="90"/>
        <v>76.81</v>
      </c>
      <c r="Q1166" t="s">
        <v>47</v>
      </c>
      <c r="R1166">
        <v>5</v>
      </c>
      <c r="S1166" t="str">
        <f t="shared" si="91"/>
        <v>Excellent</v>
      </c>
    </row>
    <row r="1167" spans="1:19" x14ac:dyDescent="0.25">
      <c r="A1167" t="s">
        <v>1580</v>
      </c>
      <c r="B1167">
        <v>61</v>
      </c>
      <c r="C1167" t="s">
        <v>16</v>
      </c>
      <c r="D1167" t="s">
        <v>2536</v>
      </c>
      <c r="E1167" t="s">
        <v>24</v>
      </c>
      <c r="F1167" t="s">
        <v>162</v>
      </c>
      <c r="G1167" t="s">
        <v>75</v>
      </c>
      <c r="H1167" t="str">
        <f>TEXT(walmart[[#This Row],[Purchase_Date]],"DDD")</f>
        <v>Mon</v>
      </c>
      <c r="I1167" t="str">
        <f>TEXT(walmart[[#This Row],[Purchase_Date]],"MMM")</f>
        <v>Feb</v>
      </c>
      <c r="J1167" t="str">
        <f>TEXT(walmart[[#This Row],[Purchase_Date]],"YYY")</f>
        <v>2025</v>
      </c>
      <c r="K1167" s="3">
        <v>362.55</v>
      </c>
      <c r="L1167" t="str">
        <f t="shared" si="88"/>
        <v>5% off</v>
      </c>
      <c r="N1167" t="str">
        <f t="shared" si="89"/>
        <v>Yes</v>
      </c>
      <c r="O1167" t="s">
        <v>34</v>
      </c>
      <c r="P1167" s="3">
        <f t="shared" si="90"/>
        <v>362.55</v>
      </c>
      <c r="Q1167" t="s">
        <v>47</v>
      </c>
      <c r="R1167">
        <v>5</v>
      </c>
      <c r="S1167" t="str">
        <f t="shared" si="91"/>
        <v>Excellent</v>
      </c>
    </row>
    <row r="1168" spans="1:19" x14ac:dyDescent="0.25">
      <c r="A1168" t="s">
        <v>1581</v>
      </c>
      <c r="B1168">
        <v>30</v>
      </c>
      <c r="C1168" t="s">
        <v>16</v>
      </c>
      <c r="D1168" t="s">
        <v>2537</v>
      </c>
      <c r="E1168" t="s">
        <v>37</v>
      </c>
      <c r="F1168" t="s">
        <v>117</v>
      </c>
      <c r="G1168" t="s">
        <v>87</v>
      </c>
      <c r="H1168" t="str">
        <f>TEXT(walmart[[#This Row],[Purchase_Date]],"DDD")</f>
        <v>Thu</v>
      </c>
      <c r="I1168" t="str">
        <f>TEXT(walmart[[#This Row],[Purchase_Date]],"MMM")</f>
        <v>Sep</v>
      </c>
      <c r="J1168" t="str">
        <f>TEXT(walmart[[#This Row],[Purchase_Date]],"YYY")</f>
        <v>2024</v>
      </c>
      <c r="K1168" s="3">
        <v>165.68</v>
      </c>
      <c r="L1168" t="str">
        <f t="shared" si="88"/>
        <v>5% off</v>
      </c>
      <c r="N1168" t="str">
        <f t="shared" si="89"/>
        <v>Yes</v>
      </c>
      <c r="O1168" t="s">
        <v>34</v>
      </c>
      <c r="P1168" s="3">
        <f t="shared" si="90"/>
        <v>165.68</v>
      </c>
      <c r="Q1168" t="s">
        <v>35</v>
      </c>
      <c r="R1168">
        <v>4</v>
      </c>
      <c r="S1168" t="str">
        <f t="shared" si="91"/>
        <v>Good</v>
      </c>
    </row>
    <row r="1169" spans="1:19" x14ac:dyDescent="0.25">
      <c r="A1169" t="s">
        <v>1582</v>
      </c>
      <c r="B1169">
        <v>49</v>
      </c>
      <c r="C1169" t="s">
        <v>29</v>
      </c>
      <c r="D1169" t="s">
        <v>2538</v>
      </c>
      <c r="E1169" t="s">
        <v>73</v>
      </c>
      <c r="F1169" t="s">
        <v>138</v>
      </c>
      <c r="G1169" t="s">
        <v>256</v>
      </c>
      <c r="H1169" t="str">
        <f>TEXT(walmart[[#This Row],[Purchase_Date]],"DDD")</f>
        <v>Sat</v>
      </c>
      <c r="I1169" t="str">
        <f>TEXT(walmart[[#This Row],[Purchase_Date]],"MMM")</f>
        <v>May</v>
      </c>
      <c r="J1169" t="str">
        <f>TEXT(walmart[[#This Row],[Purchase_Date]],"YYY")</f>
        <v>2024</v>
      </c>
      <c r="K1169" s="3">
        <v>461.81</v>
      </c>
      <c r="L1169" t="str">
        <f t="shared" si="88"/>
        <v>5% off</v>
      </c>
      <c r="N1169" t="str">
        <f t="shared" si="89"/>
        <v>Yes</v>
      </c>
      <c r="O1169" t="s">
        <v>21</v>
      </c>
      <c r="P1169" s="3">
        <f t="shared" si="90"/>
        <v>461.81</v>
      </c>
      <c r="Q1169" t="s">
        <v>47</v>
      </c>
      <c r="R1169">
        <v>3</v>
      </c>
      <c r="S1169" t="str">
        <f t="shared" si="91"/>
        <v>Average</v>
      </c>
    </row>
    <row r="1170" spans="1:19" x14ac:dyDescent="0.25">
      <c r="A1170" t="s">
        <v>1583</v>
      </c>
      <c r="B1170">
        <v>70</v>
      </c>
      <c r="C1170" t="s">
        <v>29</v>
      </c>
      <c r="D1170" t="s">
        <v>2539</v>
      </c>
      <c r="E1170" t="s">
        <v>24</v>
      </c>
      <c r="F1170" t="s">
        <v>25</v>
      </c>
      <c r="G1170" t="s">
        <v>78</v>
      </c>
      <c r="H1170" t="str">
        <f>TEXT(walmart[[#This Row],[Purchase_Date]],"DDD")</f>
        <v>Mon</v>
      </c>
      <c r="I1170" t="str">
        <f>TEXT(walmart[[#This Row],[Purchase_Date]],"MMM")</f>
        <v>Jul</v>
      </c>
      <c r="J1170" t="str">
        <f>TEXT(walmart[[#This Row],[Purchase_Date]],"YYY")</f>
        <v>2024</v>
      </c>
      <c r="K1170" s="3">
        <v>67.040000000000006</v>
      </c>
      <c r="L1170" t="str">
        <f t="shared" si="88"/>
        <v>0% off</v>
      </c>
      <c r="N1170" t="str">
        <f t="shared" si="89"/>
        <v>No</v>
      </c>
      <c r="O1170" t="s">
        <v>34</v>
      </c>
      <c r="P1170" s="3">
        <f t="shared" si="90"/>
        <v>67.040000000000006</v>
      </c>
      <c r="Q1170" t="s">
        <v>35</v>
      </c>
      <c r="R1170">
        <v>5</v>
      </c>
      <c r="S1170" t="str">
        <f t="shared" si="91"/>
        <v>Excellent</v>
      </c>
    </row>
    <row r="1171" spans="1:19" x14ac:dyDescent="0.25">
      <c r="A1171" t="s">
        <v>1584</v>
      </c>
      <c r="B1171">
        <v>28</v>
      </c>
      <c r="C1171" t="s">
        <v>16</v>
      </c>
      <c r="D1171" t="s">
        <v>2540</v>
      </c>
      <c r="E1171" t="s">
        <v>55</v>
      </c>
      <c r="F1171" t="s">
        <v>56</v>
      </c>
      <c r="G1171" t="s">
        <v>215</v>
      </c>
      <c r="H1171" t="str">
        <f>TEXT(walmart[[#This Row],[Purchase_Date]],"DDD")</f>
        <v>Mon</v>
      </c>
      <c r="I1171" t="str">
        <f>TEXT(walmart[[#This Row],[Purchase_Date]],"MMM")</f>
        <v>Feb</v>
      </c>
      <c r="J1171" t="str">
        <f>TEXT(walmart[[#This Row],[Purchase_Date]],"YYY")</f>
        <v>2025</v>
      </c>
      <c r="K1171" s="3">
        <v>76.81</v>
      </c>
      <c r="L1171" t="str">
        <f t="shared" si="88"/>
        <v>0% off</v>
      </c>
      <c r="N1171" t="str">
        <f t="shared" si="89"/>
        <v>No</v>
      </c>
      <c r="O1171" t="s">
        <v>34</v>
      </c>
      <c r="P1171" s="3">
        <f t="shared" si="90"/>
        <v>76.81</v>
      </c>
      <c r="Q1171" t="s">
        <v>22</v>
      </c>
      <c r="R1171">
        <v>3</v>
      </c>
      <c r="S1171" t="str">
        <f t="shared" si="91"/>
        <v>Average</v>
      </c>
    </row>
    <row r="1172" spans="1:19" x14ac:dyDescent="0.25">
      <c r="A1172" t="s">
        <v>1585</v>
      </c>
      <c r="B1172">
        <v>67</v>
      </c>
      <c r="C1172" t="s">
        <v>29</v>
      </c>
      <c r="D1172" t="s">
        <v>2488</v>
      </c>
      <c r="E1172" t="s">
        <v>42</v>
      </c>
      <c r="F1172" t="s">
        <v>52</v>
      </c>
      <c r="G1172" t="s">
        <v>57</v>
      </c>
      <c r="H1172" t="str">
        <f>TEXT(walmart[[#This Row],[Purchase_Date]],"DDD")</f>
        <v>Wed</v>
      </c>
      <c r="I1172" t="str">
        <f>TEXT(walmart[[#This Row],[Purchase_Date]],"MMM")</f>
        <v>May</v>
      </c>
      <c r="J1172" t="str">
        <f>TEXT(walmart[[#This Row],[Purchase_Date]],"YYY")</f>
        <v>2024</v>
      </c>
      <c r="K1172" s="3">
        <v>988.77</v>
      </c>
      <c r="L1172" t="str">
        <f t="shared" si="88"/>
        <v>20% off</v>
      </c>
      <c r="N1172" t="str">
        <f t="shared" si="89"/>
        <v>Yes</v>
      </c>
      <c r="O1172" t="s">
        <v>21</v>
      </c>
      <c r="P1172" s="3">
        <f t="shared" si="90"/>
        <v>988.77</v>
      </c>
      <c r="Q1172" t="s">
        <v>47</v>
      </c>
      <c r="R1172">
        <v>1</v>
      </c>
      <c r="S1172" t="str">
        <f t="shared" si="91"/>
        <v>Very Poor</v>
      </c>
    </row>
    <row r="1173" spans="1:19" x14ac:dyDescent="0.25">
      <c r="A1173" t="s">
        <v>1586</v>
      </c>
      <c r="B1173">
        <v>49</v>
      </c>
      <c r="C1173" t="s">
        <v>29</v>
      </c>
      <c r="D1173" t="s">
        <v>2541</v>
      </c>
      <c r="E1173" t="s">
        <v>18</v>
      </c>
      <c r="F1173" t="s">
        <v>142</v>
      </c>
      <c r="G1173" t="s">
        <v>531</v>
      </c>
      <c r="H1173" t="str">
        <f>TEXT(walmart[[#This Row],[Purchase_Date]],"DDD")</f>
        <v>Thu</v>
      </c>
      <c r="I1173" t="str">
        <f>TEXT(walmart[[#This Row],[Purchase_Date]],"MMM")</f>
        <v>Nov</v>
      </c>
      <c r="J1173" t="str">
        <f>TEXT(walmart[[#This Row],[Purchase_Date]],"YYY")</f>
        <v>2024</v>
      </c>
      <c r="K1173" s="3">
        <v>485.26</v>
      </c>
      <c r="L1173" t="str">
        <f t="shared" si="88"/>
        <v>5% off</v>
      </c>
      <c r="N1173" t="str">
        <f t="shared" si="89"/>
        <v>Yes</v>
      </c>
      <c r="O1173" t="s">
        <v>21</v>
      </c>
      <c r="P1173" s="3">
        <f t="shared" si="90"/>
        <v>485.26</v>
      </c>
      <c r="Q1173" t="s">
        <v>27</v>
      </c>
      <c r="R1173">
        <v>3</v>
      </c>
      <c r="S1173" t="str">
        <f t="shared" si="91"/>
        <v>Average</v>
      </c>
    </row>
    <row r="1174" spans="1:19" x14ac:dyDescent="0.25">
      <c r="A1174" t="s">
        <v>1587</v>
      </c>
      <c r="B1174">
        <v>39</v>
      </c>
      <c r="C1174" t="s">
        <v>16</v>
      </c>
      <c r="D1174" t="s">
        <v>2542</v>
      </c>
      <c r="E1174" t="s">
        <v>37</v>
      </c>
      <c r="F1174" t="s">
        <v>38</v>
      </c>
      <c r="G1174" t="s">
        <v>277</v>
      </c>
      <c r="H1174" t="str">
        <f>TEXT(walmart[[#This Row],[Purchase_Date]],"DDD")</f>
        <v>Thu</v>
      </c>
      <c r="I1174" t="str">
        <f>TEXT(walmart[[#This Row],[Purchase_Date]],"MMM")</f>
        <v>Apr</v>
      </c>
      <c r="J1174" t="str">
        <f>TEXT(walmart[[#This Row],[Purchase_Date]],"YYY")</f>
        <v>2024</v>
      </c>
      <c r="K1174" s="3">
        <v>211.46</v>
      </c>
      <c r="L1174" t="str">
        <f t="shared" si="88"/>
        <v>5% off</v>
      </c>
      <c r="N1174" t="str">
        <f t="shared" si="89"/>
        <v>Yes</v>
      </c>
      <c r="O1174" t="s">
        <v>21</v>
      </c>
      <c r="P1174" s="3">
        <f t="shared" si="90"/>
        <v>211.46</v>
      </c>
      <c r="Q1174" t="s">
        <v>35</v>
      </c>
      <c r="R1174">
        <v>2</v>
      </c>
      <c r="S1174" t="str">
        <f t="shared" si="91"/>
        <v>Poor</v>
      </c>
    </row>
    <row r="1175" spans="1:19" x14ac:dyDescent="0.25">
      <c r="A1175" t="s">
        <v>1588</v>
      </c>
      <c r="B1175">
        <v>26</v>
      </c>
      <c r="C1175" t="s">
        <v>16</v>
      </c>
      <c r="D1175" t="s">
        <v>2543</v>
      </c>
      <c r="E1175" t="s">
        <v>73</v>
      </c>
      <c r="F1175" t="s">
        <v>138</v>
      </c>
      <c r="G1175" t="s">
        <v>1224</v>
      </c>
      <c r="H1175" t="str">
        <f>TEXT(walmart[[#This Row],[Purchase_Date]],"DDD")</f>
        <v>Sat</v>
      </c>
      <c r="I1175" t="str">
        <f>TEXT(walmart[[#This Row],[Purchase_Date]],"MMM")</f>
        <v>Nov</v>
      </c>
      <c r="J1175" t="str">
        <f>TEXT(walmart[[#This Row],[Purchase_Date]],"YYY")</f>
        <v>2024</v>
      </c>
      <c r="K1175" s="3">
        <v>461.81</v>
      </c>
      <c r="L1175" t="str">
        <f t="shared" si="88"/>
        <v>5% off</v>
      </c>
      <c r="N1175" t="str">
        <f t="shared" si="89"/>
        <v>Yes</v>
      </c>
      <c r="O1175" t="s">
        <v>21</v>
      </c>
      <c r="P1175" s="3">
        <f t="shared" si="90"/>
        <v>461.81</v>
      </c>
      <c r="Q1175" t="s">
        <v>35</v>
      </c>
      <c r="R1175">
        <v>1</v>
      </c>
      <c r="S1175" t="str">
        <f t="shared" si="91"/>
        <v>Very Poor</v>
      </c>
    </row>
    <row r="1176" spans="1:19" x14ac:dyDescent="0.25">
      <c r="A1176" t="s">
        <v>1589</v>
      </c>
      <c r="B1176">
        <v>54</v>
      </c>
      <c r="C1176" t="s">
        <v>29</v>
      </c>
      <c r="D1176" t="s">
        <v>2544</v>
      </c>
      <c r="E1176" t="s">
        <v>73</v>
      </c>
      <c r="F1176" t="s">
        <v>138</v>
      </c>
      <c r="G1176" t="s">
        <v>33</v>
      </c>
      <c r="H1176" t="str">
        <f>TEXT(walmart[[#This Row],[Purchase_Date]],"DDD")</f>
        <v>Sat</v>
      </c>
      <c r="I1176" t="str">
        <f>TEXT(walmart[[#This Row],[Purchase_Date]],"MMM")</f>
        <v>Jul</v>
      </c>
      <c r="J1176" t="str">
        <f>TEXT(walmart[[#This Row],[Purchase_Date]],"YYY")</f>
        <v>2024</v>
      </c>
      <c r="K1176" s="3">
        <v>461.81</v>
      </c>
      <c r="L1176" t="str">
        <f t="shared" si="88"/>
        <v>5% off</v>
      </c>
      <c r="N1176" t="str">
        <f t="shared" si="89"/>
        <v>Yes</v>
      </c>
      <c r="O1176" t="s">
        <v>34</v>
      </c>
      <c r="P1176" s="3">
        <f t="shared" si="90"/>
        <v>461.81</v>
      </c>
      <c r="Q1176" t="s">
        <v>47</v>
      </c>
      <c r="R1176">
        <v>5</v>
      </c>
      <c r="S1176" t="str">
        <f t="shared" si="91"/>
        <v>Excellent</v>
      </c>
    </row>
    <row r="1177" spans="1:19" x14ac:dyDescent="0.25">
      <c r="A1177" t="s">
        <v>1590</v>
      </c>
      <c r="B1177">
        <v>56</v>
      </c>
      <c r="C1177" t="s">
        <v>29</v>
      </c>
      <c r="D1177" t="s">
        <v>2545</v>
      </c>
      <c r="E1177" t="s">
        <v>31</v>
      </c>
      <c r="F1177" t="s">
        <v>300</v>
      </c>
      <c r="G1177" t="s">
        <v>140</v>
      </c>
      <c r="H1177" t="str">
        <f>TEXT(walmart[[#This Row],[Purchase_Date]],"DDD")</f>
        <v>Sun</v>
      </c>
      <c r="I1177" t="str">
        <f>TEXT(walmart[[#This Row],[Purchase_Date]],"MMM")</f>
        <v>Mar</v>
      </c>
      <c r="J1177" t="str">
        <f>TEXT(walmart[[#This Row],[Purchase_Date]],"YYY")</f>
        <v>2025</v>
      </c>
      <c r="K1177" s="3">
        <v>340.04</v>
      </c>
      <c r="L1177" t="str">
        <f t="shared" si="88"/>
        <v>5% off</v>
      </c>
      <c r="N1177" t="str">
        <f t="shared" si="89"/>
        <v>Yes</v>
      </c>
      <c r="O1177" t="s">
        <v>21</v>
      </c>
      <c r="P1177" s="3">
        <f t="shared" si="90"/>
        <v>340.04</v>
      </c>
      <c r="Q1177" t="s">
        <v>22</v>
      </c>
      <c r="R1177">
        <v>2</v>
      </c>
      <c r="S1177" t="str">
        <f t="shared" si="91"/>
        <v>Poor</v>
      </c>
    </row>
    <row r="1178" spans="1:19" x14ac:dyDescent="0.25">
      <c r="A1178" t="s">
        <v>1591</v>
      </c>
      <c r="B1178">
        <v>67</v>
      </c>
      <c r="C1178" t="s">
        <v>16</v>
      </c>
      <c r="D1178" t="s">
        <v>2546</v>
      </c>
      <c r="E1178" t="s">
        <v>55</v>
      </c>
      <c r="F1178" t="s">
        <v>100</v>
      </c>
      <c r="G1178" t="s">
        <v>355</v>
      </c>
      <c r="H1178" t="str">
        <f>TEXT(walmart[[#This Row],[Purchase_Date]],"DDD")</f>
        <v>Fri</v>
      </c>
      <c r="I1178" t="str">
        <f>TEXT(walmart[[#This Row],[Purchase_Date]],"MMM")</f>
        <v>Nov</v>
      </c>
      <c r="J1178" t="str">
        <f>TEXT(walmart[[#This Row],[Purchase_Date]],"YYY")</f>
        <v>2024</v>
      </c>
      <c r="K1178" s="3">
        <v>592.26</v>
      </c>
      <c r="L1178" t="str">
        <f t="shared" si="88"/>
        <v>10% off</v>
      </c>
      <c r="N1178" t="str">
        <f t="shared" si="89"/>
        <v>Yes</v>
      </c>
      <c r="O1178" t="s">
        <v>21</v>
      </c>
      <c r="P1178" s="3">
        <f t="shared" si="90"/>
        <v>592.26</v>
      </c>
      <c r="Q1178" t="s">
        <v>47</v>
      </c>
      <c r="R1178">
        <v>2</v>
      </c>
      <c r="S1178" t="str">
        <f t="shared" si="91"/>
        <v>Poor</v>
      </c>
    </row>
    <row r="1179" spans="1:19" x14ac:dyDescent="0.25">
      <c r="A1179" t="s">
        <v>1592</v>
      </c>
      <c r="B1179">
        <v>49</v>
      </c>
      <c r="C1179" t="s">
        <v>29</v>
      </c>
      <c r="D1179" t="s">
        <v>2547</v>
      </c>
      <c r="E1179" t="s">
        <v>42</v>
      </c>
      <c r="F1179" t="s">
        <v>52</v>
      </c>
      <c r="G1179" t="s">
        <v>759</v>
      </c>
      <c r="H1179" t="str">
        <f>TEXT(walmart[[#This Row],[Purchase_Date]],"DDD")</f>
        <v>Sun</v>
      </c>
      <c r="I1179" t="str">
        <f>TEXT(walmart[[#This Row],[Purchase_Date]],"MMM")</f>
        <v>Dec</v>
      </c>
      <c r="J1179" t="str">
        <f>TEXT(walmart[[#This Row],[Purchase_Date]],"YYY")</f>
        <v>2024</v>
      </c>
      <c r="K1179" s="3">
        <v>988.77</v>
      </c>
      <c r="L1179" t="str">
        <f t="shared" si="88"/>
        <v>20% off</v>
      </c>
      <c r="N1179" t="str">
        <f t="shared" si="89"/>
        <v>Yes</v>
      </c>
      <c r="O1179" t="s">
        <v>34</v>
      </c>
      <c r="P1179" s="3">
        <f t="shared" si="90"/>
        <v>988.77</v>
      </c>
      <c r="Q1179" t="s">
        <v>35</v>
      </c>
      <c r="R1179">
        <v>4</v>
      </c>
      <c r="S1179" t="str">
        <f t="shared" si="91"/>
        <v>Good</v>
      </c>
    </row>
    <row r="1180" spans="1:19" x14ac:dyDescent="0.25">
      <c r="A1180" t="s">
        <v>1593</v>
      </c>
      <c r="B1180">
        <v>34</v>
      </c>
      <c r="C1180" t="s">
        <v>16</v>
      </c>
      <c r="D1180" t="s">
        <v>2548</v>
      </c>
      <c r="E1180" t="s">
        <v>18</v>
      </c>
      <c r="F1180" t="s">
        <v>77</v>
      </c>
      <c r="G1180" t="s">
        <v>1079</v>
      </c>
      <c r="H1180" t="str">
        <f>TEXT(walmart[[#This Row],[Purchase_Date]],"DDD")</f>
        <v>Mon</v>
      </c>
      <c r="I1180" t="str">
        <f>TEXT(walmart[[#This Row],[Purchase_Date]],"MMM")</f>
        <v>May</v>
      </c>
      <c r="J1180" t="str">
        <f>TEXT(walmart[[#This Row],[Purchase_Date]],"YYY")</f>
        <v>2024</v>
      </c>
      <c r="K1180" s="3">
        <v>116.78</v>
      </c>
      <c r="L1180" t="str">
        <f t="shared" si="88"/>
        <v>0% off</v>
      </c>
      <c r="N1180" t="str">
        <f t="shared" si="89"/>
        <v>No</v>
      </c>
      <c r="O1180" t="s">
        <v>34</v>
      </c>
      <c r="P1180" s="3">
        <f t="shared" si="90"/>
        <v>116.78</v>
      </c>
      <c r="Q1180" t="s">
        <v>27</v>
      </c>
      <c r="R1180">
        <v>1</v>
      </c>
      <c r="S1180" t="str">
        <f t="shared" si="91"/>
        <v>Very Poor</v>
      </c>
    </row>
    <row r="1181" spans="1:19" x14ac:dyDescent="0.25">
      <c r="A1181" t="s">
        <v>1594</v>
      </c>
      <c r="B1181">
        <v>54</v>
      </c>
      <c r="C1181" t="s">
        <v>16</v>
      </c>
      <c r="D1181" t="s">
        <v>2549</v>
      </c>
      <c r="E1181" t="s">
        <v>55</v>
      </c>
      <c r="F1181" t="s">
        <v>100</v>
      </c>
      <c r="G1181" t="s">
        <v>92</v>
      </c>
      <c r="H1181" t="str">
        <f>TEXT(walmart[[#This Row],[Purchase_Date]],"DDD")</f>
        <v>Sun</v>
      </c>
      <c r="I1181" t="str">
        <f>TEXT(walmart[[#This Row],[Purchase_Date]],"MMM")</f>
        <v>May</v>
      </c>
      <c r="J1181" t="str">
        <f>TEXT(walmart[[#This Row],[Purchase_Date]],"YYY")</f>
        <v>2024</v>
      </c>
      <c r="K1181" s="3">
        <v>592.26</v>
      </c>
      <c r="L1181" t="str">
        <f t="shared" si="88"/>
        <v>10% off</v>
      </c>
      <c r="N1181" t="str">
        <f t="shared" si="89"/>
        <v>Yes</v>
      </c>
      <c r="O1181" t="s">
        <v>21</v>
      </c>
      <c r="P1181" s="3">
        <f t="shared" si="90"/>
        <v>592.26</v>
      </c>
      <c r="Q1181" t="s">
        <v>27</v>
      </c>
      <c r="R1181">
        <v>5</v>
      </c>
      <c r="S1181" t="str">
        <f t="shared" si="91"/>
        <v>Excellent</v>
      </c>
    </row>
    <row r="1182" spans="1:19" x14ac:dyDescent="0.25">
      <c r="A1182" t="s">
        <v>1595</v>
      </c>
      <c r="B1182">
        <v>62</v>
      </c>
      <c r="C1182" t="s">
        <v>29</v>
      </c>
      <c r="D1182" t="s">
        <v>2550</v>
      </c>
      <c r="E1182" t="s">
        <v>42</v>
      </c>
      <c r="F1182" t="s">
        <v>120</v>
      </c>
      <c r="G1182" t="s">
        <v>1143</v>
      </c>
      <c r="H1182" t="str">
        <f>TEXT(walmart[[#This Row],[Purchase_Date]],"DDD")</f>
        <v>Sat</v>
      </c>
      <c r="I1182" t="str">
        <f>TEXT(walmart[[#This Row],[Purchase_Date]],"MMM")</f>
        <v>Nov</v>
      </c>
      <c r="J1182" t="str">
        <f>TEXT(walmart[[#This Row],[Purchase_Date]],"YYY")</f>
        <v>2024</v>
      </c>
      <c r="K1182" s="3">
        <v>260.77999999999997</v>
      </c>
      <c r="L1182" t="str">
        <f t="shared" si="88"/>
        <v>5% off</v>
      </c>
      <c r="N1182" t="str">
        <f t="shared" si="89"/>
        <v>Yes</v>
      </c>
      <c r="O1182" t="s">
        <v>34</v>
      </c>
      <c r="P1182" s="3">
        <f t="shared" si="90"/>
        <v>260.77999999999997</v>
      </c>
      <c r="Q1182" t="s">
        <v>35</v>
      </c>
      <c r="R1182">
        <v>1</v>
      </c>
      <c r="S1182" t="str">
        <f t="shared" si="91"/>
        <v>Very Poor</v>
      </c>
    </row>
    <row r="1183" spans="1:19" x14ac:dyDescent="0.25">
      <c r="A1183" t="s">
        <v>1596</v>
      </c>
      <c r="B1183">
        <v>34</v>
      </c>
      <c r="C1183" t="s">
        <v>29</v>
      </c>
      <c r="D1183" t="s">
        <v>2551</v>
      </c>
      <c r="E1183" t="s">
        <v>31</v>
      </c>
      <c r="F1183" t="s">
        <v>32</v>
      </c>
      <c r="G1183" t="s">
        <v>183</v>
      </c>
      <c r="H1183" t="str">
        <f>TEXT(walmart[[#This Row],[Purchase_Date]],"DDD")</f>
        <v>Thu</v>
      </c>
      <c r="I1183" t="str">
        <f>TEXT(walmart[[#This Row],[Purchase_Date]],"MMM")</f>
        <v>May</v>
      </c>
      <c r="J1183" t="str">
        <f>TEXT(walmart[[#This Row],[Purchase_Date]],"YYY")</f>
        <v>2024</v>
      </c>
      <c r="K1183" s="3">
        <v>493.96</v>
      </c>
      <c r="L1183" t="str">
        <f t="shared" si="88"/>
        <v>5% off</v>
      </c>
      <c r="N1183" t="str">
        <f t="shared" si="89"/>
        <v>Yes</v>
      </c>
      <c r="O1183" t="s">
        <v>34</v>
      </c>
      <c r="P1183" s="3">
        <f t="shared" si="90"/>
        <v>493.96</v>
      </c>
      <c r="Q1183" t="s">
        <v>22</v>
      </c>
      <c r="R1183">
        <v>3</v>
      </c>
      <c r="S1183" t="str">
        <f t="shared" si="91"/>
        <v>Average</v>
      </c>
    </row>
    <row r="1184" spans="1:19" x14ac:dyDescent="0.25">
      <c r="A1184" t="s">
        <v>1597</v>
      </c>
      <c r="B1184">
        <v>40</v>
      </c>
      <c r="C1184" t="s">
        <v>29</v>
      </c>
      <c r="D1184" t="s">
        <v>2552</v>
      </c>
      <c r="E1184" t="s">
        <v>73</v>
      </c>
      <c r="F1184" t="s">
        <v>138</v>
      </c>
      <c r="G1184" t="s">
        <v>353</v>
      </c>
      <c r="H1184" t="str">
        <f>TEXT(walmart[[#This Row],[Purchase_Date]],"DDD")</f>
        <v>Tue</v>
      </c>
      <c r="I1184" t="str">
        <f>TEXT(walmart[[#This Row],[Purchase_Date]],"MMM")</f>
        <v>Jul</v>
      </c>
      <c r="J1184" t="str">
        <f>TEXT(walmart[[#This Row],[Purchase_Date]],"YYY")</f>
        <v>2024</v>
      </c>
      <c r="K1184" s="3">
        <v>461.81</v>
      </c>
      <c r="L1184" t="str">
        <f t="shared" si="88"/>
        <v>5% off</v>
      </c>
      <c r="N1184" t="str">
        <f t="shared" si="89"/>
        <v>Yes</v>
      </c>
      <c r="O1184" t="s">
        <v>21</v>
      </c>
      <c r="P1184" s="3">
        <f t="shared" si="90"/>
        <v>461.81</v>
      </c>
      <c r="Q1184" t="s">
        <v>27</v>
      </c>
      <c r="R1184">
        <v>1</v>
      </c>
      <c r="S1184" t="str">
        <f t="shared" si="91"/>
        <v>Very Poor</v>
      </c>
    </row>
    <row r="1185" spans="1:19" x14ac:dyDescent="0.25">
      <c r="A1185" t="s">
        <v>1598</v>
      </c>
      <c r="B1185">
        <v>57</v>
      </c>
      <c r="C1185" t="s">
        <v>29</v>
      </c>
      <c r="D1185" t="s">
        <v>2553</v>
      </c>
      <c r="E1185" t="s">
        <v>55</v>
      </c>
      <c r="F1185" t="s">
        <v>64</v>
      </c>
      <c r="G1185" t="s">
        <v>207</v>
      </c>
      <c r="H1185" t="str">
        <f>TEXT(walmart[[#This Row],[Purchase_Date]],"DDD")</f>
        <v>Wed</v>
      </c>
      <c r="I1185" t="str">
        <f>TEXT(walmart[[#This Row],[Purchase_Date]],"MMM")</f>
        <v>Aug</v>
      </c>
      <c r="J1185" t="str">
        <f>TEXT(walmart[[#This Row],[Purchase_Date]],"YYY")</f>
        <v>2024</v>
      </c>
      <c r="K1185" s="3">
        <v>374.92</v>
      </c>
      <c r="L1185" t="str">
        <f t="shared" si="88"/>
        <v>5% off</v>
      </c>
      <c r="N1185" t="str">
        <f t="shared" si="89"/>
        <v>Yes</v>
      </c>
      <c r="O1185" t="s">
        <v>34</v>
      </c>
      <c r="P1185" s="3">
        <f t="shared" si="90"/>
        <v>374.92</v>
      </c>
      <c r="Q1185" t="s">
        <v>47</v>
      </c>
      <c r="R1185">
        <v>3</v>
      </c>
      <c r="S1185" t="str">
        <f t="shared" si="91"/>
        <v>Average</v>
      </c>
    </row>
    <row r="1186" spans="1:19" x14ac:dyDescent="0.25">
      <c r="A1186" t="s">
        <v>1599</v>
      </c>
      <c r="B1186">
        <v>69</v>
      </c>
      <c r="C1186" t="s">
        <v>29</v>
      </c>
      <c r="D1186" t="s">
        <v>2554</v>
      </c>
      <c r="E1186" t="s">
        <v>37</v>
      </c>
      <c r="F1186" t="s">
        <v>97</v>
      </c>
      <c r="G1186" t="s">
        <v>1052</v>
      </c>
      <c r="H1186" t="str">
        <f>TEXT(walmart[[#This Row],[Purchase_Date]],"DDD")</f>
        <v>Tue</v>
      </c>
      <c r="I1186" t="str">
        <f>TEXT(walmart[[#This Row],[Purchase_Date]],"MMM")</f>
        <v>Jul</v>
      </c>
      <c r="J1186" t="str">
        <f>TEXT(walmart[[#This Row],[Purchase_Date]],"YYY")</f>
        <v>2024</v>
      </c>
      <c r="K1186" s="3">
        <v>855.21</v>
      </c>
      <c r="L1186" t="str">
        <f t="shared" si="88"/>
        <v>15% off</v>
      </c>
      <c r="N1186" t="str">
        <f t="shared" si="89"/>
        <v>Yes</v>
      </c>
      <c r="O1186" t="s">
        <v>21</v>
      </c>
      <c r="P1186" s="3">
        <f t="shared" si="90"/>
        <v>855.21</v>
      </c>
      <c r="Q1186" t="s">
        <v>47</v>
      </c>
      <c r="R1186">
        <v>4</v>
      </c>
      <c r="S1186" t="str">
        <f t="shared" si="91"/>
        <v>Good</v>
      </c>
    </row>
    <row r="1187" spans="1:19" x14ac:dyDescent="0.25">
      <c r="A1187" t="s">
        <v>1600</v>
      </c>
      <c r="B1187">
        <v>55</v>
      </c>
      <c r="C1187" t="s">
        <v>16</v>
      </c>
      <c r="D1187" t="s">
        <v>2555</v>
      </c>
      <c r="E1187" t="s">
        <v>55</v>
      </c>
      <c r="F1187" t="s">
        <v>67</v>
      </c>
      <c r="G1187" t="s">
        <v>536</v>
      </c>
      <c r="H1187" t="str">
        <f>TEXT(walmart[[#This Row],[Purchase_Date]],"DDD")</f>
        <v>Tue</v>
      </c>
      <c r="I1187" t="str">
        <f>TEXT(walmart[[#This Row],[Purchase_Date]],"MMM")</f>
        <v>Jul</v>
      </c>
      <c r="J1187" t="str">
        <f>TEXT(walmart[[#This Row],[Purchase_Date]],"YYY")</f>
        <v>2024</v>
      </c>
      <c r="K1187" s="3">
        <v>452.97</v>
      </c>
      <c r="L1187" t="str">
        <f t="shared" si="88"/>
        <v>5% off</v>
      </c>
      <c r="N1187" t="str">
        <f t="shared" si="89"/>
        <v>Yes</v>
      </c>
      <c r="O1187" t="s">
        <v>34</v>
      </c>
      <c r="P1187" s="3">
        <f t="shared" si="90"/>
        <v>452.97</v>
      </c>
      <c r="Q1187" t="s">
        <v>47</v>
      </c>
      <c r="R1187">
        <v>4</v>
      </c>
      <c r="S1187" t="str">
        <f t="shared" si="91"/>
        <v>Good</v>
      </c>
    </row>
    <row r="1188" spans="1:19" x14ac:dyDescent="0.25">
      <c r="A1188" t="s">
        <v>1601</v>
      </c>
      <c r="B1188">
        <v>48</v>
      </c>
      <c r="C1188" t="s">
        <v>16</v>
      </c>
      <c r="D1188" t="s">
        <v>2556</v>
      </c>
      <c r="E1188" t="s">
        <v>42</v>
      </c>
      <c r="F1188" t="s">
        <v>52</v>
      </c>
      <c r="G1188" t="s">
        <v>529</v>
      </c>
      <c r="H1188" t="str">
        <f>TEXT(walmart[[#This Row],[Purchase_Date]],"DDD")</f>
        <v>Fri</v>
      </c>
      <c r="I1188" t="str">
        <f>TEXT(walmart[[#This Row],[Purchase_Date]],"MMM")</f>
        <v>Jan</v>
      </c>
      <c r="J1188" t="str">
        <f>TEXT(walmart[[#This Row],[Purchase_Date]],"YYY")</f>
        <v>2025</v>
      </c>
      <c r="K1188" s="3">
        <v>988.77</v>
      </c>
      <c r="L1188" t="str">
        <f t="shared" si="88"/>
        <v>20% off</v>
      </c>
      <c r="N1188" t="str">
        <f t="shared" si="89"/>
        <v>Yes</v>
      </c>
      <c r="O1188" t="s">
        <v>34</v>
      </c>
      <c r="P1188" s="3">
        <f t="shared" si="90"/>
        <v>988.77</v>
      </c>
      <c r="Q1188" t="s">
        <v>35</v>
      </c>
      <c r="R1188">
        <v>2</v>
      </c>
      <c r="S1188" t="str">
        <f t="shared" si="91"/>
        <v>Poor</v>
      </c>
    </row>
    <row r="1189" spans="1:19" x14ac:dyDescent="0.25">
      <c r="A1189" t="s">
        <v>1602</v>
      </c>
      <c r="B1189">
        <v>56</v>
      </c>
      <c r="C1189" t="s">
        <v>29</v>
      </c>
      <c r="D1189" t="s">
        <v>2557</v>
      </c>
      <c r="E1189" t="s">
        <v>37</v>
      </c>
      <c r="F1189" t="s">
        <v>82</v>
      </c>
      <c r="G1189" t="s">
        <v>401</v>
      </c>
      <c r="H1189" t="str">
        <f>TEXT(walmart[[#This Row],[Purchase_Date]],"DDD")</f>
        <v>Wed</v>
      </c>
      <c r="I1189" t="str">
        <f>TEXT(walmart[[#This Row],[Purchase_Date]],"MMM")</f>
        <v>Mar</v>
      </c>
      <c r="J1189" t="str">
        <f>TEXT(walmart[[#This Row],[Purchase_Date]],"YYY")</f>
        <v>2024</v>
      </c>
      <c r="K1189" s="3">
        <v>270.41000000000003</v>
      </c>
      <c r="L1189" t="str">
        <f t="shared" si="88"/>
        <v>5% off</v>
      </c>
      <c r="N1189" t="str">
        <f t="shared" si="89"/>
        <v>Yes</v>
      </c>
      <c r="O1189" t="s">
        <v>21</v>
      </c>
      <c r="P1189" s="3">
        <f t="shared" si="90"/>
        <v>270.41000000000003</v>
      </c>
      <c r="Q1189" t="s">
        <v>27</v>
      </c>
      <c r="R1189">
        <v>5</v>
      </c>
      <c r="S1189" t="str">
        <f t="shared" si="91"/>
        <v>Excellent</v>
      </c>
    </row>
    <row r="1190" spans="1:19" x14ac:dyDescent="0.25">
      <c r="A1190" t="s">
        <v>1603</v>
      </c>
      <c r="B1190">
        <v>65</v>
      </c>
      <c r="C1190" t="s">
        <v>16</v>
      </c>
      <c r="D1190" t="s">
        <v>2558</v>
      </c>
      <c r="E1190" t="s">
        <v>31</v>
      </c>
      <c r="F1190" t="s">
        <v>112</v>
      </c>
      <c r="G1190" t="s">
        <v>39</v>
      </c>
      <c r="H1190" t="str">
        <f>TEXT(walmart[[#This Row],[Purchase_Date]],"DDD")</f>
        <v>Sat</v>
      </c>
      <c r="I1190" t="str">
        <f>TEXT(walmart[[#This Row],[Purchase_Date]],"MMM")</f>
        <v>Nov</v>
      </c>
      <c r="J1190" t="str">
        <f>TEXT(walmart[[#This Row],[Purchase_Date]],"YYY")</f>
        <v>2024</v>
      </c>
      <c r="K1190" s="3">
        <v>492.1</v>
      </c>
      <c r="L1190" t="str">
        <f t="shared" si="88"/>
        <v>5% off</v>
      </c>
      <c r="N1190" t="str">
        <f t="shared" si="89"/>
        <v>Yes</v>
      </c>
      <c r="O1190" t="s">
        <v>34</v>
      </c>
      <c r="P1190" s="3">
        <f t="shared" si="90"/>
        <v>492.1</v>
      </c>
      <c r="Q1190" t="s">
        <v>35</v>
      </c>
      <c r="R1190">
        <v>2</v>
      </c>
      <c r="S1190" t="str">
        <f t="shared" si="91"/>
        <v>Poor</v>
      </c>
    </row>
    <row r="1191" spans="1:19" x14ac:dyDescent="0.25">
      <c r="A1191" t="s">
        <v>1604</v>
      </c>
      <c r="B1191">
        <v>51</v>
      </c>
      <c r="C1191" t="s">
        <v>16</v>
      </c>
      <c r="D1191" t="s">
        <v>2559</v>
      </c>
      <c r="E1191" t="s">
        <v>37</v>
      </c>
      <c r="F1191" t="s">
        <v>117</v>
      </c>
      <c r="G1191" t="s">
        <v>547</v>
      </c>
      <c r="H1191" t="str">
        <f>TEXT(walmart[[#This Row],[Purchase_Date]],"DDD")</f>
        <v>Fri</v>
      </c>
      <c r="I1191" t="str">
        <f>TEXT(walmart[[#This Row],[Purchase_Date]],"MMM")</f>
        <v>May</v>
      </c>
      <c r="J1191" t="str">
        <f>TEXT(walmart[[#This Row],[Purchase_Date]],"YYY")</f>
        <v>2024</v>
      </c>
      <c r="K1191" s="3">
        <v>165.68</v>
      </c>
      <c r="L1191" t="str">
        <f t="shared" si="88"/>
        <v>5% off</v>
      </c>
      <c r="N1191" t="str">
        <f t="shared" si="89"/>
        <v>Yes</v>
      </c>
      <c r="O1191" t="s">
        <v>34</v>
      </c>
      <c r="P1191" s="3">
        <f t="shared" si="90"/>
        <v>165.68</v>
      </c>
      <c r="Q1191" t="s">
        <v>27</v>
      </c>
      <c r="R1191">
        <v>4</v>
      </c>
      <c r="S1191" t="str">
        <f t="shared" si="91"/>
        <v>Good</v>
      </c>
    </row>
    <row r="1192" spans="1:19" x14ac:dyDescent="0.25">
      <c r="A1192" t="s">
        <v>1605</v>
      </c>
      <c r="B1192">
        <v>33</v>
      </c>
      <c r="C1192" t="s">
        <v>16</v>
      </c>
      <c r="D1192" t="s">
        <v>2560</v>
      </c>
      <c r="E1192" t="s">
        <v>18</v>
      </c>
      <c r="F1192" t="s">
        <v>77</v>
      </c>
      <c r="G1192" t="s">
        <v>829</v>
      </c>
      <c r="H1192" t="str">
        <f>TEXT(walmart[[#This Row],[Purchase_Date]],"DDD")</f>
        <v>Sun</v>
      </c>
      <c r="I1192" t="str">
        <f>TEXT(walmart[[#This Row],[Purchase_Date]],"MMM")</f>
        <v>Dec</v>
      </c>
      <c r="J1192" t="str">
        <f>TEXT(walmart[[#This Row],[Purchase_Date]],"YYY")</f>
        <v>2024</v>
      </c>
      <c r="K1192" s="3">
        <v>116.78</v>
      </c>
      <c r="L1192" t="str">
        <f t="shared" si="88"/>
        <v>0% off</v>
      </c>
      <c r="N1192" t="str">
        <f t="shared" si="89"/>
        <v>No</v>
      </c>
      <c r="O1192" t="s">
        <v>21</v>
      </c>
      <c r="P1192" s="3">
        <f t="shared" si="90"/>
        <v>116.78</v>
      </c>
      <c r="Q1192" t="s">
        <v>35</v>
      </c>
      <c r="R1192">
        <v>3</v>
      </c>
      <c r="S1192" t="str">
        <f t="shared" si="91"/>
        <v>Average</v>
      </c>
    </row>
    <row r="1193" spans="1:19" x14ac:dyDescent="0.25">
      <c r="A1193" t="s">
        <v>1606</v>
      </c>
      <c r="B1193">
        <v>46</v>
      </c>
      <c r="C1193" t="s">
        <v>16</v>
      </c>
      <c r="D1193" t="s">
        <v>2561</v>
      </c>
      <c r="E1193" t="s">
        <v>73</v>
      </c>
      <c r="F1193" t="s">
        <v>74</v>
      </c>
      <c r="G1193" t="s">
        <v>1253</v>
      </c>
      <c r="H1193" t="str">
        <f>TEXT(walmart[[#This Row],[Purchase_Date]],"DDD")</f>
        <v>Thu</v>
      </c>
      <c r="I1193" t="str">
        <f>TEXT(walmart[[#This Row],[Purchase_Date]],"MMM")</f>
        <v>Feb</v>
      </c>
      <c r="J1193" t="str">
        <f>TEXT(walmart[[#This Row],[Purchase_Date]],"YYY")</f>
        <v>2025</v>
      </c>
      <c r="K1193" s="3">
        <v>782.29</v>
      </c>
      <c r="L1193" t="str">
        <f t="shared" si="88"/>
        <v>15% off</v>
      </c>
      <c r="N1193" t="str">
        <f t="shared" si="89"/>
        <v>Yes</v>
      </c>
      <c r="O1193" t="s">
        <v>21</v>
      </c>
      <c r="P1193" s="3">
        <f t="shared" si="90"/>
        <v>782.29</v>
      </c>
      <c r="Q1193" t="s">
        <v>35</v>
      </c>
      <c r="R1193">
        <v>1</v>
      </c>
      <c r="S1193" t="str">
        <f t="shared" si="91"/>
        <v>Very Poor</v>
      </c>
    </row>
    <row r="1194" spans="1:19" x14ac:dyDescent="0.25">
      <c r="A1194" t="s">
        <v>1607</v>
      </c>
      <c r="B1194">
        <v>18</v>
      </c>
      <c r="C1194" t="s">
        <v>16</v>
      </c>
      <c r="D1194" t="s">
        <v>2501</v>
      </c>
      <c r="E1194" t="s">
        <v>18</v>
      </c>
      <c r="F1194" t="s">
        <v>142</v>
      </c>
      <c r="G1194" t="s">
        <v>291</v>
      </c>
      <c r="H1194" t="str">
        <f>TEXT(walmart[[#This Row],[Purchase_Date]],"DDD")</f>
        <v>Fri</v>
      </c>
      <c r="I1194" t="str">
        <f>TEXT(walmart[[#This Row],[Purchase_Date]],"MMM")</f>
        <v>Sep</v>
      </c>
      <c r="J1194" t="str">
        <f>TEXT(walmart[[#This Row],[Purchase_Date]],"YYY")</f>
        <v>2024</v>
      </c>
      <c r="K1194" s="3">
        <v>485.26</v>
      </c>
      <c r="L1194" t="str">
        <f t="shared" si="88"/>
        <v>5% off</v>
      </c>
      <c r="N1194" t="str">
        <f t="shared" si="89"/>
        <v>Yes</v>
      </c>
      <c r="O1194" t="s">
        <v>34</v>
      </c>
      <c r="P1194" s="3">
        <f t="shared" si="90"/>
        <v>485.26</v>
      </c>
      <c r="Q1194" t="s">
        <v>27</v>
      </c>
      <c r="R1194">
        <v>2</v>
      </c>
      <c r="S1194" t="str">
        <f t="shared" si="91"/>
        <v>Poor</v>
      </c>
    </row>
    <row r="1195" spans="1:19" x14ac:dyDescent="0.25">
      <c r="A1195" t="s">
        <v>1608</v>
      </c>
      <c r="B1195">
        <v>51</v>
      </c>
      <c r="C1195" t="s">
        <v>29</v>
      </c>
      <c r="D1195" t="s">
        <v>2504</v>
      </c>
      <c r="E1195" t="s">
        <v>55</v>
      </c>
      <c r="F1195" t="s">
        <v>56</v>
      </c>
      <c r="G1195" t="s">
        <v>122</v>
      </c>
      <c r="H1195" t="str">
        <f>TEXT(walmart[[#This Row],[Purchase_Date]],"DDD")</f>
        <v>Wed</v>
      </c>
      <c r="I1195" t="str">
        <f>TEXT(walmart[[#This Row],[Purchase_Date]],"MMM")</f>
        <v>Jul</v>
      </c>
      <c r="J1195" t="str">
        <f>TEXT(walmart[[#This Row],[Purchase_Date]],"YYY")</f>
        <v>2024</v>
      </c>
      <c r="K1195" s="3">
        <v>76.81</v>
      </c>
      <c r="L1195" t="str">
        <f t="shared" si="88"/>
        <v>0% off</v>
      </c>
      <c r="N1195" t="str">
        <f t="shared" si="89"/>
        <v>No</v>
      </c>
      <c r="O1195" t="s">
        <v>34</v>
      </c>
      <c r="P1195" s="3">
        <f t="shared" si="90"/>
        <v>76.81</v>
      </c>
      <c r="Q1195" t="s">
        <v>35</v>
      </c>
      <c r="R1195">
        <v>4</v>
      </c>
      <c r="S1195" t="str">
        <f t="shared" si="91"/>
        <v>Good</v>
      </c>
    </row>
    <row r="1196" spans="1:19" x14ac:dyDescent="0.25">
      <c r="A1196" t="s">
        <v>1609</v>
      </c>
      <c r="B1196">
        <v>24</v>
      </c>
      <c r="C1196" t="s">
        <v>16</v>
      </c>
      <c r="D1196" t="s">
        <v>2505</v>
      </c>
      <c r="E1196" t="s">
        <v>73</v>
      </c>
      <c r="F1196" t="s">
        <v>94</v>
      </c>
      <c r="G1196" t="s">
        <v>1101</v>
      </c>
      <c r="H1196" t="str">
        <f>TEXT(walmart[[#This Row],[Purchase_Date]],"DDD")</f>
        <v>Thu</v>
      </c>
      <c r="I1196" t="str">
        <f>TEXT(walmart[[#This Row],[Purchase_Date]],"MMM")</f>
        <v>Mar</v>
      </c>
      <c r="J1196" t="str">
        <f>TEXT(walmart[[#This Row],[Purchase_Date]],"YYY")</f>
        <v>2025</v>
      </c>
      <c r="K1196" s="3">
        <v>965.09</v>
      </c>
      <c r="L1196" t="str">
        <f t="shared" si="88"/>
        <v>20% off</v>
      </c>
      <c r="N1196" t="str">
        <f t="shared" si="89"/>
        <v>Yes</v>
      </c>
      <c r="O1196" t="s">
        <v>34</v>
      </c>
      <c r="P1196" s="3">
        <f t="shared" si="90"/>
        <v>965.09</v>
      </c>
      <c r="Q1196" t="s">
        <v>27</v>
      </c>
      <c r="R1196">
        <v>1</v>
      </c>
      <c r="S1196" t="str">
        <f t="shared" si="91"/>
        <v>Very Poor</v>
      </c>
    </row>
    <row r="1197" spans="1:19" x14ac:dyDescent="0.25">
      <c r="A1197" t="s">
        <v>1610</v>
      </c>
      <c r="B1197">
        <v>45</v>
      </c>
      <c r="C1197" t="s">
        <v>29</v>
      </c>
      <c r="D1197" t="s">
        <v>2562</v>
      </c>
      <c r="E1197" t="s">
        <v>73</v>
      </c>
      <c r="F1197" t="s">
        <v>94</v>
      </c>
      <c r="G1197" t="s">
        <v>913</v>
      </c>
      <c r="H1197" t="str">
        <f>TEXT(walmart[[#This Row],[Purchase_Date]],"DDD")</f>
        <v>Thu</v>
      </c>
      <c r="I1197" t="str">
        <f>TEXT(walmart[[#This Row],[Purchase_Date]],"MMM")</f>
        <v>Jan</v>
      </c>
      <c r="J1197" t="str">
        <f>TEXT(walmart[[#This Row],[Purchase_Date]],"YYY")</f>
        <v>2025</v>
      </c>
      <c r="K1197" s="3">
        <v>965.09</v>
      </c>
      <c r="L1197" t="str">
        <f t="shared" si="88"/>
        <v>20% off</v>
      </c>
      <c r="N1197" t="str">
        <f t="shared" si="89"/>
        <v>Yes</v>
      </c>
      <c r="O1197" t="s">
        <v>21</v>
      </c>
      <c r="P1197" s="3">
        <f t="shared" si="90"/>
        <v>965.09</v>
      </c>
      <c r="Q1197" t="s">
        <v>22</v>
      </c>
      <c r="R1197">
        <v>1</v>
      </c>
      <c r="S1197" t="str">
        <f t="shared" si="91"/>
        <v>Very Poor</v>
      </c>
    </row>
    <row r="1198" spans="1:19" x14ac:dyDescent="0.25">
      <c r="A1198" t="s">
        <v>1611</v>
      </c>
      <c r="B1198">
        <v>31</v>
      </c>
      <c r="C1198" t="s">
        <v>29</v>
      </c>
      <c r="D1198" t="s">
        <v>2563</v>
      </c>
      <c r="E1198" t="s">
        <v>55</v>
      </c>
      <c r="F1198" t="s">
        <v>56</v>
      </c>
      <c r="G1198" t="s">
        <v>373</v>
      </c>
      <c r="H1198" t="str">
        <f>TEXT(walmart[[#This Row],[Purchase_Date]],"DDD")</f>
        <v>Sat</v>
      </c>
      <c r="I1198" t="str">
        <f>TEXT(walmart[[#This Row],[Purchase_Date]],"MMM")</f>
        <v>Dec</v>
      </c>
      <c r="J1198" t="str">
        <f>TEXT(walmart[[#This Row],[Purchase_Date]],"YYY")</f>
        <v>2024</v>
      </c>
      <c r="K1198" s="3">
        <v>76.81</v>
      </c>
      <c r="L1198" t="str">
        <f t="shared" si="88"/>
        <v>0% off</v>
      </c>
      <c r="N1198" t="str">
        <f t="shared" si="89"/>
        <v>No</v>
      </c>
      <c r="O1198" t="s">
        <v>21</v>
      </c>
      <c r="P1198" s="3">
        <f t="shared" si="90"/>
        <v>76.81</v>
      </c>
      <c r="Q1198" t="s">
        <v>27</v>
      </c>
      <c r="R1198">
        <v>1</v>
      </c>
      <c r="S1198" t="str">
        <f t="shared" si="91"/>
        <v>Very Poor</v>
      </c>
    </row>
    <row r="1199" spans="1:19" x14ac:dyDescent="0.25">
      <c r="A1199" t="s">
        <v>1612</v>
      </c>
      <c r="B1199">
        <v>51</v>
      </c>
      <c r="C1199" t="s">
        <v>29</v>
      </c>
      <c r="D1199" t="s">
        <v>2564</v>
      </c>
      <c r="E1199" t="s">
        <v>24</v>
      </c>
      <c r="F1199" t="s">
        <v>186</v>
      </c>
      <c r="G1199" t="s">
        <v>1613</v>
      </c>
      <c r="H1199" t="str">
        <f>TEXT(walmart[[#This Row],[Purchase_Date]],"DDD")</f>
        <v>Tue</v>
      </c>
      <c r="I1199" t="str">
        <f>TEXT(walmart[[#This Row],[Purchase_Date]],"MMM")</f>
        <v>Jan</v>
      </c>
      <c r="J1199" t="str">
        <f>TEXT(walmart[[#This Row],[Purchase_Date]],"YYY")</f>
        <v>2025</v>
      </c>
      <c r="K1199" s="3">
        <v>527.16999999999996</v>
      </c>
      <c r="L1199" t="str">
        <f t="shared" si="88"/>
        <v>10% off</v>
      </c>
      <c r="N1199" t="str">
        <f t="shared" si="89"/>
        <v>Yes</v>
      </c>
      <c r="O1199" t="s">
        <v>21</v>
      </c>
      <c r="P1199" s="3">
        <f t="shared" si="90"/>
        <v>527.16999999999996</v>
      </c>
      <c r="Q1199" t="s">
        <v>22</v>
      </c>
      <c r="R1199">
        <v>4</v>
      </c>
      <c r="S1199" t="str">
        <f t="shared" si="91"/>
        <v>Good</v>
      </c>
    </row>
    <row r="1200" spans="1:19" x14ac:dyDescent="0.25">
      <c r="A1200" t="s">
        <v>1614</v>
      </c>
      <c r="B1200">
        <v>23</v>
      </c>
      <c r="C1200" t="s">
        <v>16</v>
      </c>
      <c r="D1200" t="s">
        <v>2565</v>
      </c>
      <c r="E1200" t="s">
        <v>73</v>
      </c>
      <c r="F1200" t="s">
        <v>74</v>
      </c>
      <c r="G1200" t="s">
        <v>482</v>
      </c>
      <c r="H1200" t="str">
        <f>TEXT(walmart[[#This Row],[Purchase_Date]],"DDD")</f>
        <v>Fri</v>
      </c>
      <c r="I1200" t="str">
        <f>TEXT(walmart[[#This Row],[Purchase_Date]],"MMM")</f>
        <v>May</v>
      </c>
      <c r="J1200" t="str">
        <f>TEXT(walmart[[#This Row],[Purchase_Date]],"YYY")</f>
        <v>2024</v>
      </c>
      <c r="K1200" s="3">
        <v>782.29</v>
      </c>
      <c r="L1200" t="str">
        <f t="shared" si="88"/>
        <v>15% off</v>
      </c>
      <c r="N1200" t="str">
        <f t="shared" si="89"/>
        <v>Yes</v>
      </c>
      <c r="O1200" t="s">
        <v>21</v>
      </c>
      <c r="P1200" s="3">
        <f t="shared" si="90"/>
        <v>782.29</v>
      </c>
      <c r="Q1200" t="s">
        <v>35</v>
      </c>
      <c r="R1200">
        <v>5</v>
      </c>
      <c r="S1200" t="str">
        <f t="shared" si="91"/>
        <v>Excellent</v>
      </c>
    </row>
    <row r="1201" spans="1:19" x14ac:dyDescent="0.25">
      <c r="A1201" t="s">
        <v>1615</v>
      </c>
      <c r="B1201">
        <v>70</v>
      </c>
      <c r="C1201" t="s">
        <v>16</v>
      </c>
      <c r="D1201" t="s">
        <v>2566</v>
      </c>
      <c r="E1201" t="s">
        <v>73</v>
      </c>
      <c r="F1201" t="s">
        <v>94</v>
      </c>
      <c r="G1201" t="s">
        <v>573</v>
      </c>
      <c r="H1201" t="str">
        <f>TEXT(walmart[[#This Row],[Purchase_Date]],"DDD")</f>
        <v>Mon</v>
      </c>
      <c r="I1201" t="str">
        <f>TEXT(walmart[[#This Row],[Purchase_Date]],"MMM")</f>
        <v>Oct</v>
      </c>
      <c r="J1201" t="str">
        <f>TEXT(walmart[[#This Row],[Purchase_Date]],"YYY")</f>
        <v>2024</v>
      </c>
      <c r="K1201" s="3">
        <v>965.09</v>
      </c>
      <c r="L1201" t="str">
        <f t="shared" si="88"/>
        <v>20% off</v>
      </c>
      <c r="N1201" t="str">
        <f t="shared" si="89"/>
        <v>Yes</v>
      </c>
      <c r="O1201" t="s">
        <v>34</v>
      </c>
      <c r="P1201" s="3">
        <f t="shared" si="90"/>
        <v>965.09</v>
      </c>
      <c r="Q1201" t="s">
        <v>27</v>
      </c>
      <c r="R1201">
        <v>4</v>
      </c>
      <c r="S1201" t="str">
        <f t="shared" si="91"/>
        <v>Good</v>
      </c>
    </row>
    <row r="1202" spans="1:19" x14ac:dyDescent="0.25">
      <c r="A1202" t="s">
        <v>1616</v>
      </c>
      <c r="B1202">
        <v>59</v>
      </c>
      <c r="C1202" t="s">
        <v>29</v>
      </c>
      <c r="D1202" t="s">
        <v>2433</v>
      </c>
      <c r="E1202" t="s">
        <v>42</v>
      </c>
      <c r="F1202" t="s">
        <v>120</v>
      </c>
      <c r="G1202" t="s">
        <v>1224</v>
      </c>
      <c r="H1202" t="str">
        <f>TEXT(walmart[[#This Row],[Purchase_Date]],"DDD")</f>
        <v>Sat</v>
      </c>
      <c r="I1202" t="str">
        <f>TEXT(walmart[[#This Row],[Purchase_Date]],"MMM")</f>
        <v>Nov</v>
      </c>
      <c r="J1202" t="str">
        <f>TEXT(walmart[[#This Row],[Purchase_Date]],"YYY")</f>
        <v>2024</v>
      </c>
      <c r="K1202" s="3">
        <v>260.77999999999997</v>
      </c>
      <c r="L1202" t="str">
        <f t="shared" si="88"/>
        <v>5% off</v>
      </c>
      <c r="N1202" t="str">
        <f t="shared" si="89"/>
        <v>Yes</v>
      </c>
      <c r="O1202" t="s">
        <v>21</v>
      </c>
      <c r="P1202" s="3">
        <f t="shared" si="90"/>
        <v>260.77999999999997</v>
      </c>
      <c r="Q1202" t="s">
        <v>35</v>
      </c>
      <c r="R1202">
        <v>3</v>
      </c>
      <c r="S1202" t="str">
        <f t="shared" si="91"/>
        <v>Average</v>
      </c>
    </row>
    <row r="1203" spans="1:19" x14ac:dyDescent="0.25">
      <c r="A1203" t="s">
        <v>1617</v>
      </c>
      <c r="B1203">
        <v>58</v>
      </c>
      <c r="C1203" t="s">
        <v>16</v>
      </c>
      <c r="D1203" t="s">
        <v>49</v>
      </c>
      <c r="E1203" t="s">
        <v>31</v>
      </c>
      <c r="F1203" t="s">
        <v>300</v>
      </c>
      <c r="G1203" t="s">
        <v>968</v>
      </c>
      <c r="H1203" t="str">
        <f>TEXT(walmart[[#This Row],[Purchase_Date]],"DDD")</f>
        <v>Sat</v>
      </c>
      <c r="I1203" t="str">
        <f>TEXT(walmart[[#This Row],[Purchase_Date]],"MMM")</f>
        <v>Jan</v>
      </c>
      <c r="J1203" t="str">
        <f>TEXT(walmart[[#This Row],[Purchase_Date]],"YYY")</f>
        <v>2025</v>
      </c>
      <c r="K1203" s="3">
        <v>340.04</v>
      </c>
      <c r="L1203" t="str">
        <f t="shared" si="88"/>
        <v>5% off</v>
      </c>
      <c r="N1203" t="str">
        <f t="shared" si="89"/>
        <v>Yes</v>
      </c>
      <c r="O1203" t="s">
        <v>34</v>
      </c>
      <c r="P1203" s="3">
        <f t="shared" si="90"/>
        <v>340.04</v>
      </c>
      <c r="Q1203" t="s">
        <v>47</v>
      </c>
      <c r="R1203">
        <v>2</v>
      </c>
      <c r="S1203" t="str">
        <f t="shared" si="91"/>
        <v>Poor</v>
      </c>
    </row>
    <row r="1204" spans="1:19" x14ac:dyDescent="0.25">
      <c r="A1204" t="s">
        <v>1618</v>
      </c>
      <c r="B1204">
        <v>49</v>
      </c>
      <c r="C1204" t="s">
        <v>29</v>
      </c>
      <c r="D1204" t="s">
        <v>30</v>
      </c>
      <c r="E1204" t="s">
        <v>42</v>
      </c>
      <c r="F1204" t="s">
        <v>103</v>
      </c>
      <c r="G1204" t="s">
        <v>553</v>
      </c>
      <c r="H1204" t="str">
        <f>TEXT(walmart[[#This Row],[Purchase_Date]],"DDD")</f>
        <v>Thu</v>
      </c>
      <c r="I1204" t="str">
        <f>TEXT(walmart[[#This Row],[Purchase_Date]],"MMM")</f>
        <v>Jan</v>
      </c>
      <c r="J1204" t="str">
        <f>TEXT(walmart[[#This Row],[Purchase_Date]],"YYY")</f>
        <v>2025</v>
      </c>
      <c r="K1204" s="3">
        <v>315.56</v>
      </c>
      <c r="L1204" t="str">
        <f t="shared" si="88"/>
        <v>5% off</v>
      </c>
      <c r="N1204" t="str">
        <f t="shared" si="89"/>
        <v>Yes</v>
      </c>
      <c r="O1204" t="s">
        <v>21</v>
      </c>
      <c r="P1204" s="3">
        <f t="shared" si="90"/>
        <v>315.56</v>
      </c>
      <c r="Q1204" t="s">
        <v>35</v>
      </c>
      <c r="R1204">
        <v>3</v>
      </c>
      <c r="S1204" t="str">
        <f t="shared" si="91"/>
        <v>Average</v>
      </c>
    </row>
    <row r="1205" spans="1:19" x14ac:dyDescent="0.25">
      <c r="A1205" t="s">
        <v>1619</v>
      </c>
      <c r="B1205">
        <v>50</v>
      </c>
      <c r="C1205" t="s">
        <v>16</v>
      </c>
      <c r="D1205" t="s">
        <v>41</v>
      </c>
      <c r="E1205" t="s">
        <v>55</v>
      </c>
      <c r="F1205" t="s">
        <v>56</v>
      </c>
      <c r="G1205" t="s">
        <v>482</v>
      </c>
      <c r="H1205" t="str">
        <f>TEXT(walmart[[#This Row],[Purchase_Date]],"DDD")</f>
        <v>Fri</v>
      </c>
      <c r="I1205" t="str">
        <f>TEXT(walmart[[#This Row],[Purchase_Date]],"MMM")</f>
        <v>May</v>
      </c>
      <c r="J1205" t="str">
        <f>TEXT(walmart[[#This Row],[Purchase_Date]],"YYY")</f>
        <v>2024</v>
      </c>
      <c r="K1205" s="3">
        <v>76.81</v>
      </c>
      <c r="L1205" t="str">
        <f t="shared" si="88"/>
        <v>0% off</v>
      </c>
      <c r="N1205" t="str">
        <f t="shared" si="89"/>
        <v>No</v>
      </c>
      <c r="O1205" t="s">
        <v>34</v>
      </c>
      <c r="P1205" s="3">
        <f t="shared" si="90"/>
        <v>76.81</v>
      </c>
      <c r="Q1205" t="s">
        <v>22</v>
      </c>
      <c r="R1205">
        <v>4</v>
      </c>
      <c r="S1205" t="str">
        <f t="shared" si="91"/>
        <v>Good</v>
      </c>
    </row>
    <row r="1206" spans="1:19" x14ac:dyDescent="0.25">
      <c r="A1206" t="s">
        <v>1620</v>
      </c>
      <c r="B1206">
        <v>48</v>
      </c>
      <c r="C1206" t="s">
        <v>29</v>
      </c>
      <c r="D1206" t="s">
        <v>2434</v>
      </c>
      <c r="E1206" t="s">
        <v>31</v>
      </c>
      <c r="F1206" t="s">
        <v>32</v>
      </c>
      <c r="G1206" t="s">
        <v>694</v>
      </c>
      <c r="H1206" t="str">
        <f>TEXT(walmart[[#This Row],[Purchase_Date]],"DDD")</f>
        <v>Thu</v>
      </c>
      <c r="I1206" t="str">
        <f>TEXT(walmart[[#This Row],[Purchase_Date]],"MMM")</f>
        <v>Dec</v>
      </c>
      <c r="J1206" t="str">
        <f>TEXT(walmart[[#This Row],[Purchase_Date]],"YYY")</f>
        <v>2024</v>
      </c>
      <c r="K1206" s="3">
        <v>493.96</v>
      </c>
      <c r="L1206" t="str">
        <f t="shared" si="88"/>
        <v>5% off</v>
      </c>
      <c r="N1206" t="str">
        <f t="shared" si="89"/>
        <v>Yes</v>
      </c>
      <c r="O1206" t="s">
        <v>21</v>
      </c>
      <c r="P1206" s="3">
        <f t="shared" si="90"/>
        <v>493.96</v>
      </c>
      <c r="Q1206" t="s">
        <v>22</v>
      </c>
      <c r="R1206">
        <v>2</v>
      </c>
      <c r="S1206" t="str">
        <f t="shared" si="91"/>
        <v>Poor</v>
      </c>
    </row>
    <row r="1207" spans="1:19" x14ac:dyDescent="0.25">
      <c r="A1207" t="s">
        <v>1621</v>
      </c>
      <c r="B1207">
        <v>69</v>
      </c>
      <c r="C1207" t="s">
        <v>16</v>
      </c>
      <c r="D1207" t="s">
        <v>2435</v>
      </c>
      <c r="E1207" t="s">
        <v>31</v>
      </c>
      <c r="F1207" t="s">
        <v>300</v>
      </c>
      <c r="G1207" t="s">
        <v>681</v>
      </c>
      <c r="H1207" t="str">
        <f>TEXT(walmart[[#This Row],[Purchase_Date]],"DDD")</f>
        <v>Sun</v>
      </c>
      <c r="I1207" t="str">
        <f>TEXT(walmart[[#This Row],[Purchase_Date]],"MMM")</f>
        <v>Jun</v>
      </c>
      <c r="J1207" t="str">
        <f>TEXT(walmart[[#This Row],[Purchase_Date]],"YYY")</f>
        <v>2024</v>
      </c>
      <c r="K1207" s="3">
        <v>340.04</v>
      </c>
      <c r="L1207" t="str">
        <f t="shared" si="88"/>
        <v>5% off</v>
      </c>
      <c r="N1207" t="str">
        <f t="shared" si="89"/>
        <v>Yes</v>
      </c>
      <c r="O1207" t="s">
        <v>34</v>
      </c>
      <c r="P1207" s="3">
        <f t="shared" si="90"/>
        <v>340.04</v>
      </c>
      <c r="Q1207" t="s">
        <v>35</v>
      </c>
      <c r="R1207">
        <v>1</v>
      </c>
      <c r="S1207" t="str">
        <f t="shared" si="91"/>
        <v>Very Poor</v>
      </c>
    </row>
    <row r="1208" spans="1:19" x14ac:dyDescent="0.25">
      <c r="A1208" t="s">
        <v>1622</v>
      </c>
      <c r="B1208">
        <v>23</v>
      </c>
      <c r="C1208" t="s">
        <v>16</v>
      </c>
      <c r="D1208" t="s">
        <v>2436</v>
      </c>
      <c r="E1208" t="s">
        <v>55</v>
      </c>
      <c r="F1208" t="s">
        <v>100</v>
      </c>
      <c r="G1208" t="s">
        <v>628</v>
      </c>
      <c r="H1208" t="str">
        <f>TEXT(walmart[[#This Row],[Purchase_Date]],"DDD")</f>
        <v>Wed</v>
      </c>
      <c r="I1208" t="str">
        <f>TEXT(walmart[[#This Row],[Purchase_Date]],"MMM")</f>
        <v>Nov</v>
      </c>
      <c r="J1208" t="str">
        <f>TEXT(walmart[[#This Row],[Purchase_Date]],"YYY")</f>
        <v>2024</v>
      </c>
      <c r="K1208" s="3">
        <v>592.26</v>
      </c>
      <c r="L1208" t="str">
        <f t="shared" si="88"/>
        <v>10% off</v>
      </c>
      <c r="N1208" t="str">
        <f t="shared" si="89"/>
        <v>Yes</v>
      </c>
      <c r="O1208" t="s">
        <v>34</v>
      </c>
      <c r="P1208" s="3">
        <f t="shared" si="90"/>
        <v>592.26</v>
      </c>
      <c r="Q1208" t="s">
        <v>27</v>
      </c>
      <c r="R1208">
        <v>1</v>
      </c>
      <c r="S1208" t="str">
        <f t="shared" si="91"/>
        <v>Very Poor</v>
      </c>
    </row>
    <row r="1209" spans="1:19" x14ac:dyDescent="0.25">
      <c r="A1209" t="s">
        <v>1623</v>
      </c>
      <c r="B1209">
        <v>50</v>
      </c>
      <c r="C1209" t="s">
        <v>16</v>
      </c>
      <c r="D1209" t="s">
        <v>2437</v>
      </c>
      <c r="E1209" t="s">
        <v>55</v>
      </c>
      <c r="F1209" t="s">
        <v>67</v>
      </c>
      <c r="G1209" t="s">
        <v>252</v>
      </c>
      <c r="H1209" t="str">
        <f>TEXT(walmart[[#This Row],[Purchase_Date]],"DDD")</f>
        <v>Tue</v>
      </c>
      <c r="I1209" t="str">
        <f>TEXT(walmart[[#This Row],[Purchase_Date]],"MMM")</f>
        <v>Jun</v>
      </c>
      <c r="J1209" t="str">
        <f>TEXT(walmart[[#This Row],[Purchase_Date]],"YYY")</f>
        <v>2024</v>
      </c>
      <c r="K1209" s="3">
        <v>452.97</v>
      </c>
      <c r="L1209" t="str">
        <f t="shared" si="88"/>
        <v>5% off</v>
      </c>
      <c r="N1209" t="str">
        <f t="shared" si="89"/>
        <v>Yes</v>
      </c>
      <c r="O1209" t="s">
        <v>34</v>
      </c>
      <c r="P1209" s="3">
        <f t="shared" si="90"/>
        <v>452.97</v>
      </c>
      <c r="Q1209" t="s">
        <v>22</v>
      </c>
      <c r="R1209">
        <v>2</v>
      </c>
      <c r="S1209" t="str">
        <f t="shared" si="91"/>
        <v>Poor</v>
      </c>
    </row>
    <row r="1210" spans="1:19" x14ac:dyDescent="0.25">
      <c r="A1210" t="s">
        <v>1624</v>
      </c>
      <c r="B1210">
        <v>27</v>
      </c>
      <c r="C1210" t="s">
        <v>16</v>
      </c>
      <c r="D1210" t="s">
        <v>2438</v>
      </c>
      <c r="E1210" t="s">
        <v>73</v>
      </c>
      <c r="F1210" t="s">
        <v>74</v>
      </c>
      <c r="G1210" t="s">
        <v>605</v>
      </c>
      <c r="H1210" t="str">
        <f>TEXT(walmart[[#This Row],[Purchase_Date]],"DDD")</f>
        <v>Sun</v>
      </c>
      <c r="I1210" t="str">
        <f>TEXT(walmart[[#This Row],[Purchase_Date]],"MMM")</f>
        <v>Mar</v>
      </c>
      <c r="J1210" t="str">
        <f>TEXT(walmart[[#This Row],[Purchase_Date]],"YYY")</f>
        <v>2025</v>
      </c>
      <c r="K1210" s="3">
        <v>782.29</v>
      </c>
      <c r="L1210" t="str">
        <f t="shared" si="88"/>
        <v>15% off</v>
      </c>
      <c r="N1210" t="str">
        <f t="shared" si="89"/>
        <v>Yes</v>
      </c>
      <c r="O1210" t="s">
        <v>34</v>
      </c>
      <c r="P1210" s="3">
        <f t="shared" si="90"/>
        <v>782.29</v>
      </c>
      <c r="Q1210" t="s">
        <v>27</v>
      </c>
      <c r="R1210">
        <v>3</v>
      </c>
      <c r="S1210" t="str">
        <f t="shared" si="91"/>
        <v>Average</v>
      </c>
    </row>
    <row r="1211" spans="1:19" x14ac:dyDescent="0.25">
      <c r="A1211" t="s">
        <v>1625</v>
      </c>
      <c r="B1211">
        <v>18</v>
      </c>
      <c r="C1211" t="s">
        <v>16</v>
      </c>
      <c r="D1211" t="s">
        <v>2439</v>
      </c>
      <c r="E1211" t="s">
        <v>37</v>
      </c>
      <c r="F1211" t="s">
        <v>117</v>
      </c>
      <c r="G1211" t="s">
        <v>484</v>
      </c>
      <c r="H1211" t="str">
        <f>TEXT(walmart[[#This Row],[Purchase_Date]],"DDD")</f>
        <v>Wed</v>
      </c>
      <c r="I1211" t="str">
        <f>TEXT(walmart[[#This Row],[Purchase_Date]],"MMM")</f>
        <v>Jan</v>
      </c>
      <c r="J1211" t="str">
        <f>TEXT(walmart[[#This Row],[Purchase_Date]],"YYY")</f>
        <v>2025</v>
      </c>
      <c r="K1211" s="3">
        <v>165.68</v>
      </c>
      <c r="L1211" t="str">
        <f t="shared" si="88"/>
        <v>5% off</v>
      </c>
      <c r="N1211" t="str">
        <f t="shared" si="89"/>
        <v>Yes</v>
      </c>
      <c r="O1211" t="s">
        <v>34</v>
      </c>
      <c r="P1211" s="3">
        <f t="shared" si="90"/>
        <v>165.68</v>
      </c>
      <c r="Q1211" t="s">
        <v>35</v>
      </c>
      <c r="R1211">
        <v>5</v>
      </c>
      <c r="S1211" t="str">
        <f t="shared" si="91"/>
        <v>Excellent</v>
      </c>
    </row>
    <row r="1212" spans="1:19" x14ac:dyDescent="0.25">
      <c r="A1212" t="s">
        <v>1626</v>
      </c>
      <c r="B1212">
        <v>59</v>
      </c>
      <c r="C1212" t="s">
        <v>16</v>
      </c>
      <c r="D1212" t="s">
        <v>2440</v>
      </c>
      <c r="E1212" t="s">
        <v>73</v>
      </c>
      <c r="F1212" t="s">
        <v>138</v>
      </c>
      <c r="G1212" t="s">
        <v>959</v>
      </c>
      <c r="H1212" t="str">
        <f>TEXT(walmart[[#This Row],[Purchase_Date]],"DDD")</f>
        <v>Mon</v>
      </c>
      <c r="I1212" t="str">
        <f>TEXT(walmart[[#This Row],[Purchase_Date]],"MMM")</f>
        <v>Dec</v>
      </c>
      <c r="J1212" t="str">
        <f>TEXT(walmart[[#This Row],[Purchase_Date]],"YYY")</f>
        <v>2024</v>
      </c>
      <c r="K1212" s="3">
        <v>461.81</v>
      </c>
      <c r="L1212" t="str">
        <f t="shared" si="88"/>
        <v>5% off</v>
      </c>
      <c r="N1212" t="str">
        <f t="shared" si="89"/>
        <v>Yes</v>
      </c>
      <c r="O1212" t="s">
        <v>34</v>
      </c>
      <c r="P1212" s="3">
        <f t="shared" si="90"/>
        <v>461.81</v>
      </c>
      <c r="Q1212" t="s">
        <v>35</v>
      </c>
      <c r="R1212">
        <v>1</v>
      </c>
      <c r="S1212" t="str">
        <f t="shared" si="91"/>
        <v>Very Poor</v>
      </c>
    </row>
    <row r="1213" spans="1:19" x14ac:dyDescent="0.25">
      <c r="A1213" t="s">
        <v>1627</v>
      </c>
      <c r="B1213">
        <v>57</v>
      </c>
      <c r="C1213" t="s">
        <v>29</v>
      </c>
      <c r="D1213" t="s">
        <v>2441</v>
      </c>
      <c r="E1213" t="s">
        <v>31</v>
      </c>
      <c r="F1213" t="s">
        <v>300</v>
      </c>
      <c r="G1213" t="s">
        <v>258</v>
      </c>
      <c r="H1213" t="str">
        <f>TEXT(walmart[[#This Row],[Purchase_Date]],"DDD")</f>
        <v>Fri</v>
      </c>
      <c r="I1213" t="str">
        <f>TEXT(walmart[[#This Row],[Purchase_Date]],"MMM")</f>
        <v>Oct</v>
      </c>
      <c r="J1213" t="str">
        <f>TEXT(walmart[[#This Row],[Purchase_Date]],"YYY")</f>
        <v>2024</v>
      </c>
      <c r="K1213" s="3">
        <v>340.04</v>
      </c>
      <c r="L1213" t="str">
        <f t="shared" si="88"/>
        <v>5% off</v>
      </c>
      <c r="N1213" t="str">
        <f t="shared" si="89"/>
        <v>Yes</v>
      </c>
      <c r="O1213" t="s">
        <v>34</v>
      </c>
      <c r="P1213" s="3">
        <f t="shared" si="90"/>
        <v>340.04</v>
      </c>
      <c r="Q1213" t="s">
        <v>27</v>
      </c>
      <c r="R1213">
        <v>3</v>
      </c>
      <c r="S1213" t="str">
        <f t="shared" si="91"/>
        <v>Average</v>
      </c>
    </row>
    <row r="1214" spans="1:19" x14ac:dyDescent="0.25">
      <c r="A1214" t="s">
        <v>1628</v>
      </c>
      <c r="B1214">
        <v>47</v>
      </c>
      <c r="C1214" t="s">
        <v>29</v>
      </c>
      <c r="D1214" t="s">
        <v>17</v>
      </c>
      <c r="E1214" t="s">
        <v>18</v>
      </c>
      <c r="F1214" t="s">
        <v>19</v>
      </c>
      <c r="G1214" t="s">
        <v>423</v>
      </c>
      <c r="H1214" t="str">
        <f>TEXT(walmart[[#This Row],[Purchase_Date]],"DDD")</f>
        <v>Sun</v>
      </c>
      <c r="I1214" t="str">
        <f>TEXT(walmart[[#This Row],[Purchase_Date]],"MMM")</f>
        <v>Jun</v>
      </c>
      <c r="J1214" t="str">
        <f>TEXT(walmart[[#This Row],[Purchase_Date]],"YYY")</f>
        <v>2024</v>
      </c>
      <c r="K1214" s="3">
        <v>697.86</v>
      </c>
      <c r="L1214" t="str">
        <f t="shared" si="88"/>
        <v>10% off</v>
      </c>
      <c r="N1214" t="str">
        <f t="shared" si="89"/>
        <v>Yes</v>
      </c>
      <c r="O1214" t="s">
        <v>21</v>
      </c>
      <c r="P1214" s="3">
        <f t="shared" si="90"/>
        <v>697.86</v>
      </c>
      <c r="Q1214" t="s">
        <v>27</v>
      </c>
      <c r="R1214">
        <v>5</v>
      </c>
      <c r="S1214" t="str">
        <f t="shared" si="91"/>
        <v>Excellent</v>
      </c>
    </row>
    <row r="1215" spans="1:19" x14ac:dyDescent="0.25">
      <c r="A1215" t="s">
        <v>1629</v>
      </c>
      <c r="B1215">
        <v>52</v>
      </c>
      <c r="C1215" t="s">
        <v>16</v>
      </c>
      <c r="D1215" t="s">
        <v>2442</v>
      </c>
      <c r="E1215" t="s">
        <v>37</v>
      </c>
      <c r="F1215" t="s">
        <v>97</v>
      </c>
      <c r="G1215" t="s">
        <v>741</v>
      </c>
      <c r="H1215" t="str">
        <f>TEXT(walmart[[#This Row],[Purchase_Date]],"DDD")</f>
        <v>Mon</v>
      </c>
      <c r="I1215" t="str">
        <f>TEXT(walmart[[#This Row],[Purchase_Date]],"MMM")</f>
        <v>Sep</v>
      </c>
      <c r="J1215" t="str">
        <f>TEXT(walmart[[#This Row],[Purchase_Date]],"YYY")</f>
        <v>2024</v>
      </c>
      <c r="K1215" s="3">
        <v>855.21</v>
      </c>
      <c r="L1215" t="str">
        <f t="shared" si="88"/>
        <v>15% off</v>
      </c>
      <c r="N1215" t="str">
        <f t="shared" si="89"/>
        <v>Yes</v>
      </c>
      <c r="O1215" t="s">
        <v>21</v>
      </c>
      <c r="P1215" s="3">
        <f t="shared" si="90"/>
        <v>855.21</v>
      </c>
      <c r="Q1215" t="s">
        <v>47</v>
      </c>
      <c r="R1215">
        <v>3</v>
      </c>
      <c r="S1215" t="str">
        <f t="shared" si="91"/>
        <v>Average</v>
      </c>
    </row>
    <row r="1216" spans="1:19" x14ac:dyDescent="0.25">
      <c r="A1216" t="s">
        <v>1630</v>
      </c>
      <c r="B1216">
        <v>27</v>
      </c>
      <c r="C1216" t="s">
        <v>29</v>
      </c>
      <c r="D1216" t="s">
        <v>2443</v>
      </c>
      <c r="E1216" t="s">
        <v>37</v>
      </c>
      <c r="F1216" t="s">
        <v>97</v>
      </c>
      <c r="G1216" t="s">
        <v>712</v>
      </c>
      <c r="H1216" t="str">
        <f>TEXT(walmart[[#This Row],[Purchase_Date]],"DDD")</f>
        <v>Thu</v>
      </c>
      <c r="I1216" t="str">
        <f>TEXT(walmart[[#This Row],[Purchase_Date]],"MMM")</f>
        <v>May</v>
      </c>
      <c r="J1216" t="str">
        <f>TEXT(walmart[[#This Row],[Purchase_Date]],"YYY")</f>
        <v>2024</v>
      </c>
      <c r="K1216" s="3">
        <v>855.21</v>
      </c>
      <c r="L1216" t="str">
        <f t="shared" si="88"/>
        <v>15% off</v>
      </c>
      <c r="N1216" t="str">
        <f t="shared" si="89"/>
        <v>Yes</v>
      </c>
      <c r="O1216" t="s">
        <v>34</v>
      </c>
      <c r="P1216" s="3">
        <f t="shared" si="90"/>
        <v>855.21</v>
      </c>
      <c r="Q1216" t="s">
        <v>35</v>
      </c>
      <c r="R1216">
        <v>5</v>
      </c>
      <c r="S1216" t="str">
        <f t="shared" si="91"/>
        <v>Excellent</v>
      </c>
    </row>
    <row r="1217" spans="1:19" x14ac:dyDescent="0.25">
      <c r="A1217" t="s">
        <v>1631</v>
      </c>
      <c r="B1217">
        <v>57</v>
      </c>
      <c r="C1217" t="s">
        <v>29</v>
      </c>
      <c r="D1217" t="s">
        <v>2444</v>
      </c>
      <c r="E1217" t="s">
        <v>18</v>
      </c>
      <c r="F1217" t="s">
        <v>142</v>
      </c>
      <c r="G1217" t="s">
        <v>681</v>
      </c>
      <c r="H1217" t="str">
        <f>TEXT(walmart[[#This Row],[Purchase_Date]],"DDD")</f>
        <v>Sun</v>
      </c>
      <c r="I1217" t="str">
        <f>TEXT(walmart[[#This Row],[Purchase_Date]],"MMM")</f>
        <v>Jun</v>
      </c>
      <c r="J1217" t="str">
        <f>TEXT(walmart[[#This Row],[Purchase_Date]],"YYY")</f>
        <v>2024</v>
      </c>
      <c r="K1217" s="3">
        <v>485.26</v>
      </c>
      <c r="L1217" t="str">
        <f t="shared" si="88"/>
        <v>5% off</v>
      </c>
      <c r="N1217" t="str">
        <f t="shared" si="89"/>
        <v>Yes</v>
      </c>
      <c r="O1217" t="s">
        <v>21</v>
      </c>
      <c r="P1217" s="3">
        <f t="shared" si="90"/>
        <v>485.26</v>
      </c>
      <c r="Q1217" t="s">
        <v>27</v>
      </c>
      <c r="R1217">
        <v>4</v>
      </c>
      <c r="S1217" t="str">
        <f t="shared" si="91"/>
        <v>Good</v>
      </c>
    </row>
    <row r="1218" spans="1:19" x14ac:dyDescent="0.25">
      <c r="A1218" t="s">
        <v>1632</v>
      </c>
      <c r="B1218">
        <v>43</v>
      </c>
      <c r="C1218" t="s">
        <v>16</v>
      </c>
      <c r="D1218" t="s">
        <v>2445</v>
      </c>
      <c r="E1218" t="s">
        <v>73</v>
      </c>
      <c r="F1218" t="s">
        <v>94</v>
      </c>
      <c r="G1218" t="s">
        <v>617</v>
      </c>
      <c r="H1218" t="str">
        <f>TEXT(walmart[[#This Row],[Purchase_Date]],"DDD")</f>
        <v>Mon</v>
      </c>
      <c r="I1218" t="str">
        <f>TEXT(walmart[[#This Row],[Purchase_Date]],"MMM")</f>
        <v>Jul</v>
      </c>
      <c r="J1218" t="str">
        <f>TEXT(walmart[[#This Row],[Purchase_Date]],"YYY")</f>
        <v>2024</v>
      </c>
      <c r="K1218" s="3">
        <v>965.09</v>
      </c>
      <c r="L1218" t="str">
        <f t="shared" si="88"/>
        <v>20% off</v>
      </c>
      <c r="N1218" t="str">
        <f t="shared" si="89"/>
        <v>Yes</v>
      </c>
      <c r="O1218" t="s">
        <v>34</v>
      </c>
      <c r="P1218" s="3">
        <f t="shared" si="90"/>
        <v>965.09</v>
      </c>
      <c r="Q1218" t="s">
        <v>22</v>
      </c>
      <c r="R1218">
        <v>2</v>
      </c>
      <c r="S1218" t="str">
        <f t="shared" si="91"/>
        <v>Poor</v>
      </c>
    </row>
    <row r="1219" spans="1:19" x14ac:dyDescent="0.25">
      <c r="A1219" t="s">
        <v>1633</v>
      </c>
      <c r="B1219">
        <v>58</v>
      </c>
      <c r="C1219" t="s">
        <v>29</v>
      </c>
      <c r="D1219" t="s">
        <v>2446</v>
      </c>
      <c r="E1219" t="s">
        <v>18</v>
      </c>
      <c r="F1219" t="s">
        <v>19</v>
      </c>
      <c r="G1219" t="s">
        <v>875</v>
      </c>
      <c r="H1219" t="str">
        <f>TEXT(walmart[[#This Row],[Purchase_Date]],"DDD")</f>
        <v>Fri</v>
      </c>
      <c r="I1219" t="str">
        <f>TEXT(walmart[[#This Row],[Purchase_Date]],"MMM")</f>
        <v>Jul</v>
      </c>
      <c r="J1219" t="str">
        <f>TEXT(walmart[[#This Row],[Purchase_Date]],"YYY")</f>
        <v>2024</v>
      </c>
      <c r="K1219" s="3">
        <v>697.86</v>
      </c>
      <c r="L1219" t="str">
        <f t="shared" ref="L1219:L1282" si="92">IF(K1219&lt;150,"0% off",IF(K1219&lt;500,"5% off",IF(K1219&lt;700,"10% off",IF(K1219&lt;900,"15% off","20% off"))))</f>
        <v>10% off</v>
      </c>
      <c r="N1219" t="str">
        <f t="shared" ref="N1219:N1282" si="93">IF(L1219="0% off", "No", "Yes")</f>
        <v>Yes</v>
      </c>
      <c r="O1219" t="s">
        <v>34</v>
      </c>
      <c r="P1219" s="3">
        <f t="shared" ref="P1219:P1282" si="94">K1219-M1219</f>
        <v>697.86</v>
      </c>
      <c r="Q1219" t="s">
        <v>35</v>
      </c>
      <c r="R1219">
        <v>4</v>
      </c>
      <c r="S1219" t="str">
        <f t="shared" ref="S1219:S1282" si="95">IF(R1219=5, "Excellent", IF(R1219=4, "Good", IF(R1219=3, "Average", IF(R1219=2, "Poor", IF(R1219=1, "Very Poor", "Invalid Rating")))))</f>
        <v>Good</v>
      </c>
    </row>
    <row r="1220" spans="1:19" x14ac:dyDescent="0.25">
      <c r="A1220" t="s">
        <v>1634</v>
      </c>
      <c r="B1220">
        <v>34</v>
      </c>
      <c r="C1220" t="s">
        <v>16</v>
      </c>
      <c r="D1220" t="s">
        <v>2447</v>
      </c>
      <c r="E1220" t="s">
        <v>37</v>
      </c>
      <c r="F1220" t="s">
        <v>97</v>
      </c>
      <c r="G1220" t="s">
        <v>496</v>
      </c>
      <c r="H1220" t="str">
        <f>TEXT(walmart[[#This Row],[Purchase_Date]],"DDD")</f>
        <v>Wed</v>
      </c>
      <c r="I1220" t="str">
        <f>TEXT(walmart[[#This Row],[Purchase_Date]],"MMM")</f>
        <v>Jul</v>
      </c>
      <c r="J1220" t="str">
        <f>TEXT(walmart[[#This Row],[Purchase_Date]],"YYY")</f>
        <v>2024</v>
      </c>
      <c r="K1220" s="3">
        <v>855.21</v>
      </c>
      <c r="L1220" t="str">
        <f t="shared" si="92"/>
        <v>15% off</v>
      </c>
      <c r="N1220" t="str">
        <f t="shared" si="93"/>
        <v>Yes</v>
      </c>
      <c r="O1220" t="s">
        <v>21</v>
      </c>
      <c r="P1220" s="3">
        <f t="shared" si="94"/>
        <v>855.21</v>
      </c>
      <c r="Q1220" t="s">
        <v>47</v>
      </c>
      <c r="R1220">
        <v>4</v>
      </c>
      <c r="S1220" t="str">
        <f t="shared" si="95"/>
        <v>Good</v>
      </c>
    </row>
    <row r="1221" spans="1:19" x14ac:dyDescent="0.25">
      <c r="A1221" t="s">
        <v>1635</v>
      </c>
      <c r="B1221">
        <v>58</v>
      </c>
      <c r="C1221" t="s">
        <v>16</v>
      </c>
      <c r="D1221" t="s">
        <v>2448</v>
      </c>
      <c r="E1221" t="s">
        <v>55</v>
      </c>
      <c r="F1221" t="s">
        <v>56</v>
      </c>
      <c r="G1221" t="s">
        <v>928</v>
      </c>
      <c r="H1221" t="str">
        <f>TEXT(walmart[[#This Row],[Purchase_Date]],"DDD")</f>
        <v>Thu</v>
      </c>
      <c r="I1221" t="str">
        <f>TEXT(walmart[[#This Row],[Purchase_Date]],"MMM")</f>
        <v>Sep</v>
      </c>
      <c r="J1221" t="str">
        <f>TEXT(walmart[[#This Row],[Purchase_Date]],"YYY")</f>
        <v>2024</v>
      </c>
      <c r="K1221" s="3">
        <v>76.81</v>
      </c>
      <c r="L1221" t="str">
        <f t="shared" si="92"/>
        <v>0% off</v>
      </c>
      <c r="N1221" t="str">
        <f t="shared" si="93"/>
        <v>No</v>
      </c>
      <c r="O1221" t="s">
        <v>21</v>
      </c>
      <c r="P1221" s="3">
        <f t="shared" si="94"/>
        <v>76.81</v>
      </c>
      <c r="Q1221" t="s">
        <v>22</v>
      </c>
      <c r="R1221">
        <v>5</v>
      </c>
      <c r="S1221" t="str">
        <f t="shared" si="95"/>
        <v>Excellent</v>
      </c>
    </row>
    <row r="1222" spans="1:19" x14ac:dyDescent="0.25">
      <c r="A1222" t="s">
        <v>1636</v>
      </c>
      <c r="B1222">
        <v>42</v>
      </c>
      <c r="C1222" t="s">
        <v>29</v>
      </c>
      <c r="D1222" t="s">
        <v>2449</v>
      </c>
      <c r="E1222" t="s">
        <v>31</v>
      </c>
      <c r="F1222" t="s">
        <v>32</v>
      </c>
      <c r="G1222" t="s">
        <v>399</v>
      </c>
      <c r="H1222" t="str">
        <f>TEXT(walmart[[#This Row],[Purchase_Date]],"DDD")</f>
        <v>Wed</v>
      </c>
      <c r="I1222" t="str">
        <f>TEXT(walmart[[#This Row],[Purchase_Date]],"MMM")</f>
        <v>Feb</v>
      </c>
      <c r="J1222" t="str">
        <f>TEXT(walmart[[#This Row],[Purchase_Date]],"YYY")</f>
        <v>2025</v>
      </c>
      <c r="K1222" s="3">
        <v>493.96</v>
      </c>
      <c r="L1222" t="str">
        <f t="shared" si="92"/>
        <v>5% off</v>
      </c>
      <c r="N1222" t="str">
        <f t="shared" si="93"/>
        <v>Yes</v>
      </c>
      <c r="O1222" t="s">
        <v>21</v>
      </c>
      <c r="P1222" s="3">
        <f t="shared" si="94"/>
        <v>493.96</v>
      </c>
      <c r="Q1222" t="s">
        <v>22</v>
      </c>
      <c r="R1222">
        <v>1</v>
      </c>
      <c r="S1222" t="str">
        <f t="shared" si="95"/>
        <v>Very Poor</v>
      </c>
    </row>
    <row r="1223" spans="1:19" x14ac:dyDescent="0.25">
      <c r="A1223" t="s">
        <v>1637</v>
      </c>
      <c r="B1223">
        <v>55</v>
      </c>
      <c r="C1223" t="s">
        <v>29</v>
      </c>
      <c r="D1223" t="s">
        <v>2450</v>
      </c>
      <c r="E1223" t="s">
        <v>42</v>
      </c>
      <c r="F1223" t="s">
        <v>43</v>
      </c>
      <c r="G1223" t="s">
        <v>65</v>
      </c>
      <c r="H1223" t="str">
        <f>TEXT(walmart[[#This Row],[Purchase_Date]],"DDD")</f>
        <v>Wed</v>
      </c>
      <c r="I1223" t="str">
        <f>TEXT(walmart[[#This Row],[Purchase_Date]],"MMM")</f>
        <v>Mar</v>
      </c>
      <c r="J1223" t="str">
        <f>TEXT(walmart[[#This Row],[Purchase_Date]],"YYY")</f>
        <v>2025</v>
      </c>
      <c r="K1223" s="3">
        <v>512.94000000000005</v>
      </c>
      <c r="L1223" t="str">
        <f t="shared" si="92"/>
        <v>10% off</v>
      </c>
      <c r="N1223" t="str">
        <f t="shared" si="93"/>
        <v>Yes</v>
      </c>
      <c r="O1223" t="s">
        <v>21</v>
      </c>
      <c r="P1223" s="3">
        <f t="shared" si="94"/>
        <v>512.94000000000005</v>
      </c>
      <c r="Q1223" t="s">
        <v>47</v>
      </c>
      <c r="R1223">
        <v>5</v>
      </c>
      <c r="S1223" t="str">
        <f t="shared" si="95"/>
        <v>Excellent</v>
      </c>
    </row>
    <row r="1224" spans="1:19" x14ac:dyDescent="0.25">
      <c r="A1224" t="s">
        <v>1638</v>
      </c>
      <c r="B1224">
        <v>35</v>
      </c>
      <c r="C1224" t="s">
        <v>29</v>
      </c>
      <c r="D1224" t="s">
        <v>2451</v>
      </c>
      <c r="E1224" t="s">
        <v>18</v>
      </c>
      <c r="F1224" t="s">
        <v>142</v>
      </c>
      <c r="G1224" t="s">
        <v>1091</v>
      </c>
      <c r="H1224" t="str">
        <f>TEXT(walmart[[#This Row],[Purchase_Date]],"DDD")</f>
        <v>Thu</v>
      </c>
      <c r="I1224" t="str">
        <f>TEXT(walmart[[#This Row],[Purchase_Date]],"MMM")</f>
        <v>Aug</v>
      </c>
      <c r="J1224" t="str">
        <f>TEXT(walmart[[#This Row],[Purchase_Date]],"YYY")</f>
        <v>2024</v>
      </c>
      <c r="K1224" s="3">
        <v>485.26</v>
      </c>
      <c r="L1224" t="str">
        <f t="shared" si="92"/>
        <v>5% off</v>
      </c>
      <c r="N1224" t="str">
        <f t="shared" si="93"/>
        <v>Yes</v>
      </c>
      <c r="O1224" t="s">
        <v>34</v>
      </c>
      <c r="P1224" s="3">
        <f t="shared" si="94"/>
        <v>485.26</v>
      </c>
      <c r="Q1224" t="s">
        <v>47</v>
      </c>
      <c r="R1224">
        <v>5</v>
      </c>
      <c r="S1224" t="str">
        <f t="shared" si="95"/>
        <v>Excellent</v>
      </c>
    </row>
    <row r="1225" spans="1:19" x14ac:dyDescent="0.25">
      <c r="A1225" t="s">
        <v>1639</v>
      </c>
      <c r="B1225">
        <v>32</v>
      </c>
      <c r="C1225" t="s">
        <v>16</v>
      </c>
      <c r="D1225" t="s">
        <v>2452</v>
      </c>
      <c r="E1225" t="s">
        <v>31</v>
      </c>
      <c r="F1225" t="s">
        <v>112</v>
      </c>
      <c r="G1225" t="s">
        <v>592</v>
      </c>
      <c r="H1225" t="str">
        <f>TEXT(walmart[[#This Row],[Purchase_Date]],"DDD")</f>
        <v>Thu</v>
      </c>
      <c r="I1225" t="str">
        <f>TEXT(walmart[[#This Row],[Purchase_Date]],"MMM")</f>
        <v>Jan</v>
      </c>
      <c r="J1225" t="str">
        <f>TEXT(walmart[[#This Row],[Purchase_Date]],"YYY")</f>
        <v>2025</v>
      </c>
      <c r="K1225" s="3">
        <v>492.1</v>
      </c>
      <c r="L1225" t="str">
        <f t="shared" si="92"/>
        <v>5% off</v>
      </c>
      <c r="N1225" t="str">
        <f t="shared" si="93"/>
        <v>Yes</v>
      </c>
      <c r="O1225" t="s">
        <v>21</v>
      </c>
      <c r="P1225" s="3">
        <f t="shared" si="94"/>
        <v>492.1</v>
      </c>
      <c r="Q1225" t="s">
        <v>27</v>
      </c>
      <c r="R1225">
        <v>2</v>
      </c>
      <c r="S1225" t="str">
        <f t="shared" si="95"/>
        <v>Poor</v>
      </c>
    </row>
    <row r="1226" spans="1:19" x14ac:dyDescent="0.25">
      <c r="A1226" t="s">
        <v>1640</v>
      </c>
      <c r="B1226">
        <v>67</v>
      </c>
      <c r="C1226" t="s">
        <v>16</v>
      </c>
      <c r="D1226" t="s">
        <v>2453</v>
      </c>
      <c r="E1226" t="s">
        <v>24</v>
      </c>
      <c r="F1226" t="s">
        <v>25</v>
      </c>
      <c r="G1226" t="s">
        <v>641</v>
      </c>
      <c r="H1226" t="str">
        <f>TEXT(walmart[[#This Row],[Purchase_Date]],"DDD")</f>
        <v>Sun</v>
      </c>
      <c r="I1226" t="str">
        <f>TEXT(walmart[[#This Row],[Purchase_Date]],"MMM")</f>
        <v>Nov</v>
      </c>
      <c r="J1226" t="str">
        <f>TEXT(walmart[[#This Row],[Purchase_Date]],"YYY")</f>
        <v>2024</v>
      </c>
      <c r="K1226" s="3">
        <v>67.040000000000006</v>
      </c>
      <c r="L1226" t="str">
        <f t="shared" si="92"/>
        <v>0% off</v>
      </c>
      <c r="N1226" t="str">
        <f t="shared" si="93"/>
        <v>No</v>
      </c>
      <c r="O1226" t="s">
        <v>34</v>
      </c>
      <c r="P1226" s="3">
        <f t="shared" si="94"/>
        <v>67.040000000000006</v>
      </c>
      <c r="Q1226" t="s">
        <v>35</v>
      </c>
      <c r="R1226">
        <v>2</v>
      </c>
      <c r="S1226" t="str">
        <f t="shared" si="95"/>
        <v>Poor</v>
      </c>
    </row>
    <row r="1227" spans="1:19" x14ac:dyDescent="0.25">
      <c r="A1227" t="s">
        <v>1641</v>
      </c>
      <c r="B1227">
        <v>53</v>
      </c>
      <c r="C1227" t="s">
        <v>29</v>
      </c>
      <c r="D1227" t="s">
        <v>2454</v>
      </c>
      <c r="E1227" t="s">
        <v>42</v>
      </c>
      <c r="F1227" t="s">
        <v>103</v>
      </c>
      <c r="G1227" t="s">
        <v>1502</v>
      </c>
      <c r="H1227" t="str">
        <f>TEXT(walmart[[#This Row],[Purchase_Date]],"DDD")</f>
        <v>Thu</v>
      </c>
      <c r="I1227" t="str">
        <f>TEXT(walmart[[#This Row],[Purchase_Date]],"MMM")</f>
        <v>Jul</v>
      </c>
      <c r="J1227" t="str">
        <f>TEXT(walmart[[#This Row],[Purchase_Date]],"YYY")</f>
        <v>2024</v>
      </c>
      <c r="K1227" s="3">
        <v>315.56</v>
      </c>
      <c r="L1227" t="str">
        <f t="shared" si="92"/>
        <v>5% off</v>
      </c>
      <c r="N1227" t="str">
        <f t="shared" si="93"/>
        <v>Yes</v>
      </c>
      <c r="O1227" t="s">
        <v>34</v>
      </c>
      <c r="P1227" s="3">
        <f t="shared" si="94"/>
        <v>315.56</v>
      </c>
      <c r="Q1227" t="s">
        <v>35</v>
      </c>
      <c r="R1227">
        <v>3</v>
      </c>
      <c r="S1227" t="str">
        <f t="shared" si="95"/>
        <v>Average</v>
      </c>
    </row>
    <row r="1228" spans="1:19" x14ac:dyDescent="0.25">
      <c r="A1228" t="s">
        <v>1642</v>
      </c>
      <c r="B1228">
        <v>31</v>
      </c>
      <c r="C1228" t="s">
        <v>29</v>
      </c>
      <c r="D1228" t="s">
        <v>2455</v>
      </c>
      <c r="E1228" t="s">
        <v>18</v>
      </c>
      <c r="F1228" t="s">
        <v>77</v>
      </c>
      <c r="G1228" t="s">
        <v>1348</v>
      </c>
      <c r="H1228" t="str">
        <f>TEXT(walmart[[#This Row],[Purchase_Date]],"DDD")</f>
        <v>Fri</v>
      </c>
      <c r="I1228" t="str">
        <f>TEXT(walmart[[#This Row],[Purchase_Date]],"MMM")</f>
        <v>Mar</v>
      </c>
      <c r="J1228" t="str">
        <f>TEXT(walmart[[#This Row],[Purchase_Date]],"YYY")</f>
        <v>2024</v>
      </c>
      <c r="K1228" s="3">
        <v>116.78</v>
      </c>
      <c r="L1228" t="str">
        <f t="shared" si="92"/>
        <v>0% off</v>
      </c>
      <c r="N1228" t="str">
        <f t="shared" si="93"/>
        <v>No</v>
      </c>
      <c r="O1228" t="s">
        <v>21</v>
      </c>
      <c r="P1228" s="3">
        <f t="shared" si="94"/>
        <v>116.78</v>
      </c>
      <c r="Q1228" t="s">
        <v>47</v>
      </c>
      <c r="R1228">
        <v>5</v>
      </c>
      <c r="S1228" t="str">
        <f t="shared" si="95"/>
        <v>Excellent</v>
      </c>
    </row>
    <row r="1229" spans="1:19" x14ac:dyDescent="0.25">
      <c r="A1229" t="s">
        <v>1643</v>
      </c>
      <c r="B1229">
        <v>45</v>
      </c>
      <c r="C1229" t="s">
        <v>29</v>
      </c>
      <c r="D1229" t="s">
        <v>2456</v>
      </c>
      <c r="E1229" t="s">
        <v>24</v>
      </c>
      <c r="F1229" t="s">
        <v>25</v>
      </c>
      <c r="G1229" t="s">
        <v>279</v>
      </c>
      <c r="H1229" t="str">
        <f>TEXT(walmart[[#This Row],[Purchase_Date]],"DDD")</f>
        <v>Thu</v>
      </c>
      <c r="I1229" t="str">
        <f>TEXT(walmart[[#This Row],[Purchase_Date]],"MMM")</f>
        <v>Jul</v>
      </c>
      <c r="J1229" t="str">
        <f>TEXT(walmart[[#This Row],[Purchase_Date]],"YYY")</f>
        <v>2024</v>
      </c>
      <c r="K1229" s="3">
        <v>67.040000000000006</v>
      </c>
      <c r="L1229" t="str">
        <f t="shared" si="92"/>
        <v>0% off</v>
      </c>
      <c r="N1229" t="str">
        <f t="shared" si="93"/>
        <v>No</v>
      </c>
      <c r="O1229" t="s">
        <v>34</v>
      </c>
      <c r="P1229" s="3">
        <f t="shared" si="94"/>
        <v>67.040000000000006</v>
      </c>
      <c r="Q1229" t="s">
        <v>35</v>
      </c>
      <c r="R1229">
        <v>4</v>
      </c>
      <c r="S1229" t="str">
        <f t="shared" si="95"/>
        <v>Good</v>
      </c>
    </row>
    <row r="1230" spans="1:19" x14ac:dyDescent="0.25">
      <c r="A1230" t="s">
        <v>1644</v>
      </c>
      <c r="B1230">
        <v>24</v>
      </c>
      <c r="C1230" t="s">
        <v>16</v>
      </c>
      <c r="D1230" t="s">
        <v>2457</v>
      </c>
      <c r="E1230" t="s">
        <v>31</v>
      </c>
      <c r="F1230" t="s">
        <v>32</v>
      </c>
      <c r="G1230" t="s">
        <v>149</v>
      </c>
      <c r="H1230" t="str">
        <f>TEXT(walmart[[#This Row],[Purchase_Date]],"DDD")</f>
        <v>Thu</v>
      </c>
      <c r="I1230" t="str">
        <f>TEXT(walmart[[#This Row],[Purchase_Date]],"MMM")</f>
        <v>Oct</v>
      </c>
      <c r="J1230" t="str">
        <f>TEXT(walmart[[#This Row],[Purchase_Date]],"YYY")</f>
        <v>2024</v>
      </c>
      <c r="K1230" s="3">
        <v>493.96</v>
      </c>
      <c r="L1230" t="str">
        <f t="shared" si="92"/>
        <v>5% off</v>
      </c>
      <c r="N1230" t="str">
        <f t="shared" si="93"/>
        <v>Yes</v>
      </c>
      <c r="O1230" t="s">
        <v>34</v>
      </c>
      <c r="P1230" s="3">
        <f t="shared" si="94"/>
        <v>493.96</v>
      </c>
      <c r="Q1230" t="s">
        <v>35</v>
      </c>
      <c r="R1230">
        <v>3</v>
      </c>
      <c r="S1230" t="str">
        <f t="shared" si="95"/>
        <v>Average</v>
      </c>
    </row>
    <row r="1231" spans="1:19" x14ac:dyDescent="0.25">
      <c r="A1231" t="s">
        <v>1645</v>
      </c>
      <c r="B1231">
        <v>52</v>
      </c>
      <c r="C1231" t="s">
        <v>29</v>
      </c>
      <c r="D1231" t="s">
        <v>2458</v>
      </c>
      <c r="E1231" t="s">
        <v>42</v>
      </c>
      <c r="F1231" t="s">
        <v>43</v>
      </c>
      <c r="G1231" t="s">
        <v>401</v>
      </c>
      <c r="H1231" t="str">
        <f>TEXT(walmart[[#This Row],[Purchase_Date]],"DDD")</f>
        <v>Wed</v>
      </c>
      <c r="I1231" t="str">
        <f>TEXT(walmart[[#This Row],[Purchase_Date]],"MMM")</f>
        <v>Mar</v>
      </c>
      <c r="J1231" t="str">
        <f>TEXT(walmart[[#This Row],[Purchase_Date]],"YYY")</f>
        <v>2024</v>
      </c>
      <c r="K1231" s="3">
        <v>512.94000000000005</v>
      </c>
      <c r="L1231" t="str">
        <f t="shared" si="92"/>
        <v>10% off</v>
      </c>
      <c r="N1231" t="str">
        <f t="shared" si="93"/>
        <v>Yes</v>
      </c>
      <c r="O1231" t="s">
        <v>21</v>
      </c>
      <c r="P1231" s="3">
        <f t="shared" si="94"/>
        <v>512.94000000000005</v>
      </c>
      <c r="Q1231" t="s">
        <v>27</v>
      </c>
      <c r="R1231">
        <v>5</v>
      </c>
      <c r="S1231" t="str">
        <f t="shared" si="95"/>
        <v>Excellent</v>
      </c>
    </row>
    <row r="1232" spans="1:19" x14ac:dyDescent="0.25">
      <c r="A1232" t="s">
        <v>1646</v>
      </c>
      <c r="B1232">
        <v>30</v>
      </c>
      <c r="C1232" t="s">
        <v>29</v>
      </c>
      <c r="D1232" t="s">
        <v>2459</v>
      </c>
      <c r="E1232" t="s">
        <v>55</v>
      </c>
      <c r="F1232" t="s">
        <v>100</v>
      </c>
      <c r="G1232" t="s">
        <v>1251</v>
      </c>
      <c r="H1232" t="str">
        <f>TEXT(walmart[[#This Row],[Purchase_Date]],"DDD")</f>
        <v>Wed</v>
      </c>
      <c r="I1232" t="str">
        <f>TEXT(walmart[[#This Row],[Purchase_Date]],"MMM")</f>
        <v>Mar</v>
      </c>
      <c r="J1232" t="str">
        <f>TEXT(walmart[[#This Row],[Purchase_Date]],"YYY")</f>
        <v>2025</v>
      </c>
      <c r="K1232" s="3">
        <v>592.26</v>
      </c>
      <c r="L1232" t="str">
        <f t="shared" si="92"/>
        <v>10% off</v>
      </c>
      <c r="N1232" t="str">
        <f t="shared" si="93"/>
        <v>Yes</v>
      </c>
      <c r="O1232" t="s">
        <v>34</v>
      </c>
      <c r="P1232" s="3">
        <f t="shared" si="94"/>
        <v>592.26</v>
      </c>
      <c r="Q1232" t="s">
        <v>27</v>
      </c>
      <c r="R1232">
        <v>1</v>
      </c>
      <c r="S1232" t="str">
        <f t="shared" si="95"/>
        <v>Very Poor</v>
      </c>
    </row>
    <row r="1233" spans="1:19" x14ac:dyDescent="0.25">
      <c r="A1233" t="s">
        <v>1647</v>
      </c>
      <c r="B1233">
        <v>55</v>
      </c>
      <c r="C1233" t="s">
        <v>29</v>
      </c>
      <c r="D1233" t="s">
        <v>2460</v>
      </c>
      <c r="E1233" t="s">
        <v>73</v>
      </c>
      <c r="F1233" t="s">
        <v>74</v>
      </c>
      <c r="G1233" t="s">
        <v>656</v>
      </c>
      <c r="H1233" t="str">
        <f>TEXT(walmart[[#This Row],[Purchase_Date]],"DDD")</f>
        <v>Tue</v>
      </c>
      <c r="I1233" t="str">
        <f>TEXT(walmart[[#This Row],[Purchase_Date]],"MMM")</f>
        <v>Dec</v>
      </c>
      <c r="J1233" t="str">
        <f>TEXT(walmart[[#This Row],[Purchase_Date]],"YYY")</f>
        <v>2024</v>
      </c>
      <c r="K1233" s="3">
        <v>782.29</v>
      </c>
      <c r="L1233" t="str">
        <f t="shared" si="92"/>
        <v>15% off</v>
      </c>
      <c r="N1233" t="str">
        <f t="shared" si="93"/>
        <v>Yes</v>
      </c>
      <c r="O1233" t="s">
        <v>34</v>
      </c>
      <c r="P1233" s="3">
        <f t="shared" si="94"/>
        <v>782.29</v>
      </c>
      <c r="Q1233" t="s">
        <v>47</v>
      </c>
      <c r="R1233">
        <v>5</v>
      </c>
      <c r="S1233" t="str">
        <f t="shared" si="95"/>
        <v>Excellent</v>
      </c>
    </row>
    <row r="1234" spans="1:19" x14ac:dyDescent="0.25">
      <c r="A1234" t="s">
        <v>1648</v>
      </c>
      <c r="B1234">
        <v>38</v>
      </c>
      <c r="C1234" t="s">
        <v>29</v>
      </c>
      <c r="D1234" t="s">
        <v>2461</v>
      </c>
      <c r="E1234" t="s">
        <v>42</v>
      </c>
      <c r="F1234" t="s">
        <v>43</v>
      </c>
      <c r="G1234" t="s">
        <v>710</v>
      </c>
      <c r="H1234" t="str">
        <f>TEXT(walmart[[#This Row],[Purchase_Date]],"DDD")</f>
        <v>Sun</v>
      </c>
      <c r="I1234" t="str">
        <f>TEXT(walmart[[#This Row],[Purchase_Date]],"MMM")</f>
        <v>Aug</v>
      </c>
      <c r="J1234" t="str">
        <f>TEXT(walmart[[#This Row],[Purchase_Date]],"YYY")</f>
        <v>2024</v>
      </c>
      <c r="K1234" s="3">
        <v>512.94000000000005</v>
      </c>
      <c r="L1234" t="str">
        <f t="shared" si="92"/>
        <v>10% off</v>
      </c>
      <c r="N1234" t="str">
        <f t="shared" si="93"/>
        <v>Yes</v>
      </c>
      <c r="O1234" t="s">
        <v>34</v>
      </c>
      <c r="P1234" s="3">
        <f t="shared" si="94"/>
        <v>512.94000000000005</v>
      </c>
      <c r="Q1234" t="s">
        <v>22</v>
      </c>
      <c r="R1234">
        <v>4</v>
      </c>
      <c r="S1234" t="str">
        <f t="shared" si="95"/>
        <v>Good</v>
      </c>
    </row>
    <row r="1235" spans="1:19" x14ac:dyDescent="0.25">
      <c r="A1235" t="s">
        <v>1649</v>
      </c>
      <c r="B1235">
        <v>21</v>
      </c>
      <c r="C1235" t="s">
        <v>29</v>
      </c>
      <c r="D1235" t="s">
        <v>2462</v>
      </c>
      <c r="E1235" t="s">
        <v>18</v>
      </c>
      <c r="F1235" t="s">
        <v>59</v>
      </c>
      <c r="G1235" t="s">
        <v>1001</v>
      </c>
      <c r="H1235" t="str">
        <f>TEXT(walmart[[#This Row],[Purchase_Date]],"DDD")</f>
        <v>Thu</v>
      </c>
      <c r="I1235" t="str">
        <f>TEXT(walmart[[#This Row],[Purchase_Date]],"MMM")</f>
        <v>Aug</v>
      </c>
      <c r="J1235" t="str">
        <f>TEXT(walmart[[#This Row],[Purchase_Date]],"YYY")</f>
        <v>2024</v>
      </c>
      <c r="K1235" s="3">
        <v>78.349999999999994</v>
      </c>
      <c r="L1235" t="str">
        <f t="shared" si="92"/>
        <v>0% off</v>
      </c>
      <c r="N1235" t="str">
        <f t="shared" si="93"/>
        <v>No</v>
      </c>
      <c r="O1235" t="s">
        <v>34</v>
      </c>
      <c r="P1235" s="3">
        <f t="shared" si="94"/>
        <v>78.349999999999994</v>
      </c>
      <c r="Q1235" t="s">
        <v>35</v>
      </c>
      <c r="R1235">
        <v>3</v>
      </c>
      <c r="S1235" t="str">
        <f t="shared" si="95"/>
        <v>Average</v>
      </c>
    </row>
    <row r="1236" spans="1:19" x14ac:dyDescent="0.25">
      <c r="A1236" t="s">
        <v>1650</v>
      </c>
      <c r="B1236">
        <v>28</v>
      </c>
      <c r="C1236" t="s">
        <v>16</v>
      </c>
      <c r="D1236" t="s">
        <v>2463</v>
      </c>
      <c r="E1236" t="s">
        <v>37</v>
      </c>
      <c r="F1236" t="s">
        <v>82</v>
      </c>
      <c r="G1236" t="s">
        <v>421</v>
      </c>
      <c r="H1236" t="str">
        <f>TEXT(walmart[[#This Row],[Purchase_Date]],"DDD")</f>
        <v>Fri</v>
      </c>
      <c r="I1236" t="str">
        <f>TEXT(walmart[[#This Row],[Purchase_Date]],"MMM")</f>
        <v>Aug</v>
      </c>
      <c r="J1236" t="str">
        <f>TEXT(walmart[[#This Row],[Purchase_Date]],"YYY")</f>
        <v>2024</v>
      </c>
      <c r="K1236" s="3">
        <v>270.41000000000003</v>
      </c>
      <c r="L1236" t="str">
        <f t="shared" si="92"/>
        <v>5% off</v>
      </c>
      <c r="N1236" t="str">
        <f t="shared" si="93"/>
        <v>Yes</v>
      </c>
      <c r="O1236" t="s">
        <v>21</v>
      </c>
      <c r="P1236" s="3">
        <f t="shared" si="94"/>
        <v>270.41000000000003</v>
      </c>
      <c r="Q1236" t="s">
        <v>27</v>
      </c>
      <c r="R1236">
        <v>2</v>
      </c>
      <c r="S1236" t="str">
        <f t="shared" si="95"/>
        <v>Poor</v>
      </c>
    </row>
    <row r="1237" spans="1:19" x14ac:dyDescent="0.25">
      <c r="A1237" t="s">
        <v>1651</v>
      </c>
      <c r="B1237">
        <v>56</v>
      </c>
      <c r="C1237" t="s">
        <v>16</v>
      </c>
      <c r="D1237" t="s">
        <v>2464</v>
      </c>
      <c r="E1237" t="s">
        <v>24</v>
      </c>
      <c r="F1237" t="s">
        <v>25</v>
      </c>
      <c r="G1237" t="s">
        <v>57</v>
      </c>
      <c r="H1237" t="str">
        <f>TEXT(walmart[[#This Row],[Purchase_Date]],"DDD")</f>
        <v>Wed</v>
      </c>
      <c r="I1237" t="str">
        <f>TEXT(walmart[[#This Row],[Purchase_Date]],"MMM")</f>
        <v>May</v>
      </c>
      <c r="J1237" t="str">
        <f>TEXT(walmart[[#This Row],[Purchase_Date]],"YYY")</f>
        <v>2024</v>
      </c>
      <c r="K1237" s="3">
        <v>67.040000000000006</v>
      </c>
      <c r="L1237" t="str">
        <f t="shared" si="92"/>
        <v>0% off</v>
      </c>
      <c r="N1237" t="str">
        <f t="shared" si="93"/>
        <v>No</v>
      </c>
      <c r="O1237" t="s">
        <v>21</v>
      </c>
      <c r="P1237" s="3">
        <f t="shared" si="94"/>
        <v>67.040000000000006</v>
      </c>
      <c r="Q1237" t="s">
        <v>35</v>
      </c>
      <c r="R1237">
        <v>1</v>
      </c>
      <c r="S1237" t="str">
        <f t="shared" si="95"/>
        <v>Very Poor</v>
      </c>
    </row>
    <row r="1238" spans="1:19" x14ac:dyDescent="0.25">
      <c r="A1238" t="s">
        <v>1652</v>
      </c>
      <c r="B1238">
        <v>20</v>
      </c>
      <c r="C1238" t="s">
        <v>16</v>
      </c>
      <c r="D1238" t="s">
        <v>2465</v>
      </c>
      <c r="E1238" t="s">
        <v>42</v>
      </c>
      <c r="F1238" t="s">
        <v>52</v>
      </c>
      <c r="G1238" t="s">
        <v>496</v>
      </c>
      <c r="H1238" t="str">
        <f>TEXT(walmart[[#This Row],[Purchase_Date]],"DDD")</f>
        <v>Wed</v>
      </c>
      <c r="I1238" t="str">
        <f>TEXT(walmart[[#This Row],[Purchase_Date]],"MMM")</f>
        <v>Jul</v>
      </c>
      <c r="J1238" t="str">
        <f>TEXT(walmart[[#This Row],[Purchase_Date]],"YYY")</f>
        <v>2024</v>
      </c>
      <c r="K1238" s="3">
        <v>988.77</v>
      </c>
      <c r="L1238" t="str">
        <f t="shared" si="92"/>
        <v>20% off</v>
      </c>
      <c r="N1238" t="str">
        <f t="shared" si="93"/>
        <v>Yes</v>
      </c>
      <c r="O1238" t="s">
        <v>34</v>
      </c>
      <c r="P1238" s="3">
        <f t="shared" si="94"/>
        <v>988.77</v>
      </c>
      <c r="Q1238" t="s">
        <v>35</v>
      </c>
      <c r="R1238">
        <v>3</v>
      </c>
      <c r="S1238" t="str">
        <f t="shared" si="95"/>
        <v>Average</v>
      </c>
    </row>
    <row r="1239" spans="1:19" x14ac:dyDescent="0.25">
      <c r="A1239" t="s">
        <v>1653</v>
      </c>
      <c r="B1239">
        <v>45</v>
      </c>
      <c r="C1239" t="s">
        <v>29</v>
      </c>
      <c r="D1239" t="s">
        <v>2466</v>
      </c>
      <c r="E1239" t="s">
        <v>18</v>
      </c>
      <c r="F1239" t="s">
        <v>59</v>
      </c>
      <c r="G1239" t="s">
        <v>825</v>
      </c>
      <c r="H1239" t="str">
        <f>TEXT(walmart[[#This Row],[Purchase_Date]],"DDD")</f>
        <v>Sat</v>
      </c>
      <c r="I1239" t="str">
        <f>TEXT(walmart[[#This Row],[Purchase_Date]],"MMM")</f>
        <v>Apr</v>
      </c>
      <c r="J1239" t="str">
        <f>TEXT(walmart[[#This Row],[Purchase_Date]],"YYY")</f>
        <v>2024</v>
      </c>
      <c r="K1239" s="3">
        <v>78.349999999999994</v>
      </c>
      <c r="L1239" t="str">
        <f t="shared" si="92"/>
        <v>0% off</v>
      </c>
      <c r="N1239" t="str">
        <f t="shared" si="93"/>
        <v>No</v>
      </c>
      <c r="O1239" t="s">
        <v>34</v>
      </c>
      <c r="P1239" s="3">
        <f t="shared" si="94"/>
        <v>78.349999999999994</v>
      </c>
      <c r="Q1239" t="s">
        <v>35</v>
      </c>
      <c r="R1239">
        <v>1</v>
      </c>
      <c r="S1239" t="str">
        <f t="shared" si="95"/>
        <v>Very Poor</v>
      </c>
    </row>
    <row r="1240" spans="1:19" x14ac:dyDescent="0.25">
      <c r="A1240" t="s">
        <v>1654</v>
      </c>
      <c r="B1240">
        <v>20</v>
      </c>
      <c r="C1240" t="s">
        <v>29</v>
      </c>
      <c r="D1240" t="s">
        <v>2467</v>
      </c>
      <c r="E1240" t="s">
        <v>18</v>
      </c>
      <c r="F1240" t="s">
        <v>19</v>
      </c>
      <c r="G1240" t="s">
        <v>434</v>
      </c>
      <c r="H1240" t="str">
        <f>TEXT(walmart[[#This Row],[Purchase_Date]],"DDD")</f>
        <v>Sat</v>
      </c>
      <c r="I1240" t="str">
        <f>TEXT(walmart[[#This Row],[Purchase_Date]],"MMM")</f>
        <v>Apr</v>
      </c>
      <c r="J1240" t="str">
        <f>TEXT(walmart[[#This Row],[Purchase_Date]],"YYY")</f>
        <v>2024</v>
      </c>
      <c r="K1240" s="3">
        <v>697.86</v>
      </c>
      <c r="L1240" t="str">
        <f t="shared" si="92"/>
        <v>10% off</v>
      </c>
      <c r="N1240" t="str">
        <f t="shared" si="93"/>
        <v>Yes</v>
      </c>
      <c r="O1240" t="s">
        <v>21</v>
      </c>
      <c r="P1240" s="3">
        <f t="shared" si="94"/>
        <v>697.86</v>
      </c>
      <c r="Q1240" t="s">
        <v>47</v>
      </c>
      <c r="R1240">
        <v>4</v>
      </c>
      <c r="S1240" t="str">
        <f t="shared" si="95"/>
        <v>Good</v>
      </c>
    </row>
    <row r="1241" spans="1:19" x14ac:dyDescent="0.25">
      <c r="A1241" t="s">
        <v>1655</v>
      </c>
      <c r="B1241">
        <v>66</v>
      </c>
      <c r="C1241" t="s">
        <v>29</v>
      </c>
      <c r="D1241" t="s">
        <v>2468</v>
      </c>
      <c r="E1241" t="s">
        <v>37</v>
      </c>
      <c r="F1241" t="s">
        <v>82</v>
      </c>
      <c r="G1241" t="s">
        <v>98</v>
      </c>
      <c r="H1241" t="str">
        <f>TEXT(walmart[[#This Row],[Purchase_Date]],"DDD")</f>
        <v>Sun</v>
      </c>
      <c r="I1241" t="str">
        <f>TEXT(walmart[[#This Row],[Purchase_Date]],"MMM")</f>
        <v>Aug</v>
      </c>
      <c r="J1241" t="str">
        <f>TEXT(walmart[[#This Row],[Purchase_Date]],"YYY")</f>
        <v>2024</v>
      </c>
      <c r="K1241" s="3">
        <v>270.41000000000003</v>
      </c>
      <c r="L1241" t="str">
        <f t="shared" si="92"/>
        <v>5% off</v>
      </c>
      <c r="N1241" t="str">
        <f t="shared" si="93"/>
        <v>Yes</v>
      </c>
      <c r="O1241" t="s">
        <v>21</v>
      </c>
      <c r="P1241" s="3">
        <f t="shared" si="94"/>
        <v>270.41000000000003</v>
      </c>
      <c r="Q1241" t="s">
        <v>35</v>
      </c>
      <c r="R1241">
        <v>1</v>
      </c>
      <c r="S1241" t="str">
        <f t="shared" si="95"/>
        <v>Very Poor</v>
      </c>
    </row>
    <row r="1242" spans="1:19" x14ac:dyDescent="0.25">
      <c r="A1242" t="s">
        <v>1656</v>
      </c>
      <c r="B1242">
        <v>25</v>
      </c>
      <c r="C1242" t="s">
        <v>16</v>
      </c>
      <c r="D1242" t="s">
        <v>2469</v>
      </c>
      <c r="E1242" t="s">
        <v>31</v>
      </c>
      <c r="F1242" t="s">
        <v>300</v>
      </c>
      <c r="G1242" t="s">
        <v>607</v>
      </c>
      <c r="H1242" t="str">
        <f>TEXT(walmart[[#This Row],[Purchase_Date]],"DDD")</f>
        <v>Wed</v>
      </c>
      <c r="I1242" t="str">
        <f>TEXT(walmart[[#This Row],[Purchase_Date]],"MMM")</f>
        <v>Oct</v>
      </c>
      <c r="J1242" t="str">
        <f>TEXT(walmart[[#This Row],[Purchase_Date]],"YYY")</f>
        <v>2024</v>
      </c>
      <c r="K1242" s="3">
        <v>340.04</v>
      </c>
      <c r="L1242" t="str">
        <f t="shared" si="92"/>
        <v>5% off</v>
      </c>
      <c r="N1242" t="str">
        <f t="shared" si="93"/>
        <v>Yes</v>
      </c>
      <c r="O1242" t="s">
        <v>21</v>
      </c>
      <c r="P1242" s="3">
        <f t="shared" si="94"/>
        <v>340.04</v>
      </c>
      <c r="Q1242" t="s">
        <v>47</v>
      </c>
      <c r="R1242">
        <v>1</v>
      </c>
      <c r="S1242" t="str">
        <f t="shared" si="95"/>
        <v>Very Poor</v>
      </c>
    </row>
    <row r="1243" spans="1:19" x14ac:dyDescent="0.25">
      <c r="A1243" t="s">
        <v>1657</v>
      </c>
      <c r="B1243">
        <v>52</v>
      </c>
      <c r="C1243" t="s">
        <v>16</v>
      </c>
      <c r="D1243" t="s">
        <v>2470</v>
      </c>
      <c r="E1243" t="s">
        <v>42</v>
      </c>
      <c r="F1243" t="s">
        <v>52</v>
      </c>
      <c r="G1243" t="s">
        <v>57</v>
      </c>
      <c r="H1243" t="str">
        <f>TEXT(walmart[[#This Row],[Purchase_Date]],"DDD")</f>
        <v>Wed</v>
      </c>
      <c r="I1243" t="str">
        <f>TEXT(walmart[[#This Row],[Purchase_Date]],"MMM")</f>
        <v>May</v>
      </c>
      <c r="J1243" t="str">
        <f>TEXT(walmart[[#This Row],[Purchase_Date]],"YYY")</f>
        <v>2024</v>
      </c>
      <c r="K1243" s="3">
        <v>988.77</v>
      </c>
      <c r="L1243" t="str">
        <f t="shared" si="92"/>
        <v>20% off</v>
      </c>
      <c r="N1243" t="str">
        <f t="shared" si="93"/>
        <v>Yes</v>
      </c>
      <c r="O1243" t="s">
        <v>21</v>
      </c>
      <c r="P1243" s="3">
        <f t="shared" si="94"/>
        <v>988.77</v>
      </c>
      <c r="Q1243" t="s">
        <v>27</v>
      </c>
      <c r="R1243">
        <v>3</v>
      </c>
      <c r="S1243" t="str">
        <f t="shared" si="95"/>
        <v>Average</v>
      </c>
    </row>
    <row r="1244" spans="1:19" x14ac:dyDescent="0.25">
      <c r="A1244" t="s">
        <v>1658</v>
      </c>
      <c r="B1244">
        <v>25</v>
      </c>
      <c r="C1244" t="s">
        <v>29</v>
      </c>
      <c r="D1244" t="s">
        <v>2471</v>
      </c>
      <c r="E1244" t="s">
        <v>42</v>
      </c>
      <c r="F1244" t="s">
        <v>43</v>
      </c>
      <c r="G1244" t="s">
        <v>566</v>
      </c>
      <c r="H1244" t="str">
        <f>TEXT(walmart[[#This Row],[Purchase_Date]],"DDD")</f>
        <v>Wed</v>
      </c>
      <c r="I1244" t="str">
        <f>TEXT(walmart[[#This Row],[Purchase_Date]],"MMM")</f>
        <v>Oct</v>
      </c>
      <c r="J1244" t="str">
        <f>TEXT(walmart[[#This Row],[Purchase_Date]],"YYY")</f>
        <v>2024</v>
      </c>
      <c r="K1244" s="3">
        <v>512.94000000000005</v>
      </c>
      <c r="L1244" t="str">
        <f t="shared" si="92"/>
        <v>10% off</v>
      </c>
      <c r="N1244" t="str">
        <f t="shared" si="93"/>
        <v>Yes</v>
      </c>
      <c r="O1244" t="s">
        <v>34</v>
      </c>
      <c r="P1244" s="3">
        <f t="shared" si="94"/>
        <v>512.94000000000005</v>
      </c>
      <c r="Q1244" t="s">
        <v>47</v>
      </c>
      <c r="R1244">
        <v>5</v>
      </c>
      <c r="S1244" t="str">
        <f t="shared" si="95"/>
        <v>Excellent</v>
      </c>
    </row>
    <row r="1245" spans="1:19" x14ac:dyDescent="0.25">
      <c r="A1245" t="s">
        <v>1659</v>
      </c>
      <c r="B1245">
        <v>35</v>
      </c>
      <c r="C1245" t="s">
        <v>29</v>
      </c>
      <c r="D1245" t="s">
        <v>2472</v>
      </c>
      <c r="E1245" t="s">
        <v>24</v>
      </c>
      <c r="F1245" t="s">
        <v>186</v>
      </c>
      <c r="G1245" t="s">
        <v>505</v>
      </c>
      <c r="H1245" t="str">
        <f>TEXT(walmart[[#This Row],[Purchase_Date]],"DDD")</f>
        <v>Tue</v>
      </c>
      <c r="I1245" t="str">
        <f>TEXT(walmart[[#This Row],[Purchase_Date]],"MMM")</f>
        <v>Oct</v>
      </c>
      <c r="J1245" t="str">
        <f>TEXT(walmart[[#This Row],[Purchase_Date]],"YYY")</f>
        <v>2024</v>
      </c>
      <c r="K1245" s="3">
        <v>527.16999999999996</v>
      </c>
      <c r="L1245" t="str">
        <f t="shared" si="92"/>
        <v>10% off</v>
      </c>
      <c r="N1245" t="str">
        <f t="shared" si="93"/>
        <v>Yes</v>
      </c>
      <c r="O1245" t="s">
        <v>21</v>
      </c>
      <c r="P1245" s="3">
        <f t="shared" si="94"/>
        <v>527.16999999999996</v>
      </c>
      <c r="Q1245" t="s">
        <v>47</v>
      </c>
      <c r="R1245">
        <v>3</v>
      </c>
      <c r="S1245" t="str">
        <f t="shared" si="95"/>
        <v>Average</v>
      </c>
    </row>
    <row r="1246" spans="1:19" x14ac:dyDescent="0.25">
      <c r="A1246" t="s">
        <v>1660</v>
      </c>
      <c r="B1246">
        <v>55</v>
      </c>
      <c r="C1246" t="s">
        <v>29</v>
      </c>
      <c r="D1246" t="s">
        <v>2473</v>
      </c>
      <c r="E1246" t="s">
        <v>18</v>
      </c>
      <c r="F1246" t="s">
        <v>142</v>
      </c>
      <c r="G1246" t="s">
        <v>65</v>
      </c>
      <c r="H1246" t="str">
        <f>TEXT(walmart[[#This Row],[Purchase_Date]],"DDD")</f>
        <v>Wed</v>
      </c>
      <c r="I1246" t="str">
        <f>TEXT(walmart[[#This Row],[Purchase_Date]],"MMM")</f>
        <v>Mar</v>
      </c>
      <c r="J1246" t="str">
        <f>TEXT(walmart[[#This Row],[Purchase_Date]],"YYY")</f>
        <v>2025</v>
      </c>
      <c r="K1246" s="3">
        <v>485.26</v>
      </c>
      <c r="L1246" t="str">
        <f t="shared" si="92"/>
        <v>5% off</v>
      </c>
      <c r="N1246" t="str">
        <f t="shared" si="93"/>
        <v>Yes</v>
      </c>
      <c r="O1246" t="s">
        <v>21</v>
      </c>
      <c r="P1246" s="3">
        <f t="shared" si="94"/>
        <v>485.26</v>
      </c>
      <c r="Q1246" t="s">
        <v>35</v>
      </c>
      <c r="R1246">
        <v>1</v>
      </c>
      <c r="S1246" t="str">
        <f t="shared" si="95"/>
        <v>Very Poor</v>
      </c>
    </row>
    <row r="1247" spans="1:19" x14ac:dyDescent="0.25">
      <c r="A1247" t="s">
        <v>1661</v>
      </c>
      <c r="B1247">
        <v>28</v>
      </c>
      <c r="C1247" t="s">
        <v>29</v>
      </c>
      <c r="D1247" t="s">
        <v>2474</v>
      </c>
      <c r="E1247" t="s">
        <v>73</v>
      </c>
      <c r="F1247" t="s">
        <v>94</v>
      </c>
      <c r="G1247" t="s">
        <v>1131</v>
      </c>
      <c r="H1247" t="str">
        <f>TEXT(walmart[[#This Row],[Purchase_Date]],"DDD")</f>
        <v>Sat</v>
      </c>
      <c r="I1247" t="str">
        <f>TEXT(walmart[[#This Row],[Purchase_Date]],"MMM")</f>
        <v>Jan</v>
      </c>
      <c r="J1247" t="str">
        <f>TEXT(walmart[[#This Row],[Purchase_Date]],"YYY")</f>
        <v>2025</v>
      </c>
      <c r="K1247" s="3">
        <v>965.09</v>
      </c>
      <c r="L1247" t="str">
        <f t="shared" si="92"/>
        <v>20% off</v>
      </c>
      <c r="N1247" t="str">
        <f t="shared" si="93"/>
        <v>Yes</v>
      </c>
      <c r="O1247" t="s">
        <v>21</v>
      </c>
      <c r="P1247" s="3">
        <f t="shared" si="94"/>
        <v>965.09</v>
      </c>
      <c r="Q1247" t="s">
        <v>35</v>
      </c>
      <c r="R1247">
        <v>4</v>
      </c>
      <c r="S1247" t="str">
        <f t="shared" si="95"/>
        <v>Good</v>
      </c>
    </row>
    <row r="1248" spans="1:19" x14ac:dyDescent="0.25">
      <c r="A1248" t="s">
        <v>1662</v>
      </c>
      <c r="B1248">
        <v>67</v>
      </c>
      <c r="C1248" t="s">
        <v>29</v>
      </c>
      <c r="D1248" t="s">
        <v>2475</v>
      </c>
      <c r="E1248" t="s">
        <v>55</v>
      </c>
      <c r="F1248" t="s">
        <v>56</v>
      </c>
      <c r="G1248" t="s">
        <v>279</v>
      </c>
      <c r="H1248" t="str">
        <f>TEXT(walmart[[#This Row],[Purchase_Date]],"DDD")</f>
        <v>Thu</v>
      </c>
      <c r="I1248" t="str">
        <f>TEXT(walmart[[#This Row],[Purchase_Date]],"MMM")</f>
        <v>Jul</v>
      </c>
      <c r="J1248" t="str">
        <f>TEXT(walmart[[#This Row],[Purchase_Date]],"YYY")</f>
        <v>2024</v>
      </c>
      <c r="K1248" s="3">
        <v>76.81</v>
      </c>
      <c r="L1248" t="str">
        <f t="shared" si="92"/>
        <v>0% off</v>
      </c>
      <c r="N1248" t="str">
        <f t="shared" si="93"/>
        <v>No</v>
      </c>
      <c r="O1248" t="s">
        <v>21</v>
      </c>
      <c r="P1248" s="3">
        <f t="shared" si="94"/>
        <v>76.81</v>
      </c>
      <c r="Q1248" t="s">
        <v>35</v>
      </c>
      <c r="R1248">
        <v>2</v>
      </c>
      <c r="S1248" t="str">
        <f t="shared" si="95"/>
        <v>Poor</v>
      </c>
    </row>
    <row r="1249" spans="1:19" x14ac:dyDescent="0.25">
      <c r="A1249" t="s">
        <v>1663</v>
      </c>
      <c r="B1249">
        <v>51</v>
      </c>
      <c r="C1249" t="s">
        <v>16</v>
      </c>
      <c r="D1249" t="s">
        <v>2476</v>
      </c>
      <c r="E1249" t="s">
        <v>37</v>
      </c>
      <c r="F1249" t="s">
        <v>97</v>
      </c>
      <c r="G1249" t="s">
        <v>266</v>
      </c>
      <c r="H1249" t="str">
        <f>TEXT(walmart[[#This Row],[Purchase_Date]],"DDD")</f>
        <v>Fri</v>
      </c>
      <c r="I1249" t="str">
        <f>TEXT(walmart[[#This Row],[Purchase_Date]],"MMM")</f>
        <v>Feb</v>
      </c>
      <c r="J1249" t="str">
        <f>TEXT(walmart[[#This Row],[Purchase_Date]],"YYY")</f>
        <v>2025</v>
      </c>
      <c r="K1249" s="3">
        <v>855.21</v>
      </c>
      <c r="L1249" t="str">
        <f t="shared" si="92"/>
        <v>15% off</v>
      </c>
      <c r="N1249" t="str">
        <f t="shared" si="93"/>
        <v>Yes</v>
      </c>
      <c r="O1249" t="s">
        <v>21</v>
      </c>
      <c r="P1249" s="3">
        <f t="shared" si="94"/>
        <v>855.21</v>
      </c>
      <c r="Q1249" t="s">
        <v>35</v>
      </c>
      <c r="R1249">
        <v>2</v>
      </c>
      <c r="S1249" t="str">
        <f t="shared" si="95"/>
        <v>Poor</v>
      </c>
    </row>
    <row r="1250" spans="1:19" x14ac:dyDescent="0.25">
      <c r="A1250" t="s">
        <v>1664</v>
      </c>
      <c r="B1250">
        <v>68</v>
      </c>
      <c r="C1250" t="s">
        <v>29</v>
      </c>
      <c r="D1250" t="s">
        <v>2477</v>
      </c>
      <c r="E1250" t="s">
        <v>42</v>
      </c>
      <c r="F1250" t="s">
        <v>103</v>
      </c>
      <c r="G1250" t="s">
        <v>902</v>
      </c>
      <c r="H1250" t="str">
        <f>TEXT(walmart[[#This Row],[Purchase_Date]],"DDD")</f>
        <v>Sat</v>
      </c>
      <c r="I1250" t="str">
        <f>TEXT(walmart[[#This Row],[Purchase_Date]],"MMM")</f>
        <v>Aug</v>
      </c>
      <c r="J1250" t="str">
        <f>TEXT(walmart[[#This Row],[Purchase_Date]],"YYY")</f>
        <v>2024</v>
      </c>
      <c r="K1250" s="3">
        <v>315.56</v>
      </c>
      <c r="L1250" t="str">
        <f t="shared" si="92"/>
        <v>5% off</v>
      </c>
      <c r="N1250" t="str">
        <f t="shared" si="93"/>
        <v>Yes</v>
      </c>
      <c r="O1250" t="s">
        <v>21</v>
      </c>
      <c r="P1250" s="3">
        <f t="shared" si="94"/>
        <v>315.56</v>
      </c>
      <c r="Q1250" t="s">
        <v>47</v>
      </c>
      <c r="R1250">
        <v>5</v>
      </c>
      <c r="S1250" t="str">
        <f t="shared" si="95"/>
        <v>Excellent</v>
      </c>
    </row>
    <row r="1251" spans="1:19" x14ac:dyDescent="0.25">
      <c r="A1251" t="s">
        <v>1665</v>
      </c>
      <c r="B1251">
        <v>31</v>
      </c>
      <c r="C1251" t="s">
        <v>29</v>
      </c>
      <c r="D1251" t="s">
        <v>2478</v>
      </c>
      <c r="E1251" t="s">
        <v>55</v>
      </c>
      <c r="F1251" t="s">
        <v>64</v>
      </c>
      <c r="G1251" t="s">
        <v>920</v>
      </c>
      <c r="H1251" t="str">
        <f>TEXT(walmart[[#This Row],[Purchase_Date]],"DDD")</f>
        <v>Sun</v>
      </c>
      <c r="I1251" t="str">
        <f>TEXT(walmart[[#This Row],[Purchase_Date]],"MMM")</f>
        <v>Nov</v>
      </c>
      <c r="J1251" t="str">
        <f>TEXT(walmart[[#This Row],[Purchase_Date]],"YYY")</f>
        <v>2024</v>
      </c>
      <c r="K1251" s="3">
        <v>374.92</v>
      </c>
      <c r="L1251" t="str">
        <f t="shared" si="92"/>
        <v>5% off</v>
      </c>
      <c r="N1251" t="str">
        <f t="shared" si="93"/>
        <v>Yes</v>
      </c>
      <c r="O1251" t="s">
        <v>34</v>
      </c>
      <c r="P1251" s="3">
        <f t="shared" si="94"/>
        <v>374.92</v>
      </c>
      <c r="Q1251" t="s">
        <v>27</v>
      </c>
      <c r="R1251">
        <v>3</v>
      </c>
      <c r="S1251" t="str">
        <f t="shared" si="95"/>
        <v>Average</v>
      </c>
    </row>
    <row r="1252" spans="1:19" x14ac:dyDescent="0.25">
      <c r="A1252" t="s">
        <v>1666</v>
      </c>
      <c r="B1252">
        <v>43</v>
      </c>
      <c r="C1252" t="s">
        <v>29</v>
      </c>
      <c r="D1252" t="s">
        <v>2479</v>
      </c>
      <c r="E1252" t="s">
        <v>31</v>
      </c>
      <c r="F1252" t="s">
        <v>112</v>
      </c>
      <c r="G1252" t="s">
        <v>270</v>
      </c>
      <c r="H1252" t="str">
        <f>TEXT(walmart[[#This Row],[Purchase_Date]],"DDD")</f>
        <v>Sat</v>
      </c>
      <c r="I1252" t="str">
        <f>TEXT(walmart[[#This Row],[Purchase_Date]],"MMM")</f>
        <v>Dec</v>
      </c>
      <c r="J1252" t="str">
        <f>TEXT(walmart[[#This Row],[Purchase_Date]],"YYY")</f>
        <v>2024</v>
      </c>
      <c r="K1252" s="3">
        <v>492.1</v>
      </c>
      <c r="L1252" t="str">
        <f t="shared" si="92"/>
        <v>5% off</v>
      </c>
      <c r="N1252" t="str">
        <f t="shared" si="93"/>
        <v>Yes</v>
      </c>
      <c r="O1252" t="s">
        <v>34</v>
      </c>
      <c r="P1252" s="3">
        <f t="shared" si="94"/>
        <v>492.1</v>
      </c>
      <c r="Q1252" t="s">
        <v>27</v>
      </c>
      <c r="R1252">
        <v>5</v>
      </c>
      <c r="S1252" t="str">
        <f t="shared" si="95"/>
        <v>Excellent</v>
      </c>
    </row>
    <row r="1253" spans="1:19" x14ac:dyDescent="0.25">
      <c r="A1253" t="s">
        <v>1667</v>
      </c>
      <c r="B1253">
        <v>57</v>
      </c>
      <c r="C1253" t="s">
        <v>29</v>
      </c>
      <c r="D1253" t="s">
        <v>2480</v>
      </c>
      <c r="E1253" t="s">
        <v>55</v>
      </c>
      <c r="F1253" t="s">
        <v>100</v>
      </c>
      <c r="G1253" t="s">
        <v>1668</v>
      </c>
      <c r="H1253" t="str">
        <f>TEXT(walmart[[#This Row],[Purchase_Date]],"DDD")</f>
        <v>Sun</v>
      </c>
      <c r="I1253" t="str">
        <f>TEXT(walmart[[#This Row],[Purchase_Date]],"MMM")</f>
        <v>Jan</v>
      </c>
      <c r="J1253" t="str">
        <f>TEXT(walmart[[#This Row],[Purchase_Date]],"YYY")</f>
        <v>2025</v>
      </c>
      <c r="K1253" s="3">
        <v>592.26</v>
      </c>
      <c r="L1253" t="str">
        <f t="shared" si="92"/>
        <v>10% off</v>
      </c>
      <c r="N1253" t="str">
        <f t="shared" si="93"/>
        <v>Yes</v>
      </c>
      <c r="O1253" t="s">
        <v>34</v>
      </c>
      <c r="P1253" s="3">
        <f t="shared" si="94"/>
        <v>592.26</v>
      </c>
      <c r="Q1253" t="s">
        <v>22</v>
      </c>
      <c r="R1253">
        <v>4</v>
      </c>
      <c r="S1253" t="str">
        <f t="shared" si="95"/>
        <v>Good</v>
      </c>
    </row>
    <row r="1254" spans="1:19" x14ac:dyDescent="0.25">
      <c r="A1254" t="s">
        <v>1669</v>
      </c>
      <c r="B1254">
        <v>60</v>
      </c>
      <c r="C1254" t="s">
        <v>29</v>
      </c>
      <c r="D1254" t="s">
        <v>2481</v>
      </c>
      <c r="E1254" t="s">
        <v>55</v>
      </c>
      <c r="F1254" t="s">
        <v>100</v>
      </c>
      <c r="G1254" t="s">
        <v>207</v>
      </c>
      <c r="H1254" t="str">
        <f>TEXT(walmart[[#This Row],[Purchase_Date]],"DDD")</f>
        <v>Wed</v>
      </c>
      <c r="I1254" t="str">
        <f>TEXT(walmart[[#This Row],[Purchase_Date]],"MMM")</f>
        <v>Aug</v>
      </c>
      <c r="J1254" t="str">
        <f>TEXT(walmart[[#This Row],[Purchase_Date]],"YYY")</f>
        <v>2024</v>
      </c>
      <c r="K1254" s="3">
        <v>592.26</v>
      </c>
      <c r="L1254" t="str">
        <f t="shared" si="92"/>
        <v>10% off</v>
      </c>
      <c r="N1254" t="str">
        <f t="shared" si="93"/>
        <v>Yes</v>
      </c>
      <c r="O1254" t="s">
        <v>21</v>
      </c>
      <c r="P1254" s="3">
        <f t="shared" si="94"/>
        <v>592.26</v>
      </c>
      <c r="Q1254" t="s">
        <v>47</v>
      </c>
      <c r="R1254">
        <v>1</v>
      </c>
      <c r="S1254" t="str">
        <f t="shared" si="95"/>
        <v>Very Poor</v>
      </c>
    </row>
    <row r="1255" spans="1:19" x14ac:dyDescent="0.25">
      <c r="A1255" t="s">
        <v>1670</v>
      </c>
      <c r="B1255">
        <v>20</v>
      </c>
      <c r="C1255" t="s">
        <v>16</v>
      </c>
      <c r="D1255" t="s">
        <v>2482</v>
      </c>
      <c r="E1255" t="s">
        <v>55</v>
      </c>
      <c r="F1255" t="s">
        <v>64</v>
      </c>
      <c r="G1255" t="s">
        <v>463</v>
      </c>
      <c r="H1255" t="str">
        <f>TEXT(walmart[[#This Row],[Purchase_Date]],"DDD")</f>
        <v>Mon</v>
      </c>
      <c r="I1255" t="str">
        <f>TEXT(walmart[[#This Row],[Purchase_Date]],"MMM")</f>
        <v>Mar</v>
      </c>
      <c r="J1255" t="str">
        <f>TEXT(walmart[[#This Row],[Purchase_Date]],"YYY")</f>
        <v>2025</v>
      </c>
      <c r="K1255" s="3">
        <v>374.92</v>
      </c>
      <c r="L1255" t="str">
        <f t="shared" si="92"/>
        <v>5% off</v>
      </c>
      <c r="N1255" t="str">
        <f t="shared" si="93"/>
        <v>Yes</v>
      </c>
      <c r="O1255" t="s">
        <v>34</v>
      </c>
      <c r="P1255" s="3">
        <f t="shared" si="94"/>
        <v>374.92</v>
      </c>
      <c r="Q1255" t="s">
        <v>47</v>
      </c>
      <c r="R1255">
        <v>3</v>
      </c>
      <c r="S1255" t="str">
        <f t="shared" si="95"/>
        <v>Average</v>
      </c>
    </row>
    <row r="1256" spans="1:19" x14ac:dyDescent="0.25">
      <c r="A1256" t="s">
        <v>1671</v>
      </c>
      <c r="B1256">
        <v>33</v>
      </c>
      <c r="C1256" t="s">
        <v>16</v>
      </c>
      <c r="D1256" t="s">
        <v>2462</v>
      </c>
      <c r="E1256" t="s">
        <v>73</v>
      </c>
      <c r="F1256" t="s">
        <v>138</v>
      </c>
      <c r="G1256" t="s">
        <v>295</v>
      </c>
      <c r="H1256" t="str">
        <f>TEXT(walmart[[#This Row],[Purchase_Date]],"DDD")</f>
        <v>Sun</v>
      </c>
      <c r="I1256" t="str">
        <f>TEXT(walmart[[#This Row],[Purchase_Date]],"MMM")</f>
        <v>Mar</v>
      </c>
      <c r="J1256" t="str">
        <f>TEXT(walmart[[#This Row],[Purchase_Date]],"YYY")</f>
        <v>2025</v>
      </c>
      <c r="K1256" s="3">
        <v>461.81</v>
      </c>
      <c r="L1256" t="str">
        <f t="shared" si="92"/>
        <v>5% off</v>
      </c>
      <c r="N1256" t="str">
        <f t="shared" si="93"/>
        <v>Yes</v>
      </c>
      <c r="O1256" t="s">
        <v>21</v>
      </c>
      <c r="P1256" s="3">
        <f t="shared" si="94"/>
        <v>461.81</v>
      </c>
      <c r="Q1256" t="s">
        <v>27</v>
      </c>
      <c r="R1256">
        <v>5</v>
      </c>
      <c r="S1256" t="str">
        <f t="shared" si="95"/>
        <v>Excellent</v>
      </c>
    </row>
    <row r="1257" spans="1:19" x14ac:dyDescent="0.25">
      <c r="A1257" t="s">
        <v>1672</v>
      </c>
      <c r="B1257">
        <v>20</v>
      </c>
      <c r="C1257" t="s">
        <v>16</v>
      </c>
      <c r="D1257" t="s">
        <v>2483</v>
      </c>
      <c r="E1257" t="s">
        <v>18</v>
      </c>
      <c r="F1257" t="s">
        <v>59</v>
      </c>
      <c r="G1257" t="s">
        <v>1097</v>
      </c>
      <c r="H1257" t="str">
        <f>TEXT(walmart[[#This Row],[Purchase_Date]],"DDD")</f>
        <v>Wed</v>
      </c>
      <c r="I1257" t="str">
        <f>TEXT(walmart[[#This Row],[Purchase_Date]],"MMM")</f>
        <v>Nov</v>
      </c>
      <c r="J1257" t="str">
        <f>TEXT(walmart[[#This Row],[Purchase_Date]],"YYY")</f>
        <v>2024</v>
      </c>
      <c r="K1257" s="3">
        <v>78.349999999999994</v>
      </c>
      <c r="L1257" t="str">
        <f t="shared" si="92"/>
        <v>0% off</v>
      </c>
      <c r="N1257" t="str">
        <f t="shared" si="93"/>
        <v>No</v>
      </c>
      <c r="O1257" t="s">
        <v>21</v>
      </c>
      <c r="P1257" s="3">
        <f t="shared" si="94"/>
        <v>78.349999999999994</v>
      </c>
      <c r="Q1257" t="s">
        <v>22</v>
      </c>
      <c r="R1257">
        <v>3</v>
      </c>
      <c r="S1257" t="str">
        <f t="shared" si="95"/>
        <v>Average</v>
      </c>
    </row>
    <row r="1258" spans="1:19" x14ac:dyDescent="0.25">
      <c r="A1258" t="s">
        <v>1673</v>
      </c>
      <c r="B1258">
        <v>67</v>
      </c>
      <c r="C1258" t="s">
        <v>16</v>
      </c>
      <c r="D1258" t="s">
        <v>2484</v>
      </c>
      <c r="E1258" t="s">
        <v>73</v>
      </c>
      <c r="F1258" t="s">
        <v>94</v>
      </c>
      <c r="G1258" t="s">
        <v>201</v>
      </c>
      <c r="H1258" t="str">
        <f>TEXT(walmart[[#This Row],[Purchase_Date]],"DDD")</f>
        <v>Sat</v>
      </c>
      <c r="I1258" t="str">
        <f>TEXT(walmart[[#This Row],[Purchase_Date]],"MMM")</f>
        <v>Aug</v>
      </c>
      <c r="J1258" t="str">
        <f>TEXT(walmart[[#This Row],[Purchase_Date]],"YYY")</f>
        <v>2024</v>
      </c>
      <c r="K1258" s="3">
        <v>965.09</v>
      </c>
      <c r="L1258" t="str">
        <f t="shared" si="92"/>
        <v>20% off</v>
      </c>
      <c r="N1258" t="str">
        <f t="shared" si="93"/>
        <v>Yes</v>
      </c>
      <c r="O1258" t="s">
        <v>34</v>
      </c>
      <c r="P1258" s="3">
        <f t="shared" si="94"/>
        <v>965.09</v>
      </c>
      <c r="Q1258" t="s">
        <v>47</v>
      </c>
      <c r="R1258">
        <v>2</v>
      </c>
      <c r="S1258" t="str">
        <f t="shared" si="95"/>
        <v>Poor</v>
      </c>
    </row>
    <row r="1259" spans="1:19" x14ac:dyDescent="0.25">
      <c r="A1259" t="s">
        <v>1674</v>
      </c>
      <c r="B1259">
        <v>37</v>
      </c>
      <c r="C1259" t="s">
        <v>16</v>
      </c>
      <c r="D1259" t="s">
        <v>2485</v>
      </c>
      <c r="E1259" t="s">
        <v>55</v>
      </c>
      <c r="F1259" t="s">
        <v>56</v>
      </c>
      <c r="G1259" t="s">
        <v>207</v>
      </c>
      <c r="H1259" t="str">
        <f>TEXT(walmart[[#This Row],[Purchase_Date]],"DDD")</f>
        <v>Wed</v>
      </c>
      <c r="I1259" t="str">
        <f>TEXT(walmart[[#This Row],[Purchase_Date]],"MMM")</f>
        <v>Aug</v>
      </c>
      <c r="J1259" t="str">
        <f>TEXT(walmart[[#This Row],[Purchase_Date]],"YYY")</f>
        <v>2024</v>
      </c>
      <c r="K1259" s="3">
        <v>76.81</v>
      </c>
      <c r="L1259" t="str">
        <f t="shared" si="92"/>
        <v>0% off</v>
      </c>
      <c r="N1259" t="str">
        <f t="shared" si="93"/>
        <v>No</v>
      </c>
      <c r="O1259" t="s">
        <v>34</v>
      </c>
      <c r="P1259" s="3">
        <f t="shared" si="94"/>
        <v>76.81</v>
      </c>
      <c r="Q1259" t="s">
        <v>47</v>
      </c>
      <c r="R1259">
        <v>5</v>
      </c>
      <c r="S1259" t="str">
        <f t="shared" si="95"/>
        <v>Excellent</v>
      </c>
    </row>
    <row r="1260" spans="1:19" x14ac:dyDescent="0.25">
      <c r="A1260" t="s">
        <v>1675</v>
      </c>
      <c r="B1260">
        <v>65</v>
      </c>
      <c r="C1260" t="s">
        <v>16</v>
      </c>
      <c r="D1260" t="s">
        <v>2486</v>
      </c>
      <c r="E1260" t="s">
        <v>18</v>
      </c>
      <c r="F1260" t="s">
        <v>19</v>
      </c>
      <c r="G1260" t="s">
        <v>378</v>
      </c>
      <c r="H1260" t="str">
        <f>TEXT(walmart[[#This Row],[Purchase_Date]],"DDD")</f>
        <v>Sat</v>
      </c>
      <c r="I1260" t="str">
        <f>TEXT(walmart[[#This Row],[Purchase_Date]],"MMM")</f>
        <v>Jun</v>
      </c>
      <c r="J1260" t="str">
        <f>TEXT(walmart[[#This Row],[Purchase_Date]],"YYY")</f>
        <v>2024</v>
      </c>
      <c r="K1260" s="3">
        <v>697.86</v>
      </c>
      <c r="L1260" t="str">
        <f t="shared" si="92"/>
        <v>10% off</v>
      </c>
      <c r="N1260" t="str">
        <f t="shared" si="93"/>
        <v>Yes</v>
      </c>
      <c r="O1260" t="s">
        <v>34</v>
      </c>
      <c r="P1260" s="3">
        <f t="shared" si="94"/>
        <v>697.86</v>
      </c>
      <c r="Q1260" t="s">
        <v>35</v>
      </c>
      <c r="R1260">
        <v>5</v>
      </c>
      <c r="S1260" t="str">
        <f t="shared" si="95"/>
        <v>Excellent</v>
      </c>
    </row>
    <row r="1261" spans="1:19" x14ac:dyDescent="0.25">
      <c r="A1261" t="s">
        <v>1676</v>
      </c>
      <c r="B1261">
        <v>60</v>
      </c>
      <c r="C1261" t="s">
        <v>16</v>
      </c>
      <c r="D1261" t="s">
        <v>2487</v>
      </c>
      <c r="E1261" t="s">
        <v>73</v>
      </c>
      <c r="F1261" t="s">
        <v>91</v>
      </c>
      <c r="G1261" t="s">
        <v>476</v>
      </c>
      <c r="H1261" t="str">
        <f>TEXT(walmart[[#This Row],[Purchase_Date]],"DDD")</f>
        <v>Fri</v>
      </c>
      <c r="I1261" t="str">
        <f>TEXT(walmart[[#This Row],[Purchase_Date]],"MMM")</f>
        <v>Mar</v>
      </c>
      <c r="J1261" t="str">
        <f>TEXT(walmart[[#This Row],[Purchase_Date]],"YYY")</f>
        <v>2025</v>
      </c>
      <c r="K1261" s="3">
        <v>418.55</v>
      </c>
      <c r="L1261" t="str">
        <f t="shared" si="92"/>
        <v>5% off</v>
      </c>
      <c r="N1261" t="str">
        <f t="shared" si="93"/>
        <v>Yes</v>
      </c>
      <c r="O1261" t="s">
        <v>21</v>
      </c>
      <c r="P1261" s="3">
        <f t="shared" si="94"/>
        <v>418.55</v>
      </c>
      <c r="Q1261" t="s">
        <v>27</v>
      </c>
      <c r="R1261">
        <v>4</v>
      </c>
      <c r="S1261" t="str">
        <f t="shared" si="95"/>
        <v>Good</v>
      </c>
    </row>
    <row r="1262" spans="1:19" x14ac:dyDescent="0.25">
      <c r="A1262" t="s">
        <v>1677</v>
      </c>
      <c r="B1262">
        <v>35</v>
      </c>
      <c r="C1262" t="s">
        <v>29</v>
      </c>
      <c r="D1262" t="s">
        <v>2488</v>
      </c>
      <c r="E1262" t="s">
        <v>37</v>
      </c>
      <c r="F1262" t="s">
        <v>97</v>
      </c>
      <c r="G1262" t="s">
        <v>104</v>
      </c>
      <c r="H1262" t="str">
        <f>TEXT(walmart[[#This Row],[Purchase_Date]],"DDD")</f>
        <v>Sat</v>
      </c>
      <c r="I1262" t="str">
        <f>TEXT(walmart[[#This Row],[Purchase_Date]],"MMM")</f>
        <v>Mar</v>
      </c>
      <c r="J1262" t="str">
        <f>TEXT(walmart[[#This Row],[Purchase_Date]],"YYY")</f>
        <v>2025</v>
      </c>
      <c r="K1262" s="3">
        <v>855.21</v>
      </c>
      <c r="L1262" t="str">
        <f t="shared" si="92"/>
        <v>15% off</v>
      </c>
      <c r="N1262" t="str">
        <f t="shared" si="93"/>
        <v>Yes</v>
      </c>
      <c r="O1262" t="s">
        <v>21</v>
      </c>
      <c r="P1262" s="3">
        <f t="shared" si="94"/>
        <v>855.21</v>
      </c>
      <c r="Q1262" t="s">
        <v>27</v>
      </c>
      <c r="R1262">
        <v>4</v>
      </c>
      <c r="S1262" t="str">
        <f t="shared" si="95"/>
        <v>Good</v>
      </c>
    </row>
    <row r="1263" spans="1:19" x14ac:dyDescent="0.25">
      <c r="A1263" t="s">
        <v>1678</v>
      </c>
      <c r="B1263">
        <v>53</v>
      </c>
      <c r="C1263" t="s">
        <v>16</v>
      </c>
      <c r="D1263" t="s">
        <v>2489</v>
      </c>
      <c r="E1263" t="s">
        <v>31</v>
      </c>
      <c r="F1263" t="s">
        <v>169</v>
      </c>
      <c r="G1263" t="s">
        <v>463</v>
      </c>
      <c r="H1263" t="str">
        <f>TEXT(walmart[[#This Row],[Purchase_Date]],"DDD")</f>
        <v>Mon</v>
      </c>
      <c r="I1263" t="str">
        <f>TEXT(walmart[[#This Row],[Purchase_Date]],"MMM")</f>
        <v>Mar</v>
      </c>
      <c r="J1263" t="str">
        <f>TEXT(walmart[[#This Row],[Purchase_Date]],"YYY")</f>
        <v>2025</v>
      </c>
      <c r="K1263" s="3">
        <v>52.44</v>
      </c>
      <c r="L1263" t="str">
        <f t="shared" si="92"/>
        <v>0% off</v>
      </c>
      <c r="N1263" t="str">
        <f t="shared" si="93"/>
        <v>No</v>
      </c>
      <c r="O1263" t="s">
        <v>21</v>
      </c>
      <c r="P1263" s="3">
        <f t="shared" si="94"/>
        <v>52.44</v>
      </c>
      <c r="Q1263" t="s">
        <v>27</v>
      </c>
      <c r="R1263">
        <v>3</v>
      </c>
      <c r="S1263" t="str">
        <f t="shared" si="95"/>
        <v>Average</v>
      </c>
    </row>
    <row r="1264" spans="1:19" x14ac:dyDescent="0.25">
      <c r="A1264" t="s">
        <v>1679</v>
      </c>
      <c r="B1264">
        <v>36</v>
      </c>
      <c r="C1264" t="s">
        <v>29</v>
      </c>
      <c r="D1264" t="s">
        <v>2490</v>
      </c>
      <c r="E1264" t="s">
        <v>37</v>
      </c>
      <c r="F1264" t="s">
        <v>38</v>
      </c>
      <c r="G1264" t="s">
        <v>714</v>
      </c>
      <c r="H1264" t="str">
        <f>TEXT(walmart[[#This Row],[Purchase_Date]],"DDD")</f>
        <v>Sun</v>
      </c>
      <c r="I1264" t="str">
        <f>TEXT(walmart[[#This Row],[Purchase_Date]],"MMM")</f>
        <v>Jan</v>
      </c>
      <c r="J1264" t="str">
        <f>TEXT(walmart[[#This Row],[Purchase_Date]],"YYY")</f>
        <v>2025</v>
      </c>
      <c r="K1264" s="3">
        <v>211.46</v>
      </c>
      <c r="L1264" t="str">
        <f t="shared" si="92"/>
        <v>5% off</v>
      </c>
      <c r="N1264" t="str">
        <f t="shared" si="93"/>
        <v>Yes</v>
      </c>
      <c r="O1264" t="s">
        <v>21</v>
      </c>
      <c r="P1264" s="3">
        <f t="shared" si="94"/>
        <v>211.46</v>
      </c>
      <c r="Q1264" t="s">
        <v>35</v>
      </c>
      <c r="R1264">
        <v>1</v>
      </c>
      <c r="S1264" t="str">
        <f t="shared" si="95"/>
        <v>Very Poor</v>
      </c>
    </row>
    <row r="1265" spans="1:19" x14ac:dyDescent="0.25">
      <c r="A1265" t="s">
        <v>1680</v>
      </c>
      <c r="B1265">
        <v>30</v>
      </c>
      <c r="C1265" t="s">
        <v>16</v>
      </c>
      <c r="D1265" t="s">
        <v>2471</v>
      </c>
      <c r="E1265" t="s">
        <v>31</v>
      </c>
      <c r="F1265" t="s">
        <v>112</v>
      </c>
      <c r="G1265" t="s">
        <v>44</v>
      </c>
      <c r="H1265" t="str">
        <f>TEXT(walmart[[#This Row],[Purchase_Date]],"DDD")</f>
        <v>Fri</v>
      </c>
      <c r="I1265" t="str">
        <f>TEXT(walmart[[#This Row],[Purchase_Date]],"MMM")</f>
        <v>Aug</v>
      </c>
      <c r="J1265" t="str">
        <f>TEXT(walmart[[#This Row],[Purchase_Date]],"YYY")</f>
        <v>2024</v>
      </c>
      <c r="K1265" s="3">
        <v>492.1</v>
      </c>
      <c r="L1265" t="str">
        <f t="shared" si="92"/>
        <v>5% off</v>
      </c>
      <c r="N1265" t="str">
        <f t="shared" si="93"/>
        <v>Yes</v>
      </c>
      <c r="O1265" t="s">
        <v>21</v>
      </c>
      <c r="P1265" s="3">
        <f t="shared" si="94"/>
        <v>492.1</v>
      </c>
      <c r="Q1265" t="s">
        <v>22</v>
      </c>
      <c r="R1265">
        <v>3</v>
      </c>
      <c r="S1265" t="str">
        <f t="shared" si="95"/>
        <v>Average</v>
      </c>
    </row>
    <row r="1266" spans="1:19" x14ac:dyDescent="0.25">
      <c r="A1266" t="s">
        <v>1681</v>
      </c>
      <c r="B1266">
        <v>20</v>
      </c>
      <c r="C1266" t="s">
        <v>29</v>
      </c>
      <c r="D1266" t="s">
        <v>2491</v>
      </c>
      <c r="E1266" t="s">
        <v>24</v>
      </c>
      <c r="F1266" t="s">
        <v>209</v>
      </c>
      <c r="G1266" t="s">
        <v>78</v>
      </c>
      <c r="H1266" t="str">
        <f>TEXT(walmart[[#This Row],[Purchase_Date]],"DDD")</f>
        <v>Mon</v>
      </c>
      <c r="I1266" t="str">
        <f>TEXT(walmart[[#This Row],[Purchase_Date]],"MMM")</f>
        <v>Jul</v>
      </c>
      <c r="J1266" t="str">
        <f>TEXT(walmart[[#This Row],[Purchase_Date]],"YYY")</f>
        <v>2024</v>
      </c>
      <c r="K1266" s="3">
        <v>775.75</v>
      </c>
      <c r="L1266" t="str">
        <f t="shared" si="92"/>
        <v>15% off</v>
      </c>
      <c r="N1266" t="str">
        <f t="shared" si="93"/>
        <v>Yes</v>
      </c>
      <c r="O1266" t="s">
        <v>34</v>
      </c>
      <c r="P1266" s="3">
        <f t="shared" si="94"/>
        <v>775.75</v>
      </c>
      <c r="Q1266" t="s">
        <v>47</v>
      </c>
      <c r="R1266">
        <v>1</v>
      </c>
      <c r="S1266" t="str">
        <f t="shared" si="95"/>
        <v>Very Poor</v>
      </c>
    </row>
    <row r="1267" spans="1:19" x14ac:dyDescent="0.25">
      <c r="A1267" t="s">
        <v>1682</v>
      </c>
      <c r="B1267">
        <v>51</v>
      </c>
      <c r="C1267" t="s">
        <v>16</v>
      </c>
      <c r="D1267" t="s">
        <v>2492</v>
      </c>
      <c r="E1267" t="s">
        <v>24</v>
      </c>
      <c r="F1267" t="s">
        <v>162</v>
      </c>
      <c r="G1267" t="s">
        <v>1077</v>
      </c>
      <c r="H1267" t="str">
        <f>TEXT(walmart[[#This Row],[Purchase_Date]],"DDD")</f>
        <v>Mon</v>
      </c>
      <c r="I1267" t="str">
        <f>TEXT(walmart[[#This Row],[Purchase_Date]],"MMM")</f>
        <v>May</v>
      </c>
      <c r="J1267" t="str">
        <f>TEXT(walmart[[#This Row],[Purchase_Date]],"YYY")</f>
        <v>2024</v>
      </c>
      <c r="K1267" s="3">
        <v>362.55</v>
      </c>
      <c r="L1267" t="str">
        <f t="shared" si="92"/>
        <v>5% off</v>
      </c>
      <c r="N1267" t="str">
        <f t="shared" si="93"/>
        <v>Yes</v>
      </c>
      <c r="O1267" t="s">
        <v>34</v>
      </c>
      <c r="P1267" s="3">
        <f t="shared" si="94"/>
        <v>362.55</v>
      </c>
      <c r="Q1267" t="s">
        <v>22</v>
      </c>
      <c r="R1267">
        <v>1</v>
      </c>
      <c r="S1267" t="str">
        <f t="shared" si="95"/>
        <v>Very Poor</v>
      </c>
    </row>
    <row r="1268" spans="1:19" x14ac:dyDescent="0.25">
      <c r="A1268" t="s">
        <v>1683</v>
      </c>
      <c r="B1268">
        <v>21</v>
      </c>
      <c r="C1268" t="s">
        <v>29</v>
      </c>
      <c r="D1268" t="s">
        <v>2493</v>
      </c>
      <c r="E1268" t="s">
        <v>37</v>
      </c>
      <c r="F1268" t="s">
        <v>97</v>
      </c>
      <c r="G1268" t="s">
        <v>447</v>
      </c>
      <c r="H1268" t="str">
        <f>TEXT(walmart[[#This Row],[Purchase_Date]],"DDD")</f>
        <v>Sat</v>
      </c>
      <c r="I1268" t="str">
        <f>TEXT(walmart[[#This Row],[Purchase_Date]],"MMM")</f>
        <v>Nov</v>
      </c>
      <c r="J1268" t="str">
        <f>TEXT(walmart[[#This Row],[Purchase_Date]],"YYY")</f>
        <v>2024</v>
      </c>
      <c r="K1268" s="3">
        <v>855.21</v>
      </c>
      <c r="L1268" t="str">
        <f t="shared" si="92"/>
        <v>15% off</v>
      </c>
      <c r="N1268" t="str">
        <f t="shared" si="93"/>
        <v>Yes</v>
      </c>
      <c r="O1268" t="s">
        <v>21</v>
      </c>
      <c r="P1268" s="3">
        <f t="shared" si="94"/>
        <v>855.21</v>
      </c>
      <c r="Q1268" t="s">
        <v>47</v>
      </c>
      <c r="R1268">
        <v>5</v>
      </c>
      <c r="S1268" t="str">
        <f t="shared" si="95"/>
        <v>Excellent</v>
      </c>
    </row>
    <row r="1269" spans="1:19" x14ac:dyDescent="0.25">
      <c r="A1269" t="s">
        <v>1684</v>
      </c>
      <c r="B1269">
        <v>38</v>
      </c>
      <c r="C1269" t="s">
        <v>29</v>
      </c>
      <c r="D1269" t="s">
        <v>2494</v>
      </c>
      <c r="E1269" t="s">
        <v>37</v>
      </c>
      <c r="F1269" t="s">
        <v>97</v>
      </c>
      <c r="G1269" t="s">
        <v>104</v>
      </c>
      <c r="H1269" t="str">
        <f>TEXT(walmart[[#This Row],[Purchase_Date]],"DDD")</f>
        <v>Sat</v>
      </c>
      <c r="I1269" t="str">
        <f>TEXT(walmart[[#This Row],[Purchase_Date]],"MMM")</f>
        <v>Mar</v>
      </c>
      <c r="J1269" t="str">
        <f>TEXT(walmart[[#This Row],[Purchase_Date]],"YYY")</f>
        <v>2025</v>
      </c>
      <c r="K1269" s="3">
        <v>855.21</v>
      </c>
      <c r="L1269" t="str">
        <f t="shared" si="92"/>
        <v>15% off</v>
      </c>
      <c r="N1269" t="str">
        <f t="shared" si="93"/>
        <v>Yes</v>
      </c>
      <c r="O1269" t="s">
        <v>34</v>
      </c>
      <c r="P1269" s="3">
        <f t="shared" si="94"/>
        <v>855.21</v>
      </c>
      <c r="Q1269" t="s">
        <v>35</v>
      </c>
      <c r="R1269">
        <v>3</v>
      </c>
      <c r="S1269" t="str">
        <f t="shared" si="95"/>
        <v>Average</v>
      </c>
    </row>
    <row r="1270" spans="1:19" x14ac:dyDescent="0.25">
      <c r="A1270" t="s">
        <v>1685</v>
      </c>
      <c r="B1270">
        <v>52</v>
      </c>
      <c r="C1270" t="s">
        <v>29</v>
      </c>
      <c r="D1270" t="s">
        <v>2495</v>
      </c>
      <c r="E1270" t="s">
        <v>31</v>
      </c>
      <c r="F1270" t="s">
        <v>32</v>
      </c>
      <c r="G1270" t="s">
        <v>110</v>
      </c>
      <c r="H1270" t="str">
        <f>TEXT(walmart[[#This Row],[Purchase_Date]],"DDD")</f>
        <v>Wed</v>
      </c>
      <c r="I1270" t="str">
        <f>TEXT(walmart[[#This Row],[Purchase_Date]],"MMM")</f>
        <v>Feb</v>
      </c>
      <c r="J1270" t="str">
        <f>TEXT(walmart[[#This Row],[Purchase_Date]],"YYY")</f>
        <v>2025</v>
      </c>
      <c r="K1270" s="3">
        <v>493.96</v>
      </c>
      <c r="L1270" t="str">
        <f t="shared" si="92"/>
        <v>5% off</v>
      </c>
      <c r="N1270" t="str">
        <f t="shared" si="93"/>
        <v>Yes</v>
      </c>
      <c r="O1270" t="s">
        <v>21</v>
      </c>
      <c r="P1270" s="3">
        <f t="shared" si="94"/>
        <v>493.96</v>
      </c>
      <c r="Q1270" t="s">
        <v>27</v>
      </c>
      <c r="R1270">
        <v>4</v>
      </c>
      <c r="S1270" t="str">
        <f t="shared" si="95"/>
        <v>Good</v>
      </c>
    </row>
    <row r="1271" spans="1:19" x14ac:dyDescent="0.25">
      <c r="A1271" t="s">
        <v>1686</v>
      </c>
      <c r="B1271">
        <v>27</v>
      </c>
      <c r="C1271" t="s">
        <v>29</v>
      </c>
      <c r="D1271" t="s">
        <v>2496</v>
      </c>
      <c r="E1271" t="s">
        <v>31</v>
      </c>
      <c r="F1271" t="s">
        <v>300</v>
      </c>
      <c r="G1271" t="s">
        <v>373</v>
      </c>
      <c r="H1271" t="str">
        <f>TEXT(walmart[[#This Row],[Purchase_Date]],"DDD")</f>
        <v>Sat</v>
      </c>
      <c r="I1271" t="str">
        <f>TEXT(walmart[[#This Row],[Purchase_Date]],"MMM")</f>
        <v>Dec</v>
      </c>
      <c r="J1271" t="str">
        <f>TEXT(walmart[[#This Row],[Purchase_Date]],"YYY")</f>
        <v>2024</v>
      </c>
      <c r="K1271" s="3">
        <v>340.04</v>
      </c>
      <c r="L1271" t="str">
        <f t="shared" si="92"/>
        <v>5% off</v>
      </c>
      <c r="N1271" t="str">
        <f t="shared" si="93"/>
        <v>Yes</v>
      </c>
      <c r="O1271" t="s">
        <v>34</v>
      </c>
      <c r="P1271" s="3">
        <f t="shared" si="94"/>
        <v>340.04</v>
      </c>
      <c r="Q1271" t="s">
        <v>22</v>
      </c>
      <c r="R1271">
        <v>5</v>
      </c>
      <c r="S1271" t="str">
        <f t="shared" si="95"/>
        <v>Excellent</v>
      </c>
    </row>
    <row r="1272" spans="1:19" x14ac:dyDescent="0.25">
      <c r="A1272" t="s">
        <v>1687</v>
      </c>
      <c r="B1272">
        <v>40</v>
      </c>
      <c r="C1272" t="s">
        <v>29</v>
      </c>
      <c r="D1272" t="s">
        <v>2497</v>
      </c>
      <c r="E1272" t="s">
        <v>31</v>
      </c>
      <c r="F1272" t="s">
        <v>112</v>
      </c>
      <c r="G1272" t="s">
        <v>566</v>
      </c>
      <c r="H1272" t="str">
        <f>TEXT(walmart[[#This Row],[Purchase_Date]],"DDD")</f>
        <v>Wed</v>
      </c>
      <c r="I1272" t="str">
        <f>TEXT(walmart[[#This Row],[Purchase_Date]],"MMM")</f>
        <v>Oct</v>
      </c>
      <c r="J1272" t="str">
        <f>TEXT(walmart[[#This Row],[Purchase_Date]],"YYY")</f>
        <v>2024</v>
      </c>
      <c r="K1272" s="3">
        <v>492.1</v>
      </c>
      <c r="L1272" t="str">
        <f t="shared" si="92"/>
        <v>5% off</v>
      </c>
      <c r="N1272" t="str">
        <f t="shared" si="93"/>
        <v>Yes</v>
      </c>
      <c r="O1272" t="s">
        <v>34</v>
      </c>
      <c r="P1272" s="3">
        <f t="shared" si="94"/>
        <v>492.1</v>
      </c>
      <c r="Q1272" t="s">
        <v>47</v>
      </c>
      <c r="R1272">
        <v>3</v>
      </c>
      <c r="S1272" t="str">
        <f t="shared" si="95"/>
        <v>Average</v>
      </c>
    </row>
    <row r="1273" spans="1:19" x14ac:dyDescent="0.25">
      <c r="A1273" t="s">
        <v>1688</v>
      </c>
      <c r="B1273">
        <v>33</v>
      </c>
      <c r="C1273" t="s">
        <v>16</v>
      </c>
      <c r="D1273" t="s">
        <v>2498</v>
      </c>
      <c r="E1273" t="s">
        <v>73</v>
      </c>
      <c r="F1273" t="s">
        <v>91</v>
      </c>
      <c r="G1273" t="s">
        <v>266</v>
      </c>
      <c r="H1273" t="str">
        <f>TEXT(walmart[[#This Row],[Purchase_Date]],"DDD")</f>
        <v>Fri</v>
      </c>
      <c r="I1273" t="str">
        <f>TEXT(walmart[[#This Row],[Purchase_Date]],"MMM")</f>
        <v>Feb</v>
      </c>
      <c r="J1273" t="str">
        <f>TEXT(walmart[[#This Row],[Purchase_Date]],"YYY")</f>
        <v>2025</v>
      </c>
      <c r="K1273" s="3">
        <v>418.55</v>
      </c>
      <c r="L1273" t="str">
        <f t="shared" si="92"/>
        <v>5% off</v>
      </c>
      <c r="N1273" t="str">
        <f t="shared" si="93"/>
        <v>Yes</v>
      </c>
      <c r="O1273" t="s">
        <v>21</v>
      </c>
      <c r="P1273" s="3">
        <f t="shared" si="94"/>
        <v>418.55</v>
      </c>
      <c r="Q1273" t="s">
        <v>47</v>
      </c>
      <c r="R1273">
        <v>5</v>
      </c>
      <c r="S1273" t="str">
        <f t="shared" si="95"/>
        <v>Excellent</v>
      </c>
    </row>
    <row r="1274" spans="1:19" x14ac:dyDescent="0.25">
      <c r="A1274" t="s">
        <v>1689</v>
      </c>
      <c r="B1274">
        <v>29</v>
      </c>
      <c r="C1274" t="s">
        <v>29</v>
      </c>
      <c r="D1274" t="s">
        <v>2499</v>
      </c>
      <c r="E1274" t="s">
        <v>37</v>
      </c>
      <c r="F1274" t="s">
        <v>82</v>
      </c>
      <c r="G1274" t="s">
        <v>439</v>
      </c>
      <c r="H1274" t="str">
        <f>TEXT(walmart[[#This Row],[Purchase_Date]],"DDD")</f>
        <v>Sat</v>
      </c>
      <c r="I1274" t="str">
        <f>TEXT(walmart[[#This Row],[Purchase_Date]],"MMM")</f>
        <v>Aug</v>
      </c>
      <c r="J1274" t="str">
        <f>TEXT(walmart[[#This Row],[Purchase_Date]],"YYY")</f>
        <v>2024</v>
      </c>
      <c r="K1274" s="3">
        <v>270.41000000000003</v>
      </c>
      <c r="L1274" t="str">
        <f t="shared" si="92"/>
        <v>5% off</v>
      </c>
      <c r="N1274" t="str">
        <f t="shared" si="93"/>
        <v>Yes</v>
      </c>
      <c r="O1274" t="s">
        <v>34</v>
      </c>
      <c r="P1274" s="3">
        <f t="shared" si="94"/>
        <v>270.41000000000003</v>
      </c>
      <c r="Q1274" t="s">
        <v>22</v>
      </c>
      <c r="R1274">
        <v>4</v>
      </c>
      <c r="S1274" t="str">
        <f t="shared" si="95"/>
        <v>Good</v>
      </c>
    </row>
    <row r="1275" spans="1:19" x14ac:dyDescent="0.25">
      <c r="A1275" t="s">
        <v>1690</v>
      </c>
      <c r="B1275">
        <v>29</v>
      </c>
      <c r="C1275" t="s">
        <v>29</v>
      </c>
      <c r="D1275" t="s">
        <v>2500</v>
      </c>
      <c r="E1275" t="s">
        <v>31</v>
      </c>
      <c r="F1275" t="s">
        <v>32</v>
      </c>
      <c r="G1275" t="s">
        <v>313</v>
      </c>
      <c r="H1275" t="str">
        <f>TEXT(walmart[[#This Row],[Purchase_Date]],"DDD")</f>
        <v>Fri</v>
      </c>
      <c r="I1275" t="str">
        <f>TEXT(walmart[[#This Row],[Purchase_Date]],"MMM")</f>
        <v>Aug</v>
      </c>
      <c r="J1275" t="str">
        <f>TEXT(walmart[[#This Row],[Purchase_Date]],"YYY")</f>
        <v>2024</v>
      </c>
      <c r="K1275" s="3">
        <v>493.96</v>
      </c>
      <c r="L1275" t="str">
        <f t="shared" si="92"/>
        <v>5% off</v>
      </c>
      <c r="N1275" t="str">
        <f t="shared" si="93"/>
        <v>Yes</v>
      </c>
      <c r="O1275" t="s">
        <v>34</v>
      </c>
      <c r="P1275" s="3">
        <f t="shared" si="94"/>
        <v>493.96</v>
      </c>
      <c r="Q1275" t="s">
        <v>22</v>
      </c>
      <c r="R1275">
        <v>2</v>
      </c>
      <c r="S1275" t="str">
        <f t="shared" si="95"/>
        <v>Poor</v>
      </c>
    </row>
    <row r="1276" spans="1:19" x14ac:dyDescent="0.25">
      <c r="A1276" t="s">
        <v>1691</v>
      </c>
      <c r="B1276">
        <v>69</v>
      </c>
      <c r="C1276" t="s">
        <v>29</v>
      </c>
      <c r="D1276" t="s">
        <v>2501</v>
      </c>
      <c r="E1276" t="s">
        <v>31</v>
      </c>
      <c r="F1276" t="s">
        <v>112</v>
      </c>
      <c r="G1276" t="s">
        <v>418</v>
      </c>
      <c r="H1276" t="str">
        <f>TEXT(walmart[[#This Row],[Purchase_Date]],"DDD")</f>
        <v>Sat</v>
      </c>
      <c r="I1276" t="str">
        <f>TEXT(walmart[[#This Row],[Purchase_Date]],"MMM")</f>
        <v>Jan</v>
      </c>
      <c r="J1276" t="str">
        <f>TEXT(walmart[[#This Row],[Purchase_Date]],"YYY")</f>
        <v>2025</v>
      </c>
      <c r="K1276" s="3">
        <v>492.1</v>
      </c>
      <c r="L1276" t="str">
        <f t="shared" si="92"/>
        <v>5% off</v>
      </c>
      <c r="N1276" t="str">
        <f t="shared" si="93"/>
        <v>Yes</v>
      </c>
      <c r="O1276" t="s">
        <v>21</v>
      </c>
      <c r="P1276" s="3">
        <f t="shared" si="94"/>
        <v>492.1</v>
      </c>
      <c r="Q1276" t="s">
        <v>22</v>
      </c>
      <c r="R1276">
        <v>2</v>
      </c>
      <c r="S1276" t="str">
        <f t="shared" si="95"/>
        <v>Poor</v>
      </c>
    </row>
    <row r="1277" spans="1:19" x14ac:dyDescent="0.25">
      <c r="A1277" t="s">
        <v>1692</v>
      </c>
      <c r="B1277">
        <v>68</v>
      </c>
      <c r="C1277" t="s">
        <v>16</v>
      </c>
      <c r="D1277" t="s">
        <v>2502</v>
      </c>
      <c r="E1277" t="s">
        <v>31</v>
      </c>
      <c r="F1277" t="s">
        <v>169</v>
      </c>
      <c r="G1277" t="s">
        <v>254</v>
      </c>
      <c r="H1277" t="str">
        <f>TEXT(walmart[[#This Row],[Purchase_Date]],"DDD")</f>
        <v>Fri</v>
      </c>
      <c r="I1277" t="str">
        <f>TEXT(walmart[[#This Row],[Purchase_Date]],"MMM")</f>
        <v>Mar</v>
      </c>
      <c r="J1277" t="str">
        <f>TEXT(walmart[[#This Row],[Purchase_Date]],"YYY")</f>
        <v>2025</v>
      </c>
      <c r="K1277" s="3">
        <v>52.44</v>
      </c>
      <c r="L1277" t="str">
        <f t="shared" si="92"/>
        <v>0% off</v>
      </c>
      <c r="N1277" t="str">
        <f t="shared" si="93"/>
        <v>No</v>
      </c>
      <c r="O1277" t="s">
        <v>21</v>
      </c>
      <c r="P1277" s="3">
        <f t="shared" si="94"/>
        <v>52.44</v>
      </c>
      <c r="Q1277" t="s">
        <v>47</v>
      </c>
      <c r="R1277">
        <v>1</v>
      </c>
      <c r="S1277" t="str">
        <f t="shared" si="95"/>
        <v>Very Poor</v>
      </c>
    </row>
    <row r="1278" spans="1:19" x14ac:dyDescent="0.25">
      <c r="A1278" t="s">
        <v>1693</v>
      </c>
      <c r="B1278">
        <v>69</v>
      </c>
      <c r="C1278" t="s">
        <v>16</v>
      </c>
      <c r="D1278" t="s">
        <v>2503</v>
      </c>
      <c r="E1278" t="s">
        <v>24</v>
      </c>
      <c r="F1278" t="s">
        <v>186</v>
      </c>
      <c r="G1278" t="s">
        <v>1091</v>
      </c>
      <c r="H1278" t="str">
        <f>TEXT(walmart[[#This Row],[Purchase_Date]],"DDD")</f>
        <v>Thu</v>
      </c>
      <c r="I1278" t="str">
        <f>TEXT(walmart[[#This Row],[Purchase_Date]],"MMM")</f>
        <v>Aug</v>
      </c>
      <c r="J1278" t="str">
        <f>TEXT(walmart[[#This Row],[Purchase_Date]],"YYY")</f>
        <v>2024</v>
      </c>
      <c r="K1278" s="3">
        <v>527.16999999999996</v>
      </c>
      <c r="L1278" t="str">
        <f t="shared" si="92"/>
        <v>10% off</v>
      </c>
      <c r="N1278" t="str">
        <f t="shared" si="93"/>
        <v>Yes</v>
      </c>
      <c r="O1278" t="s">
        <v>34</v>
      </c>
      <c r="P1278" s="3">
        <f t="shared" si="94"/>
        <v>527.16999999999996</v>
      </c>
      <c r="Q1278" t="s">
        <v>22</v>
      </c>
      <c r="R1278">
        <v>1</v>
      </c>
      <c r="S1278" t="str">
        <f t="shared" si="95"/>
        <v>Very Poor</v>
      </c>
    </row>
    <row r="1279" spans="1:19" x14ac:dyDescent="0.25">
      <c r="A1279" t="s">
        <v>1694</v>
      </c>
      <c r="B1279">
        <v>53</v>
      </c>
      <c r="C1279" t="s">
        <v>29</v>
      </c>
      <c r="D1279" t="s">
        <v>2504</v>
      </c>
      <c r="E1279" t="s">
        <v>31</v>
      </c>
      <c r="F1279" t="s">
        <v>169</v>
      </c>
      <c r="G1279" t="s">
        <v>1067</v>
      </c>
      <c r="H1279" t="str">
        <f>TEXT(walmart[[#This Row],[Purchase_Date]],"DDD")</f>
        <v>Fri</v>
      </c>
      <c r="I1279" t="str">
        <f>TEXT(walmart[[#This Row],[Purchase_Date]],"MMM")</f>
        <v>Feb</v>
      </c>
      <c r="J1279" t="str">
        <f>TEXT(walmart[[#This Row],[Purchase_Date]],"YYY")</f>
        <v>2025</v>
      </c>
      <c r="K1279" s="3">
        <v>52.44</v>
      </c>
      <c r="L1279" t="str">
        <f t="shared" si="92"/>
        <v>0% off</v>
      </c>
      <c r="N1279" t="str">
        <f t="shared" si="93"/>
        <v>No</v>
      </c>
      <c r="O1279" t="s">
        <v>21</v>
      </c>
      <c r="P1279" s="3">
        <f t="shared" si="94"/>
        <v>52.44</v>
      </c>
      <c r="Q1279" t="s">
        <v>35</v>
      </c>
      <c r="R1279">
        <v>4</v>
      </c>
      <c r="S1279" t="str">
        <f t="shared" si="95"/>
        <v>Good</v>
      </c>
    </row>
    <row r="1280" spans="1:19" x14ac:dyDescent="0.25">
      <c r="A1280" t="s">
        <v>1695</v>
      </c>
      <c r="B1280">
        <v>64</v>
      </c>
      <c r="C1280" t="s">
        <v>29</v>
      </c>
      <c r="D1280" t="s">
        <v>2505</v>
      </c>
      <c r="E1280" t="s">
        <v>31</v>
      </c>
      <c r="F1280" t="s">
        <v>169</v>
      </c>
      <c r="G1280" t="s">
        <v>130</v>
      </c>
      <c r="H1280" t="str">
        <f>TEXT(walmart[[#This Row],[Purchase_Date]],"DDD")</f>
        <v>Mon</v>
      </c>
      <c r="I1280" t="str">
        <f>TEXT(walmart[[#This Row],[Purchase_Date]],"MMM")</f>
        <v>Nov</v>
      </c>
      <c r="J1280" t="str">
        <f>TEXT(walmart[[#This Row],[Purchase_Date]],"YYY")</f>
        <v>2024</v>
      </c>
      <c r="K1280" s="3">
        <v>52.44</v>
      </c>
      <c r="L1280" t="str">
        <f t="shared" si="92"/>
        <v>0% off</v>
      </c>
      <c r="N1280" t="str">
        <f t="shared" si="93"/>
        <v>No</v>
      </c>
      <c r="O1280" t="s">
        <v>21</v>
      </c>
      <c r="P1280" s="3">
        <f t="shared" si="94"/>
        <v>52.44</v>
      </c>
      <c r="Q1280" t="s">
        <v>27</v>
      </c>
      <c r="R1280">
        <v>2</v>
      </c>
      <c r="S1280" t="str">
        <f t="shared" si="95"/>
        <v>Poor</v>
      </c>
    </row>
    <row r="1281" spans="1:19" x14ac:dyDescent="0.25">
      <c r="A1281" t="s">
        <v>1696</v>
      </c>
      <c r="B1281">
        <v>68</v>
      </c>
      <c r="C1281" t="s">
        <v>16</v>
      </c>
      <c r="D1281" t="s">
        <v>2506</v>
      </c>
      <c r="E1281" t="s">
        <v>42</v>
      </c>
      <c r="F1281" t="s">
        <v>120</v>
      </c>
      <c r="G1281" t="s">
        <v>46</v>
      </c>
      <c r="H1281" t="str">
        <f>TEXT(walmart[[#This Row],[Purchase_Date]],"DDD")</f>
        <v>Thu</v>
      </c>
      <c r="I1281" t="str">
        <f>TEXT(walmart[[#This Row],[Purchase_Date]],"MMM")</f>
        <v>May</v>
      </c>
      <c r="J1281" t="str">
        <f>TEXT(walmart[[#This Row],[Purchase_Date]],"YYY")</f>
        <v>2024</v>
      </c>
      <c r="K1281" s="3">
        <v>260.77999999999997</v>
      </c>
      <c r="L1281" t="str">
        <f t="shared" si="92"/>
        <v>5% off</v>
      </c>
      <c r="N1281" t="str">
        <f t="shared" si="93"/>
        <v>Yes</v>
      </c>
      <c r="O1281" t="s">
        <v>34</v>
      </c>
      <c r="P1281" s="3">
        <f t="shared" si="94"/>
        <v>260.77999999999997</v>
      </c>
      <c r="Q1281" t="s">
        <v>47</v>
      </c>
      <c r="R1281">
        <v>4</v>
      </c>
      <c r="S1281" t="str">
        <f t="shared" si="95"/>
        <v>Good</v>
      </c>
    </row>
    <row r="1282" spans="1:19" x14ac:dyDescent="0.25">
      <c r="A1282" t="s">
        <v>1697</v>
      </c>
      <c r="B1282">
        <v>60</v>
      </c>
      <c r="C1282" t="s">
        <v>16</v>
      </c>
      <c r="D1282" t="s">
        <v>2507</v>
      </c>
      <c r="E1282" t="s">
        <v>37</v>
      </c>
      <c r="F1282" t="s">
        <v>97</v>
      </c>
      <c r="G1282" t="s">
        <v>321</v>
      </c>
      <c r="H1282" t="str">
        <f>TEXT(walmart[[#This Row],[Purchase_Date]],"DDD")</f>
        <v>Tue</v>
      </c>
      <c r="I1282" t="str">
        <f>TEXT(walmart[[#This Row],[Purchase_Date]],"MMM")</f>
        <v>Dec</v>
      </c>
      <c r="J1282" t="str">
        <f>TEXT(walmart[[#This Row],[Purchase_Date]],"YYY")</f>
        <v>2024</v>
      </c>
      <c r="K1282" s="3">
        <v>855.21</v>
      </c>
      <c r="L1282" t="str">
        <f t="shared" si="92"/>
        <v>15% off</v>
      </c>
      <c r="N1282" t="str">
        <f t="shared" si="93"/>
        <v>Yes</v>
      </c>
      <c r="O1282" t="s">
        <v>34</v>
      </c>
      <c r="P1282" s="3">
        <f t="shared" si="94"/>
        <v>855.21</v>
      </c>
      <c r="Q1282" t="s">
        <v>22</v>
      </c>
      <c r="R1282">
        <v>4</v>
      </c>
      <c r="S1282" t="str">
        <f t="shared" si="95"/>
        <v>Good</v>
      </c>
    </row>
    <row r="1283" spans="1:19" x14ac:dyDescent="0.25">
      <c r="A1283" t="s">
        <v>1698</v>
      </c>
      <c r="B1283">
        <v>48</v>
      </c>
      <c r="C1283" t="s">
        <v>16</v>
      </c>
      <c r="D1283" t="s">
        <v>2508</v>
      </c>
      <c r="E1283" t="s">
        <v>55</v>
      </c>
      <c r="F1283" t="s">
        <v>100</v>
      </c>
      <c r="G1283" t="s">
        <v>1131</v>
      </c>
      <c r="H1283" t="str">
        <f>TEXT(walmart[[#This Row],[Purchase_Date]],"DDD")</f>
        <v>Sat</v>
      </c>
      <c r="I1283" t="str">
        <f>TEXT(walmart[[#This Row],[Purchase_Date]],"MMM")</f>
        <v>Jan</v>
      </c>
      <c r="J1283" t="str">
        <f>TEXT(walmart[[#This Row],[Purchase_Date]],"YYY")</f>
        <v>2025</v>
      </c>
      <c r="K1283" s="3">
        <v>592.26</v>
      </c>
      <c r="L1283" t="str">
        <f t="shared" ref="L1283:L1346" si="96">IF(K1283&lt;150,"0% off",IF(K1283&lt;500,"5% off",IF(K1283&lt;700,"10% off",IF(K1283&lt;900,"15% off","20% off"))))</f>
        <v>10% off</v>
      </c>
      <c r="N1283" t="str">
        <f t="shared" ref="N1283:N1346" si="97">IF(L1283="0% off", "No", "Yes")</f>
        <v>Yes</v>
      </c>
      <c r="O1283" t="s">
        <v>21</v>
      </c>
      <c r="P1283" s="3">
        <f t="shared" ref="P1283:P1346" si="98">K1283-M1283</f>
        <v>592.26</v>
      </c>
      <c r="Q1283" t="s">
        <v>22</v>
      </c>
      <c r="R1283">
        <v>3</v>
      </c>
      <c r="S1283" t="str">
        <f t="shared" ref="S1283:S1346" si="99">IF(R1283=5, "Excellent", IF(R1283=4, "Good", IF(R1283=3, "Average", IF(R1283=2, "Poor", IF(R1283=1, "Very Poor", "Invalid Rating")))))</f>
        <v>Average</v>
      </c>
    </row>
    <row r="1284" spans="1:19" x14ac:dyDescent="0.25">
      <c r="A1284" t="s">
        <v>1699</v>
      </c>
      <c r="B1284">
        <v>26</v>
      </c>
      <c r="C1284" t="s">
        <v>16</v>
      </c>
      <c r="D1284" t="s">
        <v>2509</v>
      </c>
      <c r="E1284" t="s">
        <v>37</v>
      </c>
      <c r="F1284" t="s">
        <v>117</v>
      </c>
      <c r="G1284" t="s">
        <v>363</v>
      </c>
      <c r="H1284" t="str">
        <f>TEXT(walmart[[#This Row],[Purchase_Date]],"DDD")</f>
        <v>Tue</v>
      </c>
      <c r="I1284" t="str">
        <f>TEXT(walmart[[#This Row],[Purchase_Date]],"MMM")</f>
        <v>Aug</v>
      </c>
      <c r="J1284" t="str">
        <f>TEXT(walmart[[#This Row],[Purchase_Date]],"YYY")</f>
        <v>2024</v>
      </c>
      <c r="K1284" s="3">
        <v>165.68</v>
      </c>
      <c r="L1284" t="str">
        <f t="shared" si="96"/>
        <v>5% off</v>
      </c>
      <c r="N1284" t="str">
        <f t="shared" si="97"/>
        <v>Yes</v>
      </c>
      <c r="O1284" t="s">
        <v>21</v>
      </c>
      <c r="P1284" s="3">
        <f t="shared" si="98"/>
        <v>165.68</v>
      </c>
      <c r="Q1284" t="s">
        <v>47</v>
      </c>
      <c r="R1284">
        <v>1</v>
      </c>
      <c r="S1284" t="str">
        <f t="shared" si="99"/>
        <v>Very Poor</v>
      </c>
    </row>
    <row r="1285" spans="1:19" x14ac:dyDescent="0.25">
      <c r="A1285" t="s">
        <v>1700</v>
      </c>
      <c r="B1285">
        <v>53</v>
      </c>
      <c r="C1285" t="s">
        <v>29</v>
      </c>
      <c r="D1285" t="s">
        <v>2510</v>
      </c>
      <c r="E1285" t="s">
        <v>73</v>
      </c>
      <c r="F1285" t="s">
        <v>74</v>
      </c>
      <c r="G1285" t="s">
        <v>92</v>
      </c>
      <c r="H1285" t="str">
        <f>TEXT(walmart[[#This Row],[Purchase_Date]],"DDD")</f>
        <v>Sun</v>
      </c>
      <c r="I1285" t="str">
        <f>TEXT(walmart[[#This Row],[Purchase_Date]],"MMM")</f>
        <v>May</v>
      </c>
      <c r="J1285" t="str">
        <f>TEXT(walmart[[#This Row],[Purchase_Date]],"YYY")</f>
        <v>2024</v>
      </c>
      <c r="K1285" s="3">
        <v>782.29</v>
      </c>
      <c r="L1285" t="str">
        <f t="shared" si="96"/>
        <v>15% off</v>
      </c>
      <c r="N1285" t="str">
        <f t="shared" si="97"/>
        <v>Yes</v>
      </c>
      <c r="O1285" t="s">
        <v>34</v>
      </c>
      <c r="P1285" s="3">
        <f t="shared" si="98"/>
        <v>782.29</v>
      </c>
      <c r="Q1285" t="s">
        <v>22</v>
      </c>
      <c r="R1285">
        <v>4</v>
      </c>
      <c r="S1285" t="str">
        <f t="shared" si="99"/>
        <v>Good</v>
      </c>
    </row>
    <row r="1286" spans="1:19" x14ac:dyDescent="0.25">
      <c r="A1286" t="s">
        <v>1701</v>
      </c>
      <c r="B1286">
        <v>56</v>
      </c>
      <c r="C1286" t="s">
        <v>16</v>
      </c>
      <c r="D1286" t="s">
        <v>2511</v>
      </c>
      <c r="E1286" t="s">
        <v>42</v>
      </c>
      <c r="F1286" t="s">
        <v>52</v>
      </c>
      <c r="G1286" t="s">
        <v>981</v>
      </c>
      <c r="H1286" t="str">
        <f>TEXT(walmart[[#This Row],[Purchase_Date]],"DDD")</f>
        <v>Sat</v>
      </c>
      <c r="I1286" t="str">
        <f>TEXT(walmart[[#This Row],[Purchase_Date]],"MMM")</f>
        <v>Mar</v>
      </c>
      <c r="J1286" t="str">
        <f>TEXT(walmart[[#This Row],[Purchase_Date]],"YYY")</f>
        <v>2025</v>
      </c>
      <c r="K1286" s="3">
        <v>988.77</v>
      </c>
      <c r="L1286" t="str">
        <f t="shared" si="96"/>
        <v>20% off</v>
      </c>
      <c r="N1286" t="str">
        <f t="shared" si="97"/>
        <v>Yes</v>
      </c>
      <c r="O1286" t="s">
        <v>21</v>
      </c>
      <c r="P1286" s="3">
        <f t="shared" si="98"/>
        <v>988.77</v>
      </c>
      <c r="Q1286" t="s">
        <v>27</v>
      </c>
      <c r="R1286">
        <v>4</v>
      </c>
      <c r="S1286" t="str">
        <f t="shared" si="99"/>
        <v>Good</v>
      </c>
    </row>
    <row r="1287" spans="1:19" x14ac:dyDescent="0.25">
      <c r="A1287" t="s">
        <v>1702</v>
      </c>
      <c r="B1287">
        <v>67</v>
      </c>
      <c r="C1287" t="s">
        <v>16</v>
      </c>
      <c r="D1287" t="s">
        <v>2512</v>
      </c>
      <c r="E1287" t="s">
        <v>37</v>
      </c>
      <c r="F1287" t="s">
        <v>82</v>
      </c>
      <c r="G1287" t="s">
        <v>1291</v>
      </c>
      <c r="H1287" t="str">
        <f>TEXT(walmart[[#This Row],[Purchase_Date]],"DDD")</f>
        <v>Sat</v>
      </c>
      <c r="I1287" t="str">
        <f>TEXT(walmart[[#This Row],[Purchase_Date]],"MMM")</f>
        <v>Oct</v>
      </c>
      <c r="J1287" t="str">
        <f>TEXT(walmart[[#This Row],[Purchase_Date]],"YYY")</f>
        <v>2024</v>
      </c>
      <c r="K1287" s="3">
        <v>270.41000000000003</v>
      </c>
      <c r="L1287" t="str">
        <f t="shared" si="96"/>
        <v>5% off</v>
      </c>
      <c r="N1287" t="str">
        <f t="shared" si="97"/>
        <v>Yes</v>
      </c>
      <c r="O1287" t="s">
        <v>34</v>
      </c>
      <c r="P1287" s="3">
        <f t="shared" si="98"/>
        <v>270.41000000000003</v>
      </c>
      <c r="Q1287" t="s">
        <v>27</v>
      </c>
      <c r="R1287">
        <v>2</v>
      </c>
      <c r="S1287" t="str">
        <f t="shared" si="99"/>
        <v>Poor</v>
      </c>
    </row>
    <row r="1288" spans="1:19" x14ac:dyDescent="0.25">
      <c r="A1288" t="s">
        <v>1703</v>
      </c>
      <c r="B1288">
        <v>50</v>
      </c>
      <c r="C1288" t="s">
        <v>16</v>
      </c>
      <c r="D1288" t="s">
        <v>2513</v>
      </c>
      <c r="E1288" t="s">
        <v>55</v>
      </c>
      <c r="F1288" t="s">
        <v>100</v>
      </c>
      <c r="G1288" t="s">
        <v>529</v>
      </c>
      <c r="H1288" t="str">
        <f>TEXT(walmart[[#This Row],[Purchase_Date]],"DDD")</f>
        <v>Fri</v>
      </c>
      <c r="I1288" t="str">
        <f>TEXT(walmart[[#This Row],[Purchase_Date]],"MMM")</f>
        <v>Jan</v>
      </c>
      <c r="J1288" t="str">
        <f>TEXT(walmart[[#This Row],[Purchase_Date]],"YYY")</f>
        <v>2025</v>
      </c>
      <c r="K1288" s="3">
        <v>592.26</v>
      </c>
      <c r="L1288" t="str">
        <f t="shared" si="96"/>
        <v>10% off</v>
      </c>
      <c r="N1288" t="str">
        <f t="shared" si="97"/>
        <v>Yes</v>
      </c>
      <c r="O1288" t="s">
        <v>34</v>
      </c>
      <c r="P1288" s="3">
        <f t="shared" si="98"/>
        <v>592.26</v>
      </c>
      <c r="Q1288" t="s">
        <v>35</v>
      </c>
      <c r="R1288">
        <v>1</v>
      </c>
      <c r="S1288" t="str">
        <f t="shared" si="99"/>
        <v>Very Poor</v>
      </c>
    </row>
    <row r="1289" spans="1:19" x14ac:dyDescent="0.25">
      <c r="A1289" t="s">
        <v>1704</v>
      </c>
      <c r="B1289">
        <v>30</v>
      </c>
      <c r="C1289" t="s">
        <v>16</v>
      </c>
      <c r="D1289" t="s">
        <v>2514</v>
      </c>
      <c r="E1289" t="s">
        <v>42</v>
      </c>
      <c r="F1289" t="s">
        <v>103</v>
      </c>
      <c r="G1289" t="s">
        <v>323</v>
      </c>
      <c r="H1289" t="str">
        <f>TEXT(walmart[[#This Row],[Purchase_Date]],"DDD")</f>
        <v>Tue</v>
      </c>
      <c r="I1289" t="str">
        <f>TEXT(walmart[[#This Row],[Purchase_Date]],"MMM")</f>
        <v>Feb</v>
      </c>
      <c r="J1289" t="str">
        <f>TEXT(walmart[[#This Row],[Purchase_Date]],"YYY")</f>
        <v>2025</v>
      </c>
      <c r="K1289" s="3">
        <v>315.56</v>
      </c>
      <c r="L1289" t="str">
        <f t="shared" si="96"/>
        <v>5% off</v>
      </c>
      <c r="N1289" t="str">
        <f t="shared" si="97"/>
        <v>Yes</v>
      </c>
      <c r="O1289" t="s">
        <v>21</v>
      </c>
      <c r="P1289" s="3">
        <f t="shared" si="98"/>
        <v>315.56</v>
      </c>
      <c r="Q1289" t="s">
        <v>35</v>
      </c>
      <c r="R1289">
        <v>1</v>
      </c>
      <c r="S1289" t="str">
        <f t="shared" si="99"/>
        <v>Very Poor</v>
      </c>
    </row>
    <row r="1290" spans="1:19" x14ac:dyDescent="0.25">
      <c r="A1290" t="s">
        <v>1705</v>
      </c>
      <c r="B1290">
        <v>44</v>
      </c>
      <c r="C1290" t="s">
        <v>29</v>
      </c>
      <c r="D1290" t="s">
        <v>2515</v>
      </c>
      <c r="E1290" t="s">
        <v>55</v>
      </c>
      <c r="F1290" t="s">
        <v>100</v>
      </c>
      <c r="G1290" t="s">
        <v>428</v>
      </c>
      <c r="H1290" t="str">
        <f>TEXT(walmart[[#This Row],[Purchase_Date]],"DDD")</f>
        <v>Wed</v>
      </c>
      <c r="I1290" t="str">
        <f>TEXT(walmart[[#This Row],[Purchase_Date]],"MMM")</f>
        <v>May</v>
      </c>
      <c r="J1290" t="str">
        <f>TEXT(walmart[[#This Row],[Purchase_Date]],"YYY")</f>
        <v>2024</v>
      </c>
      <c r="K1290" s="3">
        <v>592.26</v>
      </c>
      <c r="L1290" t="str">
        <f t="shared" si="96"/>
        <v>10% off</v>
      </c>
      <c r="N1290" t="str">
        <f t="shared" si="97"/>
        <v>Yes</v>
      </c>
      <c r="O1290" t="s">
        <v>34</v>
      </c>
      <c r="P1290" s="3">
        <f t="shared" si="98"/>
        <v>592.26</v>
      </c>
      <c r="Q1290" t="s">
        <v>22</v>
      </c>
      <c r="R1290">
        <v>4</v>
      </c>
      <c r="S1290" t="str">
        <f t="shared" si="99"/>
        <v>Good</v>
      </c>
    </row>
    <row r="1291" spans="1:19" x14ac:dyDescent="0.25">
      <c r="A1291" t="s">
        <v>1706</v>
      </c>
      <c r="B1291">
        <v>55</v>
      </c>
      <c r="C1291" t="s">
        <v>16</v>
      </c>
      <c r="D1291" t="s">
        <v>2516</v>
      </c>
      <c r="E1291" t="s">
        <v>73</v>
      </c>
      <c r="F1291" t="s">
        <v>94</v>
      </c>
      <c r="G1291" t="s">
        <v>1339</v>
      </c>
      <c r="H1291" t="str">
        <f>TEXT(walmart[[#This Row],[Purchase_Date]],"DDD")</f>
        <v>Wed</v>
      </c>
      <c r="I1291" t="str">
        <f>TEXT(walmart[[#This Row],[Purchase_Date]],"MMM")</f>
        <v>Oct</v>
      </c>
      <c r="J1291" t="str">
        <f>TEXT(walmart[[#This Row],[Purchase_Date]],"YYY")</f>
        <v>2024</v>
      </c>
      <c r="K1291" s="3">
        <v>965.09</v>
      </c>
      <c r="L1291" t="str">
        <f t="shared" si="96"/>
        <v>20% off</v>
      </c>
      <c r="N1291" t="str">
        <f t="shared" si="97"/>
        <v>Yes</v>
      </c>
      <c r="O1291" t="s">
        <v>34</v>
      </c>
      <c r="P1291" s="3">
        <f t="shared" si="98"/>
        <v>965.09</v>
      </c>
      <c r="Q1291" t="s">
        <v>35</v>
      </c>
      <c r="R1291">
        <v>5</v>
      </c>
      <c r="S1291" t="str">
        <f t="shared" si="99"/>
        <v>Excellent</v>
      </c>
    </row>
    <row r="1292" spans="1:19" x14ac:dyDescent="0.25">
      <c r="A1292" t="s">
        <v>1707</v>
      </c>
      <c r="B1292">
        <v>45</v>
      </c>
      <c r="C1292" t="s">
        <v>16</v>
      </c>
      <c r="D1292" t="s">
        <v>2517</v>
      </c>
      <c r="E1292" t="s">
        <v>31</v>
      </c>
      <c r="F1292" t="s">
        <v>32</v>
      </c>
      <c r="G1292" t="s">
        <v>803</v>
      </c>
      <c r="H1292" t="str">
        <f>TEXT(walmart[[#This Row],[Purchase_Date]],"DDD")</f>
        <v>Fri</v>
      </c>
      <c r="I1292" t="str">
        <f>TEXT(walmart[[#This Row],[Purchase_Date]],"MMM")</f>
        <v>May</v>
      </c>
      <c r="J1292" t="str">
        <f>TEXT(walmart[[#This Row],[Purchase_Date]],"YYY")</f>
        <v>2024</v>
      </c>
      <c r="K1292" s="3">
        <v>493.96</v>
      </c>
      <c r="L1292" t="str">
        <f t="shared" si="96"/>
        <v>5% off</v>
      </c>
      <c r="N1292" t="str">
        <f t="shared" si="97"/>
        <v>Yes</v>
      </c>
      <c r="O1292" t="s">
        <v>21</v>
      </c>
      <c r="P1292" s="3">
        <f t="shared" si="98"/>
        <v>493.96</v>
      </c>
      <c r="Q1292" t="s">
        <v>27</v>
      </c>
      <c r="R1292">
        <v>1</v>
      </c>
      <c r="S1292" t="str">
        <f t="shared" si="99"/>
        <v>Very Poor</v>
      </c>
    </row>
    <row r="1293" spans="1:19" x14ac:dyDescent="0.25">
      <c r="A1293" t="s">
        <v>1708</v>
      </c>
      <c r="B1293">
        <v>61</v>
      </c>
      <c r="C1293" t="s">
        <v>16</v>
      </c>
      <c r="D1293" t="s">
        <v>2518</v>
      </c>
      <c r="E1293" t="s">
        <v>42</v>
      </c>
      <c r="F1293" t="s">
        <v>52</v>
      </c>
      <c r="G1293" t="s">
        <v>240</v>
      </c>
      <c r="H1293" t="str">
        <f>TEXT(walmart[[#This Row],[Purchase_Date]],"DDD")</f>
        <v>Mon</v>
      </c>
      <c r="I1293" t="str">
        <f>TEXT(walmart[[#This Row],[Purchase_Date]],"MMM")</f>
        <v>Apr</v>
      </c>
      <c r="J1293" t="str">
        <f>TEXT(walmart[[#This Row],[Purchase_Date]],"YYY")</f>
        <v>2024</v>
      </c>
      <c r="K1293" s="3">
        <v>988.77</v>
      </c>
      <c r="L1293" t="str">
        <f t="shared" si="96"/>
        <v>20% off</v>
      </c>
      <c r="N1293" t="str">
        <f t="shared" si="97"/>
        <v>Yes</v>
      </c>
      <c r="O1293" t="s">
        <v>34</v>
      </c>
      <c r="P1293" s="3">
        <f t="shared" si="98"/>
        <v>988.77</v>
      </c>
      <c r="Q1293" t="s">
        <v>35</v>
      </c>
      <c r="R1293">
        <v>2</v>
      </c>
      <c r="S1293" t="str">
        <f t="shared" si="99"/>
        <v>Poor</v>
      </c>
    </row>
    <row r="1294" spans="1:19" x14ac:dyDescent="0.25">
      <c r="A1294" t="s">
        <v>1709</v>
      </c>
      <c r="B1294">
        <v>27</v>
      </c>
      <c r="C1294" t="s">
        <v>29</v>
      </c>
      <c r="D1294" t="s">
        <v>2519</v>
      </c>
      <c r="E1294" t="s">
        <v>73</v>
      </c>
      <c r="F1294" t="s">
        <v>91</v>
      </c>
      <c r="G1294" t="s">
        <v>439</v>
      </c>
      <c r="H1294" t="str">
        <f>TEXT(walmart[[#This Row],[Purchase_Date]],"DDD")</f>
        <v>Sat</v>
      </c>
      <c r="I1294" t="str">
        <f>TEXT(walmart[[#This Row],[Purchase_Date]],"MMM")</f>
        <v>Aug</v>
      </c>
      <c r="J1294" t="str">
        <f>TEXT(walmart[[#This Row],[Purchase_Date]],"YYY")</f>
        <v>2024</v>
      </c>
      <c r="K1294" s="3">
        <v>418.55</v>
      </c>
      <c r="L1294" t="str">
        <f t="shared" si="96"/>
        <v>5% off</v>
      </c>
      <c r="N1294" t="str">
        <f t="shared" si="97"/>
        <v>Yes</v>
      </c>
      <c r="O1294" t="s">
        <v>34</v>
      </c>
      <c r="P1294" s="3">
        <f t="shared" si="98"/>
        <v>418.55</v>
      </c>
      <c r="Q1294" t="s">
        <v>47</v>
      </c>
      <c r="R1294">
        <v>1</v>
      </c>
      <c r="S1294" t="str">
        <f t="shared" si="99"/>
        <v>Very Poor</v>
      </c>
    </row>
    <row r="1295" spans="1:19" x14ac:dyDescent="0.25">
      <c r="A1295" t="s">
        <v>1710</v>
      </c>
      <c r="B1295">
        <v>58</v>
      </c>
      <c r="C1295" t="s">
        <v>16</v>
      </c>
      <c r="D1295" t="s">
        <v>2520</v>
      </c>
      <c r="E1295" t="s">
        <v>31</v>
      </c>
      <c r="F1295" t="s">
        <v>169</v>
      </c>
      <c r="G1295" t="s">
        <v>594</v>
      </c>
      <c r="H1295" t="str">
        <f>TEXT(walmart[[#This Row],[Purchase_Date]],"DDD")</f>
        <v>Thu</v>
      </c>
      <c r="I1295" t="str">
        <f>TEXT(walmart[[#This Row],[Purchase_Date]],"MMM")</f>
        <v>Nov</v>
      </c>
      <c r="J1295" t="str">
        <f>TEXT(walmart[[#This Row],[Purchase_Date]],"YYY")</f>
        <v>2024</v>
      </c>
      <c r="K1295" s="3">
        <v>52.44</v>
      </c>
      <c r="L1295" t="str">
        <f t="shared" si="96"/>
        <v>0% off</v>
      </c>
      <c r="N1295" t="str">
        <f t="shared" si="97"/>
        <v>No</v>
      </c>
      <c r="O1295" t="s">
        <v>34</v>
      </c>
      <c r="P1295" s="3">
        <f t="shared" si="98"/>
        <v>52.44</v>
      </c>
      <c r="Q1295" t="s">
        <v>27</v>
      </c>
      <c r="R1295">
        <v>4</v>
      </c>
      <c r="S1295" t="str">
        <f t="shared" si="99"/>
        <v>Good</v>
      </c>
    </row>
    <row r="1296" spans="1:19" x14ac:dyDescent="0.25">
      <c r="A1296" t="s">
        <v>1711</v>
      </c>
      <c r="B1296">
        <v>61</v>
      </c>
      <c r="C1296" t="s">
        <v>16</v>
      </c>
      <c r="D1296" t="s">
        <v>2521</v>
      </c>
      <c r="E1296" t="s">
        <v>37</v>
      </c>
      <c r="F1296" t="s">
        <v>82</v>
      </c>
      <c r="G1296" t="s">
        <v>231</v>
      </c>
      <c r="H1296" t="str">
        <f>TEXT(walmart[[#This Row],[Purchase_Date]],"DDD")</f>
        <v>Thu</v>
      </c>
      <c r="I1296" t="str">
        <f>TEXT(walmart[[#This Row],[Purchase_Date]],"MMM")</f>
        <v>Oct</v>
      </c>
      <c r="J1296" t="str">
        <f>TEXT(walmart[[#This Row],[Purchase_Date]],"YYY")</f>
        <v>2024</v>
      </c>
      <c r="K1296" s="3">
        <v>270.41000000000003</v>
      </c>
      <c r="L1296" t="str">
        <f t="shared" si="96"/>
        <v>5% off</v>
      </c>
      <c r="N1296" t="str">
        <f t="shared" si="97"/>
        <v>Yes</v>
      </c>
      <c r="O1296" t="s">
        <v>21</v>
      </c>
      <c r="P1296" s="3">
        <f t="shared" si="98"/>
        <v>270.41000000000003</v>
      </c>
      <c r="Q1296" t="s">
        <v>27</v>
      </c>
      <c r="R1296">
        <v>4</v>
      </c>
      <c r="S1296" t="str">
        <f t="shared" si="99"/>
        <v>Good</v>
      </c>
    </row>
    <row r="1297" spans="1:19" x14ac:dyDescent="0.25">
      <c r="A1297" t="s">
        <v>1712</v>
      </c>
      <c r="B1297">
        <v>52</v>
      </c>
      <c r="C1297" t="s">
        <v>29</v>
      </c>
      <c r="D1297" t="s">
        <v>2522</v>
      </c>
      <c r="E1297" t="s">
        <v>24</v>
      </c>
      <c r="F1297" t="s">
        <v>25</v>
      </c>
      <c r="G1297" t="s">
        <v>959</v>
      </c>
      <c r="H1297" t="str">
        <f>TEXT(walmart[[#This Row],[Purchase_Date]],"DDD")</f>
        <v>Mon</v>
      </c>
      <c r="I1297" t="str">
        <f>TEXT(walmart[[#This Row],[Purchase_Date]],"MMM")</f>
        <v>Dec</v>
      </c>
      <c r="J1297" t="str">
        <f>TEXT(walmart[[#This Row],[Purchase_Date]],"YYY")</f>
        <v>2024</v>
      </c>
      <c r="K1297" s="3">
        <v>67.040000000000006</v>
      </c>
      <c r="L1297" t="str">
        <f t="shared" si="96"/>
        <v>0% off</v>
      </c>
      <c r="N1297" t="str">
        <f t="shared" si="97"/>
        <v>No</v>
      </c>
      <c r="O1297" t="s">
        <v>21</v>
      </c>
      <c r="P1297" s="3">
        <f t="shared" si="98"/>
        <v>67.040000000000006</v>
      </c>
      <c r="Q1297" t="s">
        <v>27</v>
      </c>
      <c r="R1297">
        <v>1</v>
      </c>
      <c r="S1297" t="str">
        <f t="shared" si="99"/>
        <v>Very Poor</v>
      </c>
    </row>
    <row r="1298" spans="1:19" x14ac:dyDescent="0.25">
      <c r="A1298" t="s">
        <v>1713</v>
      </c>
      <c r="B1298">
        <v>45</v>
      </c>
      <c r="C1298" t="s">
        <v>16</v>
      </c>
      <c r="D1298" t="s">
        <v>2485</v>
      </c>
      <c r="E1298" t="s">
        <v>42</v>
      </c>
      <c r="F1298" t="s">
        <v>103</v>
      </c>
      <c r="G1298" t="s">
        <v>1218</v>
      </c>
      <c r="H1298" t="str">
        <f>TEXT(walmart[[#This Row],[Purchase_Date]],"DDD")</f>
        <v>Thu</v>
      </c>
      <c r="I1298" t="str">
        <f>TEXT(walmart[[#This Row],[Purchase_Date]],"MMM")</f>
        <v>May</v>
      </c>
      <c r="J1298" t="str">
        <f>TEXT(walmart[[#This Row],[Purchase_Date]],"YYY")</f>
        <v>2024</v>
      </c>
      <c r="K1298" s="3">
        <v>315.56</v>
      </c>
      <c r="L1298" t="str">
        <f t="shared" si="96"/>
        <v>5% off</v>
      </c>
      <c r="N1298" t="str">
        <f t="shared" si="97"/>
        <v>Yes</v>
      </c>
      <c r="O1298" t="s">
        <v>34</v>
      </c>
      <c r="P1298" s="3">
        <f t="shared" si="98"/>
        <v>315.56</v>
      </c>
      <c r="Q1298" t="s">
        <v>35</v>
      </c>
      <c r="R1298">
        <v>5</v>
      </c>
      <c r="S1298" t="str">
        <f t="shared" si="99"/>
        <v>Excellent</v>
      </c>
    </row>
    <row r="1299" spans="1:19" x14ac:dyDescent="0.25">
      <c r="A1299" t="s">
        <v>1714</v>
      </c>
      <c r="B1299">
        <v>42</v>
      </c>
      <c r="C1299" t="s">
        <v>16</v>
      </c>
      <c r="D1299" t="s">
        <v>2523</v>
      </c>
      <c r="E1299" t="s">
        <v>18</v>
      </c>
      <c r="F1299" t="s">
        <v>19</v>
      </c>
      <c r="G1299" t="s">
        <v>714</v>
      </c>
      <c r="H1299" t="str">
        <f>TEXT(walmart[[#This Row],[Purchase_Date]],"DDD")</f>
        <v>Sun</v>
      </c>
      <c r="I1299" t="str">
        <f>TEXT(walmart[[#This Row],[Purchase_Date]],"MMM")</f>
        <v>Jan</v>
      </c>
      <c r="J1299" t="str">
        <f>TEXT(walmart[[#This Row],[Purchase_Date]],"YYY")</f>
        <v>2025</v>
      </c>
      <c r="K1299" s="3">
        <v>697.86</v>
      </c>
      <c r="L1299" t="str">
        <f t="shared" si="96"/>
        <v>10% off</v>
      </c>
      <c r="N1299" t="str">
        <f t="shared" si="97"/>
        <v>Yes</v>
      </c>
      <c r="O1299" t="s">
        <v>21</v>
      </c>
      <c r="P1299" s="3">
        <f t="shared" si="98"/>
        <v>697.86</v>
      </c>
      <c r="Q1299" t="s">
        <v>35</v>
      </c>
      <c r="R1299">
        <v>3</v>
      </c>
      <c r="S1299" t="str">
        <f t="shared" si="99"/>
        <v>Average</v>
      </c>
    </row>
    <row r="1300" spans="1:19" x14ac:dyDescent="0.25">
      <c r="A1300" t="s">
        <v>1715</v>
      </c>
      <c r="B1300">
        <v>39</v>
      </c>
      <c r="C1300" t="s">
        <v>29</v>
      </c>
      <c r="D1300" t="s">
        <v>2518</v>
      </c>
      <c r="E1300" t="s">
        <v>24</v>
      </c>
      <c r="F1300" t="s">
        <v>25</v>
      </c>
      <c r="G1300" t="s">
        <v>295</v>
      </c>
      <c r="H1300" t="str">
        <f>TEXT(walmart[[#This Row],[Purchase_Date]],"DDD")</f>
        <v>Sun</v>
      </c>
      <c r="I1300" t="str">
        <f>TEXT(walmart[[#This Row],[Purchase_Date]],"MMM")</f>
        <v>Mar</v>
      </c>
      <c r="J1300" t="str">
        <f>TEXT(walmart[[#This Row],[Purchase_Date]],"YYY")</f>
        <v>2025</v>
      </c>
      <c r="K1300" s="3">
        <v>67.040000000000006</v>
      </c>
      <c r="L1300" t="str">
        <f t="shared" si="96"/>
        <v>0% off</v>
      </c>
      <c r="N1300" t="str">
        <f t="shared" si="97"/>
        <v>No</v>
      </c>
      <c r="O1300" t="s">
        <v>21</v>
      </c>
      <c r="P1300" s="3">
        <f t="shared" si="98"/>
        <v>67.040000000000006</v>
      </c>
      <c r="Q1300" t="s">
        <v>27</v>
      </c>
      <c r="R1300">
        <v>5</v>
      </c>
      <c r="S1300" t="str">
        <f t="shared" si="99"/>
        <v>Excellent</v>
      </c>
    </row>
    <row r="1301" spans="1:19" x14ac:dyDescent="0.25">
      <c r="A1301" t="s">
        <v>1716</v>
      </c>
      <c r="B1301">
        <v>47</v>
      </c>
      <c r="C1301" t="s">
        <v>16</v>
      </c>
      <c r="D1301" t="s">
        <v>2524</v>
      </c>
      <c r="E1301" t="s">
        <v>55</v>
      </c>
      <c r="F1301" t="s">
        <v>56</v>
      </c>
      <c r="G1301" t="s">
        <v>98</v>
      </c>
      <c r="H1301" t="str">
        <f>TEXT(walmart[[#This Row],[Purchase_Date]],"DDD")</f>
        <v>Sun</v>
      </c>
      <c r="I1301" t="str">
        <f>TEXT(walmart[[#This Row],[Purchase_Date]],"MMM")</f>
        <v>Aug</v>
      </c>
      <c r="J1301" t="str">
        <f>TEXT(walmart[[#This Row],[Purchase_Date]],"YYY")</f>
        <v>2024</v>
      </c>
      <c r="K1301" s="3">
        <v>76.81</v>
      </c>
      <c r="L1301" t="str">
        <f t="shared" si="96"/>
        <v>0% off</v>
      </c>
      <c r="N1301" t="str">
        <f t="shared" si="97"/>
        <v>No</v>
      </c>
      <c r="O1301" t="s">
        <v>21</v>
      </c>
      <c r="P1301" s="3">
        <f t="shared" si="98"/>
        <v>76.81</v>
      </c>
      <c r="Q1301" t="s">
        <v>47</v>
      </c>
      <c r="R1301">
        <v>3</v>
      </c>
      <c r="S1301" t="str">
        <f t="shared" si="99"/>
        <v>Average</v>
      </c>
    </row>
    <row r="1302" spans="1:19" x14ac:dyDescent="0.25">
      <c r="A1302" t="s">
        <v>1717</v>
      </c>
      <c r="B1302">
        <v>35</v>
      </c>
      <c r="C1302" t="s">
        <v>29</v>
      </c>
      <c r="D1302" t="s">
        <v>2525</v>
      </c>
      <c r="E1302" t="s">
        <v>42</v>
      </c>
      <c r="F1302" t="s">
        <v>103</v>
      </c>
      <c r="G1302" t="s">
        <v>612</v>
      </c>
      <c r="H1302" t="str">
        <f>TEXT(walmart[[#This Row],[Purchase_Date]],"DDD")</f>
        <v>Fri</v>
      </c>
      <c r="I1302" t="str">
        <f>TEXT(walmart[[#This Row],[Purchase_Date]],"MMM")</f>
        <v>Apr</v>
      </c>
      <c r="J1302" t="str">
        <f>TEXT(walmart[[#This Row],[Purchase_Date]],"YYY")</f>
        <v>2024</v>
      </c>
      <c r="K1302" s="3">
        <v>315.56</v>
      </c>
      <c r="L1302" t="str">
        <f t="shared" si="96"/>
        <v>5% off</v>
      </c>
      <c r="N1302" t="str">
        <f t="shared" si="97"/>
        <v>Yes</v>
      </c>
      <c r="O1302" t="s">
        <v>21</v>
      </c>
      <c r="P1302" s="3">
        <f t="shared" si="98"/>
        <v>315.56</v>
      </c>
      <c r="Q1302" t="s">
        <v>22</v>
      </c>
      <c r="R1302">
        <v>4</v>
      </c>
      <c r="S1302" t="str">
        <f t="shared" si="99"/>
        <v>Good</v>
      </c>
    </row>
    <row r="1303" spans="1:19" x14ac:dyDescent="0.25">
      <c r="A1303" t="s">
        <v>1718</v>
      </c>
      <c r="B1303">
        <v>19</v>
      </c>
      <c r="C1303" t="s">
        <v>16</v>
      </c>
      <c r="D1303" t="s">
        <v>2487</v>
      </c>
      <c r="E1303" t="s">
        <v>73</v>
      </c>
      <c r="F1303" t="s">
        <v>94</v>
      </c>
      <c r="G1303" t="s">
        <v>132</v>
      </c>
      <c r="H1303" t="str">
        <f>TEXT(walmart[[#This Row],[Purchase_Date]],"DDD")</f>
        <v>Fri</v>
      </c>
      <c r="I1303" t="str">
        <f>TEXT(walmart[[#This Row],[Purchase_Date]],"MMM")</f>
        <v>Jul</v>
      </c>
      <c r="J1303" t="str">
        <f>TEXT(walmart[[#This Row],[Purchase_Date]],"YYY")</f>
        <v>2024</v>
      </c>
      <c r="K1303" s="3">
        <v>965.09</v>
      </c>
      <c r="L1303" t="str">
        <f t="shared" si="96"/>
        <v>20% off</v>
      </c>
      <c r="N1303" t="str">
        <f t="shared" si="97"/>
        <v>Yes</v>
      </c>
      <c r="O1303" t="s">
        <v>21</v>
      </c>
      <c r="P1303" s="3">
        <f t="shared" si="98"/>
        <v>965.09</v>
      </c>
      <c r="Q1303" t="s">
        <v>27</v>
      </c>
      <c r="R1303">
        <v>1</v>
      </c>
      <c r="S1303" t="str">
        <f t="shared" si="99"/>
        <v>Very Poor</v>
      </c>
    </row>
    <row r="1304" spans="1:19" x14ac:dyDescent="0.25">
      <c r="A1304" t="s">
        <v>1719</v>
      </c>
      <c r="B1304">
        <v>23</v>
      </c>
      <c r="C1304" t="s">
        <v>16</v>
      </c>
      <c r="D1304" t="s">
        <v>2519</v>
      </c>
      <c r="E1304" t="s">
        <v>18</v>
      </c>
      <c r="F1304" t="s">
        <v>142</v>
      </c>
      <c r="G1304" t="s">
        <v>534</v>
      </c>
      <c r="H1304" t="str">
        <f>TEXT(walmart[[#This Row],[Purchase_Date]],"DDD")</f>
        <v>Tue</v>
      </c>
      <c r="I1304" t="str">
        <f>TEXT(walmart[[#This Row],[Purchase_Date]],"MMM")</f>
        <v>Feb</v>
      </c>
      <c r="J1304" t="str">
        <f>TEXT(walmart[[#This Row],[Purchase_Date]],"YYY")</f>
        <v>2025</v>
      </c>
      <c r="K1304" s="3">
        <v>485.26</v>
      </c>
      <c r="L1304" t="str">
        <f t="shared" si="96"/>
        <v>5% off</v>
      </c>
      <c r="N1304" t="str">
        <f t="shared" si="97"/>
        <v>Yes</v>
      </c>
      <c r="O1304" t="s">
        <v>34</v>
      </c>
      <c r="P1304" s="3">
        <f t="shared" si="98"/>
        <v>485.26</v>
      </c>
      <c r="Q1304" t="s">
        <v>35</v>
      </c>
      <c r="R1304">
        <v>3</v>
      </c>
      <c r="S1304" t="str">
        <f t="shared" si="99"/>
        <v>Average</v>
      </c>
    </row>
    <row r="1305" spans="1:19" x14ac:dyDescent="0.25">
      <c r="A1305" t="s">
        <v>1720</v>
      </c>
      <c r="B1305">
        <v>41</v>
      </c>
      <c r="C1305" t="s">
        <v>16</v>
      </c>
      <c r="D1305" t="s">
        <v>2520</v>
      </c>
      <c r="E1305" t="s">
        <v>18</v>
      </c>
      <c r="F1305" t="s">
        <v>59</v>
      </c>
      <c r="G1305" t="s">
        <v>355</v>
      </c>
      <c r="H1305" t="str">
        <f>TEXT(walmart[[#This Row],[Purchase_Date]],"DDD")</f>
        <v>Fri</v>
      </c>
      <c r="I1305" t="str">
        <f>TEXT(walmart[[#This Row],[Purchase_Date]],"MMM")</f>
        <v>Nov</v>
      </c>
      <c r="J1305" t="str">
        <f>TEXT(walmart[[#This Row],[Purchase_Date]],"YYY")</f>
        <v>2024</v>
      </c>
      <c r="K1305" s="3">
        <v>78.349999999999994</v>
      </c>
      <c r="L1305" t="str">
        <f t="shared" si="96"/>
        <v>0% off</v>
      </c>
      <c r="N1305" t="str">
        <f t="shared" si="97"/>
        <v>No</v>
      </c>
      <c r="O1305" t="s">
        <v>21</v>
      </c>
      <c r="P1305" s="3">
        <f t="shared" si="98"/>
        <v>78.349999999999994</v>
      </c>
      <c r="Q1305" t="s">
        <v>47</v>
      </c>
      <c r="R1305">
        <v>1</v>
      </c>
      <c r="S1305" t="str">
        <f t="shared" si="99"/>
        <v>Very Poor</v>
      </c>
    </row>
    <row r="1306" spans="1:19" x14ac:dyDescent="0.25">
      <c r="A1306" t="s">
        <v>1721</v>
      </c>
      <c r="B1306">
        <v>55</v>
      </c>
      <c r="C1306" t="s">
        <v>29</v>
      </c>
      <c r="D1306" t="s">
        <v>2526</v>
      </c>
      <c r="E1306" t="s">
        <v>18</v>
      </c>
      <c r="F1306" t="s">
        <v>19</v>
      </c>
      <c r="G1306" t="s">
        <v>71</v>
      </c>
      <c r="H1306" t="str">
        <f>TEXT(walmart[[#This Row],[Purchase_Date]],"DDD")</f>
        <v>Wed</v>
      </c>
      <c r="I1306" t="str">
        <f>TEXT(walmart[[#This Row],[Purchase_Date]],"MMM")</f>
        <v>Jul</v>
      </c>
      <c r="J1306" t="str">
        <f>TEXT(walmart[[#This Row],[Purchase_Date]],"YYY")</f>
        <v>2024</v>
      </c>
      <c r="K1306" s="3">
        <v>697.86</v>
      </c>
      <c r="L1306" t="str">
        <f t="shared" si="96"/>
        <v>10% off</v>
      </c>
      <c r="N1306" t="str">
        <f t="shared" si="97"/>
        <v>Yes</v>
      </c>
      <c r="O1306" t="s">
        <v>21</v>
      </c>
      <c r="P1306" s="3">
        <f t="shared" si="98"/>
        <v>697.86</v>
      </c>
      <c r="Q1306" t="s">
        <v>22</v>
      </c>
      <c r="R1306">
        <v>3</v>
      </c>
      <c r="S1306" t="str">
        <f t="shared" si="99"/>
        <v>Average</v>
      </c>
    </row>
    <row r="1307" spans="1:19" x14ac:dyDescent="0.25">
      <c r="A1307" t="s">
        <v>1722</v>
      </c>
      <c r="B1307">
        <v>33</v>
      </c>
      <c r="C1307" t="s">
        <v>29</v>
      </c>
      <c r="D1307" t="s">
        <v>2527</v>
      </c>
      <c r="E1307" t="s">
        <v>37</v>
      </c>
      <c r="F1307" t="s">
        <v>97</v>
      </c>
      <c r="G1307" t="s">
        <v>315</v>
      </c>
      <c r="H1307" t="str">
        <f>TEXT(walmart[[#This Row],[Purchase_Date]],"DDD")</f>
        <v>Mon</v>
      </c>
      <c r="I1307" t="str">
        <f>TEXT(walmart[[#This Row],[Purchase_Date]],"MMM")</f>
        <v>Apr</v>
      </c>
      <c r="J1307" t="str">
        <f>TEXT(walmart[[#This Row],[Purchase_Date]],"YYY")</f>
        <v>2024</v>
      </c>
      <c r="K1307" s="3">
        <v>855.21</v>
      </c>
      <c r="L1307" t="str">
        <f t="shared" si="96"/>
        <v>15% off</v>
      </c>
      <c r="N1307" t="str">
        <f t="shared" si="97"/>
        <v>Yes</v>
      </c>
      <c r="O1307" t="s">
        <v>34</v>
      </c>
      <c r="P1307" s="3">
        <f t="shared" si="98"/>
        <v>855.21</v>
      </c>
      <c r="Q1307" t="s">
        <v>27</v>
      </c>
      <c r="R1307">
        <v>1</v>
      </c>
      <c r="S1307" t="str">
        <f t="shared" si="99"/>
        <v>Very Poor</v>
      </c>
    </row>
    <row r="1308" spans="1:19" x14ac:dyDescent="0.25">
      <c r="A1308" t="s">
        <v>1723</v>
      </c>
      <c r="B1308">
        <v>49</v>
      </c>
      <c r="C1308" t="s">
        <v>16</v>
      </c>
      <c r="D1308" t="s">
        <v>2528</v>
      </c>
      <c r="E1308" t="s">
        <v>73</v>
      </c>
      <c r="F1308" t="s">
        <v>74</v>
      </c>
      <c r="G1308" t="s">
        <v>212</v>
      </c>
      <c r="H1308" t="str">
        <f>TEXT(walmart[[#This Row],[Purchase_Date]],"DDD")</f>
        <v>Sat</v>
      </c>
      <c r="I1308" t="str">
        <f>TEXT(walmart[[#This Row],[Purchase_Date]],"MMM")</f>
        <v>Aug</v>
      </c>
      <c r="J1308" t="str">
        <f>TEXT(walmart[[#This Row],[Purchase_Date]],"YYY")</f>
        <v>2024</v>
      </c>
      <c r="K1308" s="3">
        <v>782.29</v>
      </c>
      <c r="L1308" t="str">
        <f t="shared" si="96"/>
        <v>15% off</v>
      </c>
      <c r="N1308" t="str">
        <f t="shared" si="97"/>
        <v>Yes</v>
      </c>
      <c r="O1308" t="s">
        <v>34</v>
      </c>
      <c r="P1308" s="3">
        <f t="shared" si="98"/>
        <v>782.29</v>
      </c>
      <c r="Q1308" t="s">
        <v>47</v>
      </c>
      <c r="R1308">
        <v>1</v>
      </c>
      <c r="S1308" t="str">
        <f t="shared" si="99"/>
        <v>Very Poor</v>
      </c>
    </row>
    <row r="1309" spans="1:19" x14ac:dyDescent="0.25">
      <c r="A1309" t="s">
        <v>1724</v>
      </c>
      <c r="B1309">
        <v>23</v>
      </c>
      <c r="C1309" t="s">
        <v>29</v>
      </c>
      <c r="D1309" t="s">
        <v>2529</v>
      </c>
      <c r="E1309" t="s">
        <v>37</v>
      </c>
      <c r="F1309" t="s">
        <v>97</v>
      </c>
      <c r="G1309" t="s">
        <v>467</v>
      </c>
      <c r="H1309" t="str">
        <f>TEXT(walmart[[#This Row],[Purchase_Date]],"DDD")</f>
        <v>Fri</v>
      </c>
      <c r="I1309" t="str">
        <f>TEXT(walmart[[#This Row],[Purchase_Date]],"MMM")</f>
        <v>Apr</v>
      </c>
      <c r="J1309" t="str">
        <f>TEXT(walmart[[#This Row],[Purchase_Date]],"YYY")</f>
        <v>2024</v>
      </c>
      <c r="K1309" s="3">
        <v>855.21</v>
      </c>
      <c r="L1309" t="str">
        <f t="shared" si="96"/>
        <v>15% off</v>
      </c>
      <c r="N1309" t="str">
        <f t="shared" si="97"/>
        <v>Yes</v>
      </c>
      <c r="O1309" t="s">
        <v>21</v>
      </c>
      <c r="P1309" s="3">
        <f t="shared" si="98"/>
        <v>855.21</v>
      </c>
      <c r="Q1309" t="s">
        <v>27</v>
      </c>
      <c r="R1309">
        <v>3</v>
      </c>
      <c r="S1309" t="str">
        <f t="shared" si="99"/>
        <v>Average</v>
      </c>
    </row>
    <row r="1310" spans="1:19" x14ac:dyDescent="0.25">
      <c r="A1310" t="s">
        <v>1725</v>
      </c>
      <c r="B1310">
        <v>69</v>
      </c>
      <c r="C1310" t="s">
        <v>16</v>
      </c>
      <c r="D1310" t="s">
        <v>2530</v>
      </c>
      <c r="E1310" t="s">
        <v>37</v>
      </c>
      <c r="F1310" t="s">
        <v>97</v>
      </c>
      <c r="G1310" t="s">
        <v>803</v>
      </c>
      <c r="H1310" t="str">
        <f>TEXT(walmart[[#This Row],[Purchase_Date]],"DDD")</f>
        <v>Fri</v>
      </c>
      <c r="I1310" t="str">
        <f>TEXT(walmart[[#This Row],[Purchase_Date]],"MMM")</f>
        <v>May</v>
      </c>
      <c r="J1310" t="str">
        <f>TEXT(walmart[[#This Row],[Purchase_Date]],"YYY")</f>
        <v>2024</v>
      </c>
      <c r="K1310" s="3">
        <v>855.21</v>
      </c>
      <c r="L1310" t="str">
        <f t="shared" si="96"/>
        <v>15% off</v>
      </c>
      <c r="N1310" t="str">
        <f t="shared" si="97"/>
        <v>Yes</v>
      </c>
      <c r="O1310" t="s">
        <v>21</v>
      </c>
      <c r="P1310" s="3">
        <f t="shared" si="98"/>
        <v>855.21</v>
      </c>
      <c r="Q1310" t="s">
        <v>27</v>
      </c>
      <c r="R1310">
        <v>2</v>
      </c>
      <c r="S1310" t="str">
        <f t="shared" si="99"/>
        <v>Poor</v>
      </c>
    </row>
    <row r="1311" spans="1:19" x14ac:dyDescent="0.25">
      <c r="A1311" t="s">
        <v>1726</v>
      </c>
      <c r="B1311">
        <v>45</v>
      </c>
      <c r="C1311" t="s">
        <v>16</v>
      </c>
      <c r="D1311" t="s">
        <v>2531</v>
      </c>
      <c r="E1311" t="s">
        <v>73</v>
      </c>
      <c r="F1311" t="s">
        <v>91</v>
      </c>
      <c r="G1311" t="s">
        <v>685</v>
      </c>
      <c r="H1311" t="str">
        <f>TEXT(walmart[[#This Row],[Purchase_Date]],"DDD")</f>
        <v>Fri</v>
      </c>
      <c r="I1311" t="str">
        <f>TEXT(walmart[[#This Row],[Purchase_Date]],"MMM")</f>
        <v>May</v>
      </c>
      <c r="J1311" t="str">
        <f>TEXT(walmart[[#This Row],[Purchase_Date]],"YYY")</f>
        <v>2024</v>
      </c>
      <c r="K1311" s="3">
        <v>418.55</v>
      </c>
      <c r="L1311" t="str">
        <f t="shared" si="96"/>
        <v>5% off</v>
      </c>
      <c r="N1311" t="str">
        <f t="shared" si="97"/>
        <v>Yes</v>
      </c>
      <c r="O1311" t="s">
        <v>34</v>
      </c>
      <c r="P1311" s="3">
        <f t="shared" si="98"/>
        <v>418.55</v>
      </c>
      <c r="Q1311" t="s">
        <v>22</v>
      </c>
      <c r="R1311">
        <v>5</v>
      </c>
      <c r="S1311" t="str">
        <f t="shared" si="99"/>
        <v>Excellent</v>
      </c>
    </row>
    <row r="1312" spans="1:19" x14ac:dyDescent="0.25">
      <c r="A1312" t="s">
        <v>1727</v>
      </c>
      <c r="B1312">
        <v>48</v>
      </c>
      <c r="C1312" t="s">
        <v>16</v>
      </c>
      <c r="D1312" t="s">
        <v>2532</v>
      </c>
      <c r="E1312" t="s">
        <v>18</v>
      </c>
      <c r="F1312" t="s">
        <v>19</v>
      </c>
      <c r="G1312" t="s">
        <v>256</v>
      </c>
      <c r="H1312" t="str">
        <f>TEXT(walmart[[#This Row],[Purchase_Date]],"DDD")</f>
        <v>Sat</v>
      </c>
      <c r="I1312" t="str">
        <f>TEXT(walmart[[#This Row],[Purchase_Date]],"MMM")</f>
        <v>May</v>
      </c>
      <c r="J1312" t="str">
        <f>TEXT(walmart[[#This Row],[Purchase_Date]],"YYY")</f>
        <v>2024</v>
      </c>
      <c r="K1312" s="3">
        <v>697.86</v>
      </c>
      <c r="L1312" t="str">
        <f t="shared" si="96"/>
        <v>10% off</v>
      </c>
      <c r="N1312" t="str">
        <f t="shared" si="97"/>
        <v>Yes</v>
      </c>
      <c r="O1312" t="s">
        <v>34</v>
      </c>
      <c r="P1312" s="3">
        <f t="shared" si="98"/>
        <v>697.86</v>
      </c>
      <c r="Q1312" t="s">
        <v>27</v>
      </c>
      <c r="R1312">
        <v>5</v>
      </c>
      <c r="S1312" t="str">
        <f t="shared" si="99"/>
        <v>Excellent</v>
      </c>
    </row>
    <row r="1313" spans="1:19" x14ac:dyDescent="0.25">
      <c r="A1313" t="s">
        <v>1728</v>
      </c>
      <c r="B1313">
        <v>18</v>
      </c>
      <c r="C1313" t="s">
        <v>16</v>
      </c>
      <c r="D1313" t="s">
        <v>2533</v>
      </c>
      <c r="E1313" t="s">
        <v>24</v>
      </c>
      <c r="F1313" t="s">
        <v>186</v>
      </c>
      <c r="G1313" t="s">
        <v>371</v>
      </c>
      <c r="H1313" t="str">
        <f>TEXT(walmart[[#This Row],[Purchase_Date]],"DDD")</f>
        <v>Mon</v>
      </c>
      <c r="I1313" t="str">
        <f>TEXT(walmart[[#This Row],[Purchase_Date]],"MMM")</f>
        <v>Jul</v>
      </c>
      <c r="J1313" t="str">
        <f>TEXT(walmart[[#This Row],[Purchase_Date]],"YYY")</f>
        <v>2024</v>
      </c>
      <c r="K1313" s="3">
        <v>527.16999999999996</v>
      </c>
      <c r="L1313" t="str">
        <f t="shared" si="96"/>
        <v>10% off</v>
      </c>
      <c r="N1313" t="str">
        <f t="shared" si="97"/>
        <v>Yes</v>
      </c>
      <c r="O1313" t="s">
        <v>34</v>
      </c>
      <c r="P1313" s="3">
        <f t="shared" si="98"/>
        <v>527.16999999999996</v>
      </c>
      <c r="Q1313" t="s">
        <v>47</v>
      </c>
      <c r="R1313">
        <v>1</v>
      </c>
      <c r="S1313" t="str">
        <f t="shared" si="99"/>
        <v>Very Poor</v>
      </c>
    </row>
    <row r="1314" spans="1:19" x14ac:dyDescent="0.25">
      <c r="A1314" t="s">
        <v>1729</v>
      </c>
      <c r="B1314">
        <v>59</v>
      </c>
      <c r="C1314" t="s">
        <v>29</v>
      </c>
      <c r="D1314" t="s">
        <v>2534</v>
      </c>
      <c r="E1314" t="s">
        <v>42</v>
      </c>
      <c r="F1314" t="s">
        <v>52</v>
      </c>
      <c r="G1314" t="s">
        <v>913</v>
      </c>
      <c r="H1314" t="str">
        <f>TEXT(walmart[[#This Row],[Purchase_Date]],"DDD")</f>
        <v>Thu</v>
      </c>
      <c r="I1314" t="str">
        <f>TEXT(walmart[[#This Row],[Purchase_Date]],"MMM")</f>
        <v>Jan</v>
      </c>
      <c r="J1314" t="str">
        <f>TEXT(walmart[[#This Row],[Purchase_Date]],"YYY")</f>
        <v>2025</v>
      </c>
      <c r="K1314" s="3">
        <v>988.77</v>
      </c>
      <c r="L1314" t="str">
        <f t="shared" si="96"/>
        <v>20% off</v>
      </c>
      <c r="N1314" t="str">
        <f t="shared" si="97"/>
        <v>Yes</v>
      </c>
      <c r="O1314" t="s">
        <v>34</v>
      </c>
      <c r="P1314" s="3">
        <f t="shared" si="98"/>
        <v>988.77</v>
      </c>
      <c r="Q1314" t="s">
        <v>35</v>
      </c>
      <c r="R1314">
        <v>1</v>
      </c>
      <c r="S1314" t="str">
        <f t="shared" si="99"/>
        <v>Very Poor</v>
      </c>
    </row>
    <row r="1315" spans="1:19" x14ac:dyDescent="0.25">
      <c r="A1315" t="s">
        <v>1730</v>
      </c>
      <c r="B1315">
        <v>51</v>
      </c>
      <c r="C1315" t="s">
        <v>29</v>
      </c>
      <c r="D1315" t="s">
        <v>2535</v>
      </c>
      <c r="E1315" t="s">
        <v>37</v>
      </c>
      <c r="F1315" t="s">
        <v>38</v>
      </c>
      <c r="G1315" t="s">
        <v>1731</v>
      </c>
      <c r="H1315" t="str">
        <f>TEXT(walmart[[#This Row],[Purchase_Date]],"DDD")</f>
        <v>Wed</v>
      </c>
      <c r="I1315" t="str">
        <f>TEXT(walmart[[#This Row],[Purchase_Date]],"MMM")</f>
        <v>Jun</v>
      </c>
      <c r="J1315" t="str">
        <f>TEXT(walmart[[#This Row],[Purchase_Date]],"YYY")</f>
        <v>2024</v>
      </c>
      <c r="K1315" s="3">
        <v>211.46</v>
      </c>
      <c r="L1315" t="str">
        <f t="shared" si="96"/>
        <v>5% off</v>
      </c>
      <c r="N1315" t="str">
        <f t="shared" si="97"/>
        <v>Yes</v>
      </c>
      <c r="O1315" t="s">
        <v>21</v>
      </c>
      <c r="P1315" s="3">
        <f t="shared" si="98"/>
        <v>211.46</v>
      </c>
      <c r="Q1315" t="s">
        <v>47</v>
      </c>
      <c r="R1315">
        <v>2</v>
      </c>
      <c r="S1315" t="str">
        <f t="shared" si="99"/>
        <v>Poor</v>
      </c>
    </row>
    <row r="1316" spans="1:19" x14ac:dyDescent="0.25">
      <c r="A1316" t="s">
        <v>1732</v>
      </c>
      <c r="B1316">
        <v>30</v>
      </c>
      <c r="C1316" t="s">
        <v>29</v>
      </c>
      <c r="D1316" t="s">
        <v>2518</v>
      </c>
      <c r="E1316" t="s">
        <v>31</v>
      </c>
      <c r="F1316" t="s">
        <v>169</v>
      </c>
      <c r="G1316" t="s">
        <v>855</v>
      </c>
      <c r="H1316" t="str">
        <f>TEXT(walmart[[#This Row],[Purchase_Date]],"DDD")</f>
        <v>Thu</v>
      </c>
      <c r="I1316" t="str">
        <f>TEXT(walmart[[#This Row],[Purchase_Date]],"MMM")</f>
        <v>Nov</v>
      </c>
      <c r="J1316" t="str">
        <f>TEXT(walmart[[#This Row],[Purchase_Date]],"YYY")</f>
        <v>2024</v>
      </c>
      <c r="K1316" s="3">
        <v>52.44</v>
      </c>
      <c r="L1316" t="str">
        <f t="shared" si="96"/>
        <v>0% off</v>
      </c>
      <c r="N1316" t="str">
        <f t="shared" si="97"/>
        <v>No</v>
      </c>
      <c r="O1316" t="s">
        <v>21</v>
      </c>
      <c r="P1316" s="3">
        <f t="shared" si="98"/>
        <v>52.44</v>
      </c>
      <c r="Q1316" t="s">
        <v>27</v>
      </c>
      <c r="R1316">
        <v>5</v>
      </c>
      <c r="S1316" t="str">
        <f t="shared" si="99"/>
        <v>Excellent</v>
      </c>
    </row>
    <row r="1317" spans="1:19" x14ac:dyDescent="0.25">
      <c r="A1317" t="s">
        <v>1733</v>
      </c>
      <c r="B1317">
        <v>44</v>
      </c>
      <c r="C1317" t="s">
        <v>29</v>
      </c>
      <c r="D1317" t="s">
        <v>2536</v>
      </c>
      <c r="E1317" t="s">
        <v>55</v>
      </c>
      <c r="F1317" t="s">
        <v>64</v>
      </c>
      <c r="G1317" t="s">
        <v>547</v>
      </c>
      <c r="H1317" t="str">
        <f>TEXT(walmart[[#This Row],[Purchase_Date]],"DDD")</f>
        <v>Fri</v>
      </c>
      <c r="I1317" t="str">
        <f>TEXT(walmart[[#This Row],[Purchase_Date]],"MMM")</f>
        <v>May</v>
      </c>
      <c r="J1317" t="str">
        <f>TEXT(walmart[[#This Row],[Purchase_Date]],"YYY")</f>
        <v>2024</v>
      </c>
      <c r="K1317" s="3">
        <v>374.92</v>
      </c>
      <c r="L1317" t="str">
        <f t="shared" si="96"/>
        <v>5% off</v>
      </c>
      <c r="N1317" t="str">
        <f t="shared" si="97"/>
        <v>Yes</v>
      </c>
      <c r="O1317" t="s">
        <v>21</v>
      </c>
      <c r="P1317" s="3">
        <f t="shared" si="98"/>
        <v>374.92</v>
      </c>
      <c r="Q1317" t="s">
        <v>22</v>
      </c>
      <c r="R1317">
        <v>4</v>
      </c>
      <c r="S1317" t="str">
        <f t="shared" si="99"/>
        <v>Good</v>
      </c>
    </row>
    <row r="1318" spans="1:19" x14ac:dyDescent="0.25">
      <c r="A1318" t="s">
        <v>1734</v>
      </c>
      <c r="B1318">
        <v>43</v>
      </c>
      <c r="C1318" t="s">
        <v>16</v>
      </c>
      <c r="D1318" t="s">
        <v>2537</v>
      </c>
      <c r="E1318" t="s">
        <v>24</v>
      </c>
      <c r="F1318" t="s">
        <v>25</v>
      </c>
      <c r="G1318" t="s">
        <v>366</v>
      </c>
      <c r="H1318" t="str">
        <f>TEXT(walmart[[#This Row],[Purchase_Date]],"DDD")</f>
        <v>Fri</v>
      </c>
      <c r="I1318" t="str">
        <f>TEXT(walmart[[#This Row],[Purchase_Date]],"MMM")</f>
        <v>Apr</v>
      </c>
      <c r="J1318" t="str">
        <f>TEXT(walmart[[#This Row],[Purchase_Date]],"YYY")</f>
        <v>2024</v>
      </c>
      <c r="K1318" s="3">
        <v>67.040000000000006</v>
      </c>
      <c r="L1318" t="str">
        <f t="shared" si="96"/>
        <v>0% off</v>
      </c>
      <c r="N1318" t="str">
        <f t="shared" si="97"/>
        <v>No</v>
      </c>
      <c r="O1318" t="s">
        <v>21</v>
      </c>
      <c r="P1318" s="3">
        <f t="shared" si="98"/>
        <v>67.040000000000006</v>
      </c>
      <c r="Q1318" t="s">
        <v>35</v>
      </c>
      <c r="R1318">
        <v>1</v>
      </c>
      <c r="S1318" t="str">
        <f t="shared" si="99"/>
        <v>Very Poor</v>
      </c>
    </row>
    <row r="1319" spans="1:19" x14ac:dyDescent="0.25">
      <c r="A1319" t="s">
        <v>1735</v>
      </c>
      <c r="B1319">
        <v>26</v>
      </c>
      <c r="C1319" t="s">
        <v>16</v>
      </c>
      <c r="D1319" t="s">
        <v>2538</v>
      </c>
      <c r="E1319" t="s">
        <v>24</v>
      </c>
      <c r="F1319" t="s">
        <v>209</v>
      </c>
      <c r="G1319" t="s">
        <v>782</v>
      </c>
      <c r="H1319" t="str">
        <f>TEXT(walmart[[#This Row],[Purchase_Date]],"DDD")</f>
        <v>Thu</v>
      </c>
      <c r="I1319" t="str">
        <f>TEXT(walmart[[#This Row],[Purchase_Date]],"MMM")</f>
        <v>Sep</v>
      </c>
      <c r="J1319" t="str">
        <f>TEXT(walmart[[#This Row],[Purchase_Date]],"YYY")</f>
        <v>2024</v>
      </c>
      <c r="K1319" s="3">
        <v>775.75</v>
      </c>
      <c r="L1319" t="str">
        <f t="shared" si="96"/>
        <v>15% off</v>
      </c>
      <c r="N1319" t="str">
        <f t="shared" si="97"/>
        <v>Yes</v>
      </c>
      <c r="O1319" t="s">
        <v>34</v>
      </c>
      <c r="P1319" s="3">
        <f t="shared" si="98"/>
        <v>775.75</v>
      </c>
      <c r="Q1319" t="s">
        <v>35</v>
      </c>
      <c r="R1319">
        <v>4</v>
      </c>
      <c r="S1319" t="str">
        <f t="shared" si="99"/>
        <v>Good</v>
      </c>
    </row>
    <row r="1320" spans="1:19" x14ac:dyDescent="0.25">
      <c r="A1320" t="s">
        <v>1736</v>
      </c>
      <c r="B1320">
        <v>18</v>
      </c>
      <c r="C1320" t="s">
        <v>29</v>
      </c>
      <c r="D1320" t="s">
        <v>2539</v>
      </c>
      <c r="E1320" t="s">
        <v>18</v>
      </c>
      <c r="F1320" t="s">
        <v>77</v>
      </c>
      <c r="G1320" t="s">
        <v>1731</v>
      </c>
      <c r="H1320" t="str">
        <f>TEXT(walmart[[#This Row],[Purchase_Date]],"DDD")</f>
        <v>Wed</v>
      </c>
      <c r="I1320" t="str">
        <f>TEXT(walmart[[#This Row],[Purchase_Date]],"MMM")</f>
        <v>Jun</v>
      </c>
      <c r="J1320" t="str">
        <f>TEXT(walmart[[#This Row],[Purchase_Date]],"YYY")</f>
        <v>2024</v>
      </c>
      <c r="K1320" s="3">
        <v>116.78</v>
      </c>
      <c r="L1320" t="str">
        <f t="shared" si="96"/>
        <v>0% off</v>
      </c>
      <c r="N1320" t="str">
        <f t="shared" si="97"/>
        <v>No</v>
      </c>
      <c r="O1320" t="s">
        <v>21</v>
      </c>
      <c r="P1320" s="3">
        <f t="shared" si="98"/>
        <v>116.78</v>
      </c>
      <c r="Q1320" t="s">
        <v>35</v>
      </c>
      <c r="R1320">
        <v>2</v>
      </c>
      <c r="S1320" t="str">
        <f t="shared" si="99"/>
        <v>Poor</v>
      </c>
    </row>
    <row r="1321" spans="1:19" x14ac:dyDescent="0.25">
      <c r="A1321" t="s">
        <v>1737</v>
      </c>
      <c r="B1321">
        <v>54</v>
      </c>
      <c r="C1321" t="s">
        <v>16</v>
      </c>
      <c r="D1321" t="s">
        <v>2540</v>
      </c>
      <c r="E1321" t="s">
        <v>42</v>
      </c>
      <c r="F1321" t="s">
        <v>43</v>
      </c>
      <c r="G1321" t="s">
        <v>33</v>
      </c>
      <c r="H1321" t="str">
        <f>TEXT(walmart[[#This Row],[Purchase_Date]],"DDD")</f>
        <v>Sat</v>
      </c>
      <c r="I1321" t="str">
        <f>TEXT(walmart[[#This Row],[Purchase_Date]],"MMM")</f>
        <v>Jul</v>
      </c>
      <c r="J1321" t="str">
        <f>TEXT(walmart[[#This Row],[Purchase_Date]],"YYY")</f>
        <v>2024</v>
      </c>
      <c r="K1321" s="3">
        <v>512.94000000000005</v>
      </c>
      <c r="L1321" t="str">
        <f t="shared" si="96"/>
        <v>10% off</v>
      </c>
      <c r="N1321" t="str">
        <f t="shared" si="97"/>
        <v>Yes</v>
      </c>
      <c r="O1321" t="s">
        <v>34</v>
      </c>
      <c r="P1321" s="3">
        <f t="shared" si="98"/>
        <v>512.94000000000005</v>
      </c>
      <c r="Q1321" t="s">
        <v>22</v>
      </c>
      <c r="R1321">
        <v>4</v>
      </c>
      <c r="S1321" t="str">
        <f t="shared" si="99"/>
        <v>Good</v>
      </c>
    </row>
    <row r="1322" spans="1:19" x14ac:dyDescent="0.25">
      <c r="A1322" t="s">
        <v>1738</v>
      </c>
      <c r="B1322">
        <v>66</v>
      </c>
      <c r="C1322" t="s">
        <v>29</v>
      </c>
      <c r="D1322" t="s">
        <v>2488</v>
      </c>
      <c r="E1322" t="s">
        <v>31</v>
      </c>
      <c r="F1322" t="s">
        <v>169</v>
      </c>
      <c r="G1322" t="s">
        <v>78</v>
      </c>
      <c r="H1322" t="str">
        <f>TEXT(walmart[[#This Row],[Purchase_Date]],"DDD")</f>
        <v>Mon</v>
      </c>
      <c r="I1322" t="str">
        <f>TEXT(walmart[[#This Row],[Purchase_Date]],"MMM")</f>
        <v>Jul</v>
      </c>
      <c r="J1322" t="str">
        <f>TEXT(walmart[[#This Row],[Purchase_Date]],"YYY")</f>
        <v>2024</v>
      </c>
      <c r="K1322" s="3">
        <v>52.44</v>
      </c>
      <c r="L1322" t="str">
        <f t="shared" si="96"/>
        <v>0% off</v>
      </c>
      <c r="N1322" t="str">
        <f t="shared" si="97"/>
        <v>No</v>
      </c>
      <c r="O1322" t="s">
        <v>21</v>
      </c>
      <c r="P1322" s="3">
        <f t="shared" si="98"/>
        <v>52.44</v>
      </c>
      <c r="Q1322" t="s">
        <v>27</v>
      </c>
      <c r="R1322">
        <v>4</v>
      </c>
      <c r="S1322" t="str">
        <f t="shared" si="99"/>
        <v>Good</v>
      </c>
    </row>
    <row r="1323" spans="1:19" x14ac:dyDescent="0.25">
      <c r="A1323" t="s">
        <v>1739</v>
      </c>
      <c r="B1323">
        <v>70</v>
      </c>
      <c r="C1323" t="s">
        <v>29</v>
      </c>
      <c r="D1323" t="s">
        <v>2541</v>
      </c>
      <c r="E1323" t="s">
        <v>73</v>
      </c>
      <c r="F1323" t="s">
        <v>91</v>
      </c>
      <c r="G1323" t="s">
        <v>1251</v>
      </c>
      <c r="H1323" t="str">
        <f>TEXT(walmart[[#This Row],[Purchase_Date]],"DDD")</f>
        <v>Wed</v>
      </c>
      <c r="I1323" t="str">
        <f>TEXT(walmart[[#This Row],[Purchase_Date]],"MMM")</f>
        <v>Mar</v>
      </c>
      <c r="J1323" t="str">
        <f>TEXT(walmart[[#This Row],[Purchase_Date]],"YYY")</f>
        <v>2025</v>
      </c>
      <c r="K1323" s="3">
        <v>418.55</v>
      </c>
      <c r="L1323" t="str">
        <f t="shared" si="96"/>
        <v>5% off</v>
      </c>
      <c r="N1323" t="str">
        <f t="shared" si="97"/>
        <v>Yes</v>
      </c>
      <c r="O1323" t="s">
        <v>21</v>
      </c>
      <c r="P1323" s="3">
        <f t="shared" si="98"/>
        <v>418.55</v>
      </c>
      <c r="Q1323" t="s">
        <v>35</v>
      </c>
      <c r="R1323">
        <v>5</v>
      </c>
      <c r="S1323" t="str">
        <f t="shared" si="99"/>
        <v>Excellent</v>
      </c>
    </row>
    <row r="1324" spans="1:19" x14ac:dyDescent="0.25">
      <c r="A1324" t="s">
        <v>1740</v>
      </c>
      <c r="B1324">
        <v>68</v>
      </c>
      <c r="C1324" t="s">
        <v>29</v>
      </c>
      <c r="D1324" t="s">
        <v>2542</v>
      </c>
      <c r="E1324" t="s">
        <v>55</v>
      </c>
      <c r="F1324" t="s">
        <v>64</v>
      </c>
      <c r="G1324" t="s">
        <v>189</v>
      </c>
      <c r="H1324" t="str">
        <f>TEXT(walmart[[#This Row],[Purchase_Date]],"DDD")</f>
        <v>Sat</v>
      </c>
      <c r="I1324" t="str">
        <f>TEXT(walmart[[#This Row],[Purchase_Date]],"MMM")</f>
        <v>Jun</v>
      </c>
      <c r="J1324" t="str">
        <f>TEXT(walmart[[#This Row],[Purchase_Date]],"YYY")</f>
        <v>2024</v>
      </c>
      <c r="K1324" s="3">
        <v>374.92</v>
      </c>
      <c r="L1324" t="str">
        <f t="shared" si="96"/>
        <v>5% off</v>
      </c>
      <c r="N1324" t="str">
        <f t="shared" si="97"/>
        <v>Yes</v>
      </c>
      <c r="O1324" t="s">
        <v>21</v>
      </c>
      <c r="P1324" s="3">
        <f t="shared" si="98"/>
        <v>374.92</v>
      </c>
      <c r="Q1324" t="s">
        <v>22</v>
      </c>
      <c r="R1324">
        <v>1</v>
      </c>
      <c r="S1324" t="str">
        <f t="shared" si="99"/>
        <v>Very Poor</v>
      </c>
    </row>
    <row r="1325" spans="1:19" x14ac:dyDescent="0.25">
      <c r="A1325" t="s">
        <v>1741</v>
      </c>
      <c r="B1325">
        <v>27</v>
      </c>
      <c r="C1325" t="s">
        <v>16</v>
      </c>
      <c r="D1325" t="s">
        <v>2543</v>
      </c>
      <c r="E1325" t="s">
        <v>18</v>
      </c>
      <c r="F1325" t="s">
        <v>142</v>
      </c>
      <c r="G1325" t="s">
        <v>199</v>
      </c>
      <c r="H1325" t="str">
        <f>TEXT(walmart[[#This Row],[Purchase_Date]],"DDD")</f>
        <v>Sun</v>
      </c>
      <c r="I1325" t="str">
        <f>TEXT(walmart[[#This Row],[Purchase_Date]],"MMM")</f>
        <v>May</v>
      </c>
      <c r="J1325" t="str">
        <f>TEXT(walmart[[#This Row],[Purchase_Date]],"YYY")</f>
        <v>2024</v>
      </c>
      <c r="K1325" s="3">
        <v>485.26</v>
      </c>
      <c r="L1325" t="str">
        <f t="shared" si="96"/>
        <v>5% off</v>
      </c>
      <c r="N1325" t="str">
        <f t="shared" si="97"/>
        <v>Yes</v>
      </c>
      <c r="O1325" t="s">
        <v>21</v>
      </c>
      <c r="P1325" s="3">
        <f t="shared" si="98"/>
        <v>485.26</v>
      </c>
      <c r="Q1325" t="s">
        <v>35</v>
      </c>
      <c r="R1325">
        <v>3</v>
      </c>
      <c r="S1325" t="str">
        <f t="shared" si="99"/>
        <v>Average</v>
      </c>
    </row>
    <row r="1326" spans="1:19" x14ac:dyDescent="0.25">
      <c r="A1326" t="s">
        <v>1742</v>
      </c>
      <c r="B1326">
        <v>44</v>
      </c>
      <c r="C1326" t="s">
        <v>29</v>
      </c>
      <c r="D1326" t="s">
        <v>2544</v>
      </c>
      <c r="E1326" t="s">
        <v>18</v>
      </c>
      <c r="F1326" t="s">
        <v>142</v>
      </c>
      <c r="G1326" t="s">
        <v>89</v>
      </c>
      <c r="H1326" t="str">
        <f>TEXT(walmart[[#This Row],[Purchase_Date]],"DDD")</f>
        <v>Wed</v>
      </c>
      <c r="I1326" t="str">
        <f>TEXT(walmart[[#This Row],[Purchase_Date]],"MMM")</f>
        <v>Jun</v>
      </c>
      <c r="J1326" t="str">
        <f>TEXT(walmart[[#This Row],[Purchase_Date]],"YYY")</f>
        <v>2024</v>
      </c>
      <c r="K1326" s="3">
        <v>485.26</v>
      </c>
      <c r="L1326" t="str">
        <f t="shared" si="96"/>
        <v>5% off</v>
      </c>
      <c r="N1326" t="str">
        <f t="shared" si="97"/>
        <v>Yes</v>
      </c>
      <c r="O1326" t="s">
        <v>21</v>
      </c>
      <c r="P1326" s="3">
        <f t="shared" si="98"/>
        <v>485.26</v>
      </c>
      <c r="Q1326" t="s">
        <v>22</v>
      </c>
      <c r="R1326">
        <v>5</v>
      </c>
      <c r="S1326" t="str">
        <f t="shared" si="99"/>
        <v>Excellent</v>
      </c>
    </row>
    <row r="1327" spans="1:19" x14ac:dyDescent="0.25">
      <c r="A1327" t="s">
        <v>1743</v>
      </c>
      <c r="B1327">
        <v>23</v>
      </c>
      <c r="C1327" t="s">
        <v>16</v>
      </c>
      <c r="D1327" t="s">
        <v>2545</v>
      </c>
      <c r="E1327" t="s">
        <v>55</v>
      </c>
      <c r="F1327" t="s">
        <v>64</v>
      </c>
      <c r="G1327" t="s">
        <v>658</v>
      </c>
      <c r="H1327" t="str">
        <f>TEXT(walmart[[#This Row],[Purchase_Date]],"DDD")</f>
        <v>Fri</v>
      </c>
      <c r="I1327" t="str">
        <f>TEXT(walmart[[#This Row],[Purchase_Date]],"MMM")</f>
        <v>Jun</v>
      </c>
      <c r="J1327" t="str">
        <f>TEXT(walmart[[#This Row],[Purchase_Date]],"YYY")</f>
        <v>2024</v>
      </c>
      <c r="K1327" s="3">
        <v>374.92</v>
      </c>
      <c r="L1327" t="str">
        <f t="shared" si="96"/>
        <v>5% off</v>
      </c>
      <c r="N1327" t="str">
        <f t="shared" si="97"/>
        <v>Yes</v>
      </c>
      <c r="O1327" t="s">
        <v>34</v>
      </c>
      <c r="P1327" s="3">
        <f t="shared" si="98"/>
        <v>374.92</v>
      </c>
      <c r="Q1327" t="s">
        <v>35</v>
      </c>
      <c r="R1327">
        <v>5</v>
      </c>
      <c r="S1327" t="str">
        <f t="shared" si="99"/>
        <v>Excellent</v>
      </c>
    </row>
    <row r="1328" spans="1:19" x14ac:dyDescent="0.25">
      <c r="A1328" t="s">
        <v>1744</v>
      </c>
      <c r="B1328">
        <v>65</v>
      </c>
      <c r="C1328" t="s">
        <v>29</v>
      </c>
      <c r="D1328" t="s">
        <v>2546</v>
      </c>
      <c r="E1328" t="s">
        <v>55</v>
      </c>
      <c r="F1328" t="s">
        <v>100</v>
      </c>
      <c r="G1328" t="s">
        <v>694</v>
      </c>
      <c r="H1328" t="str">
        <f>TEXT(walmart[[#This Row],[Purchase_Date]],"DDD")</f>
        <v>Thu</v>
      </c>
      <c r="I1328" t="str">
        <f>TEXT(walmart[[#This Row],[Purchase_Date]],"MMM")</f>
        <v>Dec</v>
      </c>
      <c r="J1328" t="str">
        <f>TEXT(walmart[[#This Row],[Purchase_Date]],"YYY")</f>
        <v>2024</v>
      </c>
      <c r="K1328" s="3">
        <v>592.26</v>
      </c>
      <c r="L1328" t="str">
        <f t="shared" si="96"/>
        <v>10% off</v>
      </c>
      <c r="N1328" t="str">
        <f t="shared" si="97"/>
        <v>Yes</v>
      </c>
      <c r="O1328" t="s">
        <v>34</v>
      </c>
      <c r="P1328" s="3">
        <f t="shared" si="98"/>
        <v>592.26</v>
      </c>
      <c r="Q1328" t="s">
        <v>22</v>
      </c>
      <c r="R1328">
        <v>3</v>
      </c>
      <c r="S1328" t="str">
        <f t="shared" si="99"/>
        <v>Average</v>
      </c>
    </row>
    <row r="1329" spans="1:19" x14ac:dyDescent="0.25">
      <c r="A1329" t="s">
        <v>1745</v>
      </c>
      <c r="B1329">
        <v>55</v>
      </c>
      <c r="C1329" t="s">
        <v>29</v>
      </c>
      <c r="D1329" t="s">
        <v>2547</v>
      </c>
      <c r="E1329" t="s">
        <v>73</v>
      </c>
      <c r="F1329" t="s">
        <v>74</v>
      </c>
      <c r="G1329" t="s">
        <v>101</v>
      </c>
      <c r="H1329" t="str">
        <f>TEXT(walmart[[#This Row],[Purchase_Date]],"DDD")</f>
        <v>Mon</v>
      </c>
      <c r="I1329" t="str">
        <f>TEXT(walmart[[#This Row],[Purchase_Date]],"MMM")</f>
        <v>Feb</v>
      </c>
      <c r="J1329" t="str">
        <f>TEXT(walmart[[#This Row],[Purchase_Date]],"YYY")</f>
        <v>2025</v>
      </c>
      <c r="K1329" s="3">
        <v>782.29</v>
      </c>
      <c r="L1329" t="str">
        <f t="shared" si="96"/>
        <v>15% off</v>
      </c>
      <c r="N1329" t="str">
        <f t="shared" si="97"/>
        <v>Yes</v>
      </c>
      <c r="O1329" t="s">
        <v>21</v>
      </c>
      <c r="P1329" s="3">
        <f t="shared" si="98"/>
        <v>782.29</v>
      </c>
      <c r="Q1329" t="s">
        <v>35</v>
      </c>
      <c r="R1329">
        <v>5</v>
      </c>
      <c r="S1329" t="str">
        <f t="shared" si="99"/>
        <v>Excellent</v>
      </c>
    </row>
    <row r="1330" spans="1:19" x14ac:dyDescent="0.25">
      <c r="A1330" t="s">
        <v>1746</v>
      </c>
      <c r="B1330">
        <v>45</v>
      </c>
      <c r="C1330" t="s">
        <v>29</v>
      </c>
      <c r="D1330" t="s">
        <v>2548</v>
      </c>
      <c r="E1330" t="s">
        <v>18</v>
      </c>
      <c r="F1330" t="s">
        <v>77</v>
      </c>
      <c r="G1330" t="s">
        <v>827</v>
      </c>
      <c r="H1330" t="str">
        <f>TEXT(walmart[[#This Row],[Purchase_Date]],"DDD")</f>
        <v>Mon</v>
      </c>
      <c r="I1330" t="str">
        <f>TEXT(walmart[[#This Row],[Purchase_Date]],"MMM")</f>
        <v>Dec</v>
      </c>
      <c r="J1330" t="str">
        <f>TEXT(walmart[[#This Row],[Purchase_Date]],"YYY")</f>
        <v>2024</v>
      </c>
      <c r="K1330" s="3">
        <v>116.78</v>
      </c>
      <c r="L1330" t="str">
        <f t="shared" si="96"/>
        <v>0% off</v>
      </c>
      <c r="N1330" t="str">
        <f t="shared" si="97"/>
        <v>No</v>
      </c>
      <c r="O1330" t="s">
        <v>21</v>
      </c>
      <c r="P1330" s="3">
        <f t="shared" si="98"/>
        <v>116.78</v>
      </c>
      <c r="Q1330" t="s">
        <v>35</v>
      </c>
      <c r="R1330">
        <v>3</v>
      </c>
      <c r="S1330" t="str">
        <f t="shared" si="99"/>
        <v>Average</v>
      </c>
    </row>
    <row r="1331" spans="1:19" x14ac:dyDescent="0.25">
      <c r="A1331" t="s">
        <v>1747</v>
      </c>
      <c r="B1331">
        <v>42</v>
      </c>
      <c r="C1331" t="s">
        <v>16</v>
      </c>
      <c r="D1331" t="s">
        <v>2549</v>
      </c>
      <c r="E1331" t="s">
        <v>18</v>
      </c>
      <c r="F1331" t="s">
        <v>77</v>
      </c>
      <c r="G1331" t="s">
        <v>391</v>
      </c>
      <c r="H1331" t="str">
        <f>TEXT(walmart[[#This Row],[Purchase_Date]],"DDD")</f>
        <v>Thu</v>
      </c>
      <c r="I1331" t="str">
        <f>TEXT(walmart[[#This Row],[Purchase_Date]],"MMM")</f>
        <v>Feb</v>
      </c>
      <c r="J1331" t="str">
        <f>TEXT(walmart[[#This Row],[Purchase_Date]],"YYY")</f>
        <v>2025</v>
      </c>
      <c r="K1331" s="3">
        <v>116.78</v>
      </c>
      <c r="L1331" t="str">
        <f t="shared" si="96"/>
        <v>0% off</v>
      </c>
      <c r="N1331" t="str">
        <f t="shared" si="97"/>
        <v>No</v>
      </c>
      <c r="O1331" t="s">
        <v>21</v>
      </c>
      <c r="P1331" s="3">
        <f t="shared" si="98"/>
        <v>116.78</v>
      </c>
      <c r="Q1331" t="s">
        <v>35</v>
      </c>
      <c r="R1331">
        <v>2</v>
      </c>
      <c r="S1331" t="str">
        <f t="shared" si="99"/>
        <v>Poor</v>
      </c>
    </row>
    <row r="1332" spans="1:19" x14ac:dyDescent="0.25">
      <c r="A1332" t="s">
        <v>1748</v>
      </c>
      <c r="B1332">
        <v>64</v>
      </c>
      <c r="C1332" t="s">
        <v>16</v>
      </c>
      <c r="D1332" t="s">
        <v>2550</v>
      </c>
      <c r="E1332" t="s">
        <v>55</v>
      </c>
      <c r="F1332" t="s">
        <v>100</v>
      </c>
      <c r="G1332" t="s">
        <v>882</v>
      </c>
      <c r="H1332" t="str">
        <f>TEXT(walmart[[#This Row],[Purchase_Date]],"DDD")</f>
        <v>Sat</v>
      </c>
      <c r="I1332" t="str">
        <f>TEXT(walmart[[#This Row],[Purchase_Date]],"MMM")</f>
        <v>Sep</v>
      </c>
      <c r="J1332" t="str">
        <f>TEXT(walmart[[#This Row],[Purchase_Date]],"YYY")</f>
        <v>2024</v>
      </c>
      <c r="K1332" s="3">
        <v>592.26</v>
      </c>
      <c r="L1332" t="str">
        <f t="shared" si="96"/>
        <v>10% off</v>
      </c>
      <c r="N1332" t="str">
        <f t="shared" si="97"/>
        <v>Yes</v>
      </c>
      <c r="O1332" t="s">
        <v>34</v>
      </c>
      <c r="P1332" s="3">
        <f t="shared" si="98"/>
        <v>592.26</v>
      </c>
      <c r="Q1332" t="s">
        <v>35</v>
      </c>
      <c r="R1332">
        <v>3</v>
      </c>
      <c r="S1332" t="str">
        <f t="shared" si="99"/>
        <v>Average</v>
      </c>
    </row>
    <row r="1333" spans="1:19" x14ac:dyDescent="0.25">
      <c r="A1333" t="s">
        <v>1749</v>
      </c>
      <c r="B1333">
        <v>44</v>
      </c>
      <c r="C1333" t="s">
        <v>16</v>
      </c>
      <c r="D1333" t="s">
        <v>2551</v>
      </c>
      <c r="E1333" t="s">
        <v>42</v>
      </c>
      <c r="F1333" t="s">
        <v>120</v>
      </c>
      <c r="G1333" t="s">
        <v>193</v>
      </c>
      <c r="H1333" t="str">
        <f>TEXT(walmart[[#This Row],[Purchase_Date]],"DDD")</f>
        <v>Thu</v>
      </c>
      <c r="I1333" t="str">
        <f>TEXT(walmart[[#This Row],[Purchase_Date]],"MMM")</f>
        <v>May</v>
      </c>
      <c r="J1333" t="str">
        <f>TEXT(walmart[[#This Row],[Purchase_Date]],"YYY")</f>
        <v>2024</v>
      </c>
      <c r="K1333" s="3">
        <v>260.77999999999997</v>
      </c>
      <c r="L1333" t="str">
        <f t="shared" si="96"/>
        <v>5% off</v>
      </c>
      <c r="N1333" t="str">
        <f t="shared" si="97"/>
        <v>Yes</v>
      </c>
      <c r="O1333" t="s">
        <v>21</v>
      </c>
      <c r="P1333" s="3">
        <f t="shared" si="98"/>
        <v>260.77999999999997</v>
      </c>
      <c r="Q1333" t="s">
        <v>47</v>
      </c>
      <c r="R1333">
        <v>4</v>
      </c>
      <c r="S1333" t="str">
        <f t="shared" si="99"/>
        <v>Good</v>
      </c>
    </row>
    <row r="1334" spans="1:19" x14ac:dyDescent="0.25">
      <c r="A1334" t="s">
        <v>1750</v>
      </c>
      <c r="B1334">
        <v>46</v>
      </c>
      <c r="C1334" t="s">
        <v>29</v>
      </c>
      <c r="D1334" t="s">
        <v>2552</v>
      </c>
      <c r="E1334" t="s">
        <v>37</v>
      </c>
      <c r="F1334" t="s">
        <v>97</v>
      </c>
      <c r="G1334" t="s">
        <v>597</v>
      </c>
      <c r="H1334" t="str">
        <f>TEXT(walmart[[#This Row],[Purchase_Date]],"DDD")</f>
        <v>Tue</v>
      </c>
      <c r="I1334" t="str">
        <f>TEXT(walmart[[#This Row],[Purchase_Date]],"MMM")</f>
        <v>Oct</v>
      </c>
      <c r="J1334" t="str">
        <f>TEXT(walmart[[#This Row],[Purchase_Date]],"YYY")</f>
        <v>2024</v>
      </c>
      <c r="K1334" s="3">
        <v>855.21</v>
      </c>
      <c r="L1334" t="str">
        <f t="shared" si="96"/>
        <v>15% off</v>
      </c>
      <c r="N1334" t="str">
        <f t="shared" si="97"/>
        <v>Yes</v>
      </c>
      <c r="O1334" t="s">
        <v>21</v>
      </c>
      <c r="P1334" s="3">
        <f t="shared" si="98"/>
        <v>855.21</v>
      </c>
      <c r="Q1334" t="s">
        <v>22</v>
      </c>
      <c r="R1334">
        <v>5</v>
      </c>
      <c r="S1334" t="str">
        <f t="shared" si="99"/>
        <v>Excellent</v>
      </c>
    </row>
    <row r="1335" spans="1:19" x14ac:dyDescent="0.25">
      <c r="A1335" t="s">
        <v>1751</v>
      </c>
      <c r="B1335">
        <v>34</v>
      </c>
      <c r="C1335" t="s">
        <v>16</v>
      </c>
      <c r="D1335" t="s">
        <v>2553</v>
      </c>
      <c r="E1335" t="s">
        <v>31</v>
      </c>
      <c r="F1335" t="s">
        <v>300</v>
      </c>
      <c r="G1335" t="s">
        <v>1416</v>
      </c>
      <c r="H1335" t="str">
        <f>TEXT(walmart[[#This Row],[Purchase_Date]],"DDD")</f>
        <v>Tue</v>
      </c>
      <c r="I1335" t="str">
        <f>TEXT(walmart[[#This Row],[Purchase_Date]],"MMM")</f>
        <v>Nov</v>
      </c>
      <c r="J1335" t="str">
        <f>TEXT(walmart[[#This Row],[Purchase_Date]],"YYY")</f>
        <v>2024</v>
      </c>
      <c r="K1335" s="3">
        <v>340.04</v>
      </c>
      <c r="L1335" t="str">
        <f t="shared" si="96"/>
        <v>5% off</v>
      </c>
      <c r="N1335" t="str">
        <f t="shared" si="97"/>
        <v>Yes</v>
      </c>
      <c r="O1335" t="s">
        <v>21</v>
      </c>
      <c r="P1335" s="3">
        <f t="shared" si="98"/>
        <v>340.04</v>
      </c>
      <c r="Q1335" t="s">
        <v>27</v>
      </c>
      <c r="R1335">
        <v>3</v>
      </c>
      <c r="S1335" t="str">
        <f t="shared" si="99"/>
        <v>Average</v>
      </c>
    </row>
    <row r="1336" spans="1:19" x14ac:dyDescent="0.25">
      <c r="A1336" t="s">
        <v>1752</v>
      </c>
      <c r="B1336">
        <v>20</v>
      </c>
      <c r="C1336" t="s">
        <v>29</v>
      </c>
      <c r="D1336" t="s">
        <v>2554</v>
      </c>
      <c r="E1336" t="s">
        <v>73</v>
      </c>
      <c r="F1336" t="s">
        <v>138</v>
      </c>
      <c r="G1336" t="s">
        <v>132</v>
      </c>
      <c r="H1336" t="str">
        <f>TEXT(walmart[[#This Row],[Purchase_Date]],"DDD")</f>
        <v>Fri</v>
      </c>
      <c r="I1336" t="str">
        <f>TEXT(walmart[[#This Row],[Purchase_Date]],"MMM")</f>
        <v>Jul</v>
      </c>
      <c r="J1336" t="str">
        <f>TEXT(walmart[[#This Row],[Purchase_Date]],"YYY")</f>
        <v>2024</v>
      </c>
      <c r="K1336" s="3">
        <v>461.81</v>
      </c>
      <c r="L1336" t="str">
        <f t="shared" si="96"/>
        <v>5% off</v>
      </c>
      <c r="N1336" t="str">
        <f t="shared" si="97"/>
        <v>Yes</v>
      </c>
      <c r="O1336" t="s">
        <v>34</v>
      </c>
      <c r="P1336" s="3">
        <f t="shared" si="98"/>
        <v>461.81</v>
      </c>
      <c r="Q1336" t="s">
        <v>22</v>
      </c>
      <c r="R1336">
        <v>1</v>
      </c>
      <c r="S1336" t="str">
        <f t="shared" si="99"/>
        <v>Very Poor</v>
      </c>
    </row>
    <row r="1337" spans="1:19" x14ac:dyDescent="0.25">
      <c r="A1337" t="s">
        <v>1753</v>
      </c>
      <c r="B1337">
        <v>64</v>
      </c>
      <c r="C1337" t="s">
        <v>29</v>
      </c>
      <c r="D1337" t="s">
        <v>2555</v>
      </c>
      <c r="E1337" t="s">
        <v>37</v>
      </c>
      <c r="F1337" t="s">
        <v>38</v>
      </c>
      <c r="G1337" t="s">
        <v>1203</v>
      </c>
      <c r="H1337" t="str">
        <f>TEXT(walmart[[#This Row],[Purchase_Date]],"DDD")</f>
        <v>Mon</v>
      </c>
      <c r="I1337" t="str">
        <f>TEXT(walmart[[#This Row],[Purchase_Date]],"MMM")</f>
        <v>Jul</v>
      </c>
      <c r="J1337" t="str">
        <f>TEXT(walmart[[#This Row],[Purchase_Date]],"YYY")</f>
        <v>2024</v>
      </c>
      <c r="K1337" s="3">
        <v>211.46</v>
      </c>
      <c r="L1337" t="str">
        <f t="shared" si="96"/>
        <v>5% off</v>
      </c>
      <c r="N1337" t="str">
        <f t="shared" si="97"/>
        <v>Yes</v>
      </c>
      <c r="O1337" t="s">
        <v>21</v>
      </c>
      <c r="P1337" s="3">
        <f t="shared" si="98"/>
        <v>211.46</v>
      </c>
      <c r="Q1337" t="s">
        <v>22</v>
      </c>
      <c r="R1337">
        <v>3</v>
      </c>
      <c r="S1337" t="str">
        <f t="shared" si="99"/>
        <v>Average</v>
      </c>
    </row>
    <row r="1338" spans="1:19" x14ac:dyDescent="0.25">
      <c r="A1338" t="s">
        <v>1754</v>
      </c>
      <c r="B1338">
        <v>69</v>
      </c>
      <c r="C1338" t="s">
        <v>16</v>
      </c>
      <c r="D1338" t="s">
        <v>2556</v>
      </c>
      <c r="E1338" t="s">
        <v>37</v>
      </c>
      <c r="F1338" t="s">
        <v>82</v>
      </c>
      <c r="G1338" t="s">
        <v>1109</v>
      </c>
      <c r="H1338" t="str">
        <f>TEXT(walmart[[#This Row],[Purchase_Date]],"DDD")</f>
        <v>Tue</v>
      </c>
      <c r="I1338" t="str">
        <f>TEXT(walmart[[#This Row],[Purchase_Date]],"MMM")</f>
        <v>Dec</v>
      </c>
      <c r="J1338" t="str">
        <f>TEXT(walmart[[#This Row],[Purchase_Date]],"YYY")</f>
        <v>2024</v>
      </c>
      <c r="K1338" s="3">
        <v>270.41000000000003</v>
      </c>
      <c r="L1338" t="str">
        <f t="shared" si="96"/>
        <v>5% off</v>
      </c>
      <c r="N1338" t="str">
        <f t="shared" si="97"/>
        <v>Yes</v>
      </c>
      <c r="O1338" t="s">
        <v>34</v>
      </c>
      <c r="P1338" s="3">
        <f t="shared" si="98"/>
        <v>270.41000000000003</v>
      </c>
      <c r="Q1338" t="s">
        <v>27</v>
      </c>
      <c r="R1338">
        <v>1</v>
      </c>
      <c r="S1338" t="str">
        <f t="shared" si="99"/>
        <v>Very Poor</v>
      </c>
    </row>
    <row r="1339" spans="1:19" x14ac:dyDescent="0.25">
      <c r="A1339" t="s">
        <v>1755</v>
      </c>
      <c r="B1339">
        <v>35</v>
      </c>
      <c r="C1339" t="s">
        <v>16</v>
      </c>
      <c r="D1339" t="s">
        <v>2557</v>
      </c>
      <c r="E1339" t="s">
        <v>73</v>
      </c>
      <c r="F1339" t="s">
        <v>138</v>
      </c>
      <c r="G1339" t="s">
        <v>355</v>
      </c>
      <c r="H1339" t="str">
        <f>TEXT(walmart[[#This Row],[Purchase_Date]],"DDD")</f>
        <v>Fri</v>
      </c>
      <c r="I1339" t="str">
        <f>TEXT(walmart[[#This Row],[Purchase_Date]],"MMM")</f>
        <v>Nov</v>
      </c>
      <c r="J1339" t="str">
        <f>TEXT(walmart[[#This Row],[Purchase_Date]],"YYY")</f>
        <v>2024</v>
      </c>
      <c r="K1339" s="3">
        <v>461.81</v>
      </c>
      <c r="L1339" t="str">
        <f t="shared" si="96"/>
        <v>5% off</v>
      </c>
      <c r="N1339" t="str">
        <f t="shared" si="97"/>
        <v>Yes</v>
      </c>
      <c r="O1339" t="s">
        <v>21</v>
      </c>
      <c r="P1339" s="3">
        <f t="shared" si="98"/>
        <v>461.81</v>
      </c>
      <c r="Q1339" t="s">
        <v>47</v>
      </c>
      <c r="R1339">
        <v>4</v>
      </c>
      <c r="S1339" t="str">
        <f t="shared" si="99"/>
        <v>Good</v>
      </c>
    </row>
    <row r="1340" spans="1:19" x14ac:dyDescent="0.25">
      <c r="A1340" t="s">
        <v>1756</v>
      </c>
      <c r="B1340">
        <v>36</v>
      </c>
      <c r="C1340" t="s">
        <v>16</v>
      </c>
      <c r="D1340" t="s">
        <v>2558</v>
      </c>
      <c r="E1340" t="s">
        <v>24</v>
      </c>
      <c r="F1340" t="s">
        <v>25</v>
      </c>
      <c r="G1340" t="s">
        <v>484</v>
      </c>
      <c r="H1340" t="str">
        <f>TEXT(walmart[[#This Row],[Purchase_Date]],"DDD")</f>
        <v>Wed</v>
      </c>
      <c r="I1340" t="str">
        <f>TEXT(walmart[[#This Row],[Purchase_Date]],"MMM")</f>
        <v>Jan</v>
      </c>
      <c r="J1340" t="str">
        <f>TEXT(walmart[[#This Row],[Purchase_Date]],"YYY")</f>
        <v>2025</v>
      </c>
      <c r="K1340" s="3">
        <v>67.040000000000006</v>
      </c>
      <c r="L1340" t="str">
        <f t="shared" si="96"/>
        <v>0% off</v>
      </c>
      <c r="N1340" t="str">
        <f t="shared" si="97"/>
        <v>No</v>
      </c>
      <c r="O1340" t="s">
        <v>34</v>
      </c>
      <c r="P1340" s="3">
        <f t="shared" si="98"/>
        <v>67.040000000000006</v>
      </c>
      <c r="Q1340" t="s">
        <v>47</v>
      </c>
      <c r="R1340">
        <v>5</v>
      </c>
      <c r="S1340" t="str">
        <f t="shared" si="99"/>
        <v>Excellent</v>
      </c>
    </row>
    <row r="1341" spans="1:19" x14ac:dyDescent="0.25">
      <c r="A1341" t="s">
        <v>1757</v>
      </c>
      <c r="B1341">
        <v>61</v>
      </c>
      <c r="C1341" t="s">
        <v>29</v>
      </c>
      <c r="D1341" t="s">
        <v>2559</v>
      </c>
      <c r="E1341" t="s">
        <v>18</v>
      </c>
      <c r="F1341" t="s">
        <v>59</v>
      </c>
      <c r="G1341" t="s">
        <v>407</v>
      </c>
      <c r="H1341" t="str">
        <f>TEXT(walmart[[#This Row],[Purchase_Date]],"DDD")</f>
        <v>Tue</v>
      </c>
      <c r="I1341" t="str">
        <f>TEXT(walmart[[#This Row],[Purchase_Date]],"MMM")</f>
        <v>Jul</v>
      </c>
      <c r="J1341" t="str">
        <f>TEXT(walmart[[#This Row],[Purchase_Date]],"YYY")</f>
        <v>2024</v>
      </c>
      <c r="K1341" s="3">
        <v>78.349999999999994</v>
      </c>
      <c r="L1341" t="str">
        <f t="shared" si="96"/>
        <v>0% off</v>
      </c>
      <c r="N1341" t="str">
        <f t="shared" si="97"/>
        <v>No</v>
      </c>
      <c r="O1341" t="s">
        <v>21</v>
      </c>
      <c r="P1341" s="3">
        <f t="shared" si="98"/>
        <v>78.349999999999994</v>
      </c>
      <c r="Q1341" t="s">
        <v>22</v>
      </c>
      <c r="R1341">
        <v>3</v>
      </c>
      <c r="S1341" t="str">
        <f t="shared" si="99"/>
        <v>Average</v>
      </c>
    </row>
    <row r="1342" spans="1:19" x14ac:dyDescent="0.25">
      <c r="A1342" t="s">
        <v>1758</v>
      </c>
      <c r="B1342">
        <v>37</v>
      </c>
      <c r="C1342" t="s">
        <v>29</v>
      </c>
      <c r="D1342" t="s">
        <v>2560</v>
      </c>
      <c r="E1342" t="s">
        <v>37</v>
      </c>
      <c r="F1342" t="s">
        <v>82</v>
      </c>
      <c r="G1342" t="s">
        <v>628</v>
      </c>
      <c r="H1342" t="str">
        <f>TEXT(walmart[[#This Row],[Purchase_Date]],"DDD")</f>
        <v>Wed</v>
      </c>
      <c r="I1342" t="str">
        <f>TEXT(walmart[[#This Row],[Purchase_Date]],"MMM")</f>
        <v>Nov</v>
      </c>
      <c r="J1342" t="str">
        <f>TEXT(walmart[[#This Row],[Purchase_Date]],"YYY")</f>
        <v>2024</v>
      </c>
      <c r="K1342" s="3">
        <v>270.41000000000003</v>
      </c>
      <c r="L1342" t="str">
        <f t="shared" si="96"/>
        <v>5% off</v>
      </c>
      <c r="N1342" t="str">
        <f t="shared" si="97"/>
        <v>Yes</v>
      </c>
      <c r="O1342" t="s">
        <v>21</v>
      </c>
      <c r="P1342" s="3">
        <f t="shared" si="98"/>
        <v>270.41000000000003</v>
      </c>
      <c r="Q1342" t="s">
        <v>35</v>
      </c>
      <c r="R1342">
        <v>1</v>
      </c>
      <c r="S1342" t="str">
        <f t="shared" si="99"/>
        <v>Very Poor</v>
      </c>
    </row>
    <row r="1343" spans="1:19" x14ac:dyDescent="0.25">
      <c r="A1343" t="s">
        <v>1759</v>
      </c>
      <c r="B1343">
        <v>33</v>
      </c>
      <c r="C1343" t="s">
        <v>29</v>
      </c>
      <c r="D1343" t="s">
        <v>2561</v>
      </c>
      <c r="E1343" t="s">
        <v>37</v>
      </c>
      <c r="F1343" t="s">
        <v>38</v>
      </c>
      <c r="G1343" t="s">
        <v>423</v>
      </c>
      <c r="H1343" t="str">
        <f>TEXT(walmart[[#This Row],[Purchase_Date]],"DDD")</f>
        <v>Sun</v>
      </c>
      <c r="I1343" t="str">
        <f>TEXT(walmart[[#This Row],[Purchase_Date]],"MMM")</f>
        <v>Jun</v>
      </c>
      <c r="J1343" t="str">
        <f>TEXT(walmart[[#This Row],[Purchase_Date]],"YYY")</f>
        <v>2024</v>
      </c>
      <c r="K1343" s="3">
        <v>211.46</v>
      </c>
      <c r="L1343" t="str">
        <f t="shared" si="96"/>
        <v>5% off</v>
      </c>
      <c r="N1343" t="str">
        <f t="shared" si="97"/>
        <v>Yes</v>
      </c>
      <c r="O1343" t="s">
        <v>21</v>
      </c>
      <c r="P1343" s="3">
        <f t="shared" si="98"/>
        <v>211.46</v>
      </c>
      <c r="Q1343" t="s">
        <v>35</v>
      </c>
      <c r="R1343">
        <v>2</v>
      </c>
      <c r="S1343" t="str">
        <f t="shared" si="99"/>
        <v>Poor</v>
      </c>
    </row>
    <row r="1344" spans="1:19" x14ac:dyDescent="0.25">
      <c r="A1344" t="s">
        <v>1760</v>
      </c>
      <c r="B1344">
        <v>40</v>
      </c>
      <c r="C1344" t="s">
        <v>16</v>
      </c>
      <c r="D1344" t="s">
        <v>2501</v>
      </c>
      <c r="E1344" t="s">
        <v>24</v>
      </c>
      <c r="F1344" t="s">
        <v>209</v>
      </c>
      <c r="G1344" t="s">
        <v>106</v>
      </c>
      <c r="H1344" t="str">
        <f>TEXT(walmart[[#This Row],[Purchase_Date]],"DDD")</f>
        <v>Sun</v>
      </c>
      <c r="I1344" t="str">
        <f>TEXT(walmart[[#This Row],[Purchase_Date]],"MMM")</f>
        <v>Apr</v>
      </c>
      <c r="J1344" t="str">
        <f>TEXT(walmart[[#This Row],[Purchase_Date]],"YYY")</f>
        <v>2024</v>
      </c>
      <c r="K1344" s="3">
        <v>775.75</v>
      </c>
      <c r="L1344" t="str">
        <f t="shared" si="96"/>
        <v>15% off</v>
      </c>
      <c r="N1344" t="str">
        <f t="shared" si="97"/>
        <v>Yes</v>
      </c>
      <c r="O1344" t="s">
        <v>21</v>
      </c>
      <c r="P1344" s="3">
        <f t="shared" si="98"/>
        <v>775.75</v>
      </c>
      <c r="Q1344" t="s">
        <v>27</v>
      </c>
      <c r="R1344">
        <v>5</v>
      </c>
      <c r="S1344" t="str">
        <f t="shared" si="99"/>
        <v>Excellent</v>
      </c>
    </row>
    <row r="1345" spans="1:19" x14ac:dyDescent="0.25">
      <c r="A1345" t="s">
        <v>1761</v>
      </c>
      <c r="B1345">
        <v>68</v>
      </c>
      <c r="C1345" t="s">
        <v>29</v>
      </c>
      <c r="D1345" t="s">
        <v>2504</v>
      </c>
      <c r="E1345" t="s">
        <v>18</v>
      </c>
      <c r="F1345" t="s">
        <v>77</v>
      </c>
      <c r="G1345" t="s">
        <v>1495</v>
      </c>
      <c r="H1345" t="str">
        <f>TEXT(walmart[[#This Row],[Purchase_Date]],"DDD")</f>
        <v>Tue</v>
      </c>
      <c r="I1345" t="str">
        <f>TEXT(walmart[[#This Row],[Purchase_Date]],"MMM")</f>
        <v>Mar</v>
      </c>
      <c r="J1345" t="str">
        <f>TEXT(walmart[[#This Row],[Purchase_Date]],"YYY")</f>
        <v>2025</v>
      </c>
      <c r="K1345" s="3">
        <v>116.78</v>
      </c>
      <c r="L1345" t="str">
        <f t="shared" si="96"/>
        <v>0% off</v>
      </c>
      <c r="N1345" t="str">
        <f t="shared" si="97"/>
        <v>No</v>
      </c>
      <c r="O1345" t="s">
        <v>34</v>
      </c>
      <c r="P1345" s="3">
        <f t="shared" si="98"/>
        <v>116.78</v>
      </c>
      <c r="Q1345" t="s">
        <v>27</v>
      </c>
      <c r="R1345">
        <v>2</v>
      </c>
      <c r="S1345" t="str">
        <f t="shared" si="99"/>
        <v>Poor</v>
      </c>
    </row>
    <row r="1346" spans="1:19" x14ac:dyDescent="0.25">
      <c r="A1346" t="s">
        <v>1762</v>
      </c>
      <c r="B1346">
        <v>20</v>
      </c>
      <c r="C1346" t="s">
        <v>16</v>
      </c>
      <c r="D1346" t="s">
        <v>2505</v>
      </c>
      <c r="E1346" t="s">
        <v>42</v>
      </c>
      <c r="F1346" t="s">
        <v>103</v>
      </c>
      <c r="G1346" t="s">
        <v>782</v>
      </c>
      <c r="H1346" t="str">
        <f>TEXT(walmart[[#This Row],[Purchase_Date]],"DDD")</f>
        <v>Thu</v>
      </c>
      <c r="I1346" t="str">
        <f>TEXT(walmart[[#This Row],[Purchase_Date]],"MMM")</f>
        <v>Sep</v>
      </c>
      <c r="J1346" t="str">
        <f>TEXT(walmart[[#This Row],[Purchase_Date]],"YYY")</f>
        <v>2024</v>
      </c>
      <c r="K1346" s="3">
        <v>315.56</v>
      </c>
      <c r="L1346" t="str">
        <f t="shared" si="96"/>
        <v>5% off</v>
      </c>
      <c r="N1346" t="str">
        <f t="shared" si="97"/>
        <v>Yes</v>
      </c>
      <c r="O1346" t="s">
        <v>21</v>
      </c>
      <c r="P1346" s="3">
        <f t="shared" si="98"/>
        <v>315.56</v>
      </c>
      <c r="Q1346" t="s">
        <v>35</v>
      </c>
      <c r="R1346">
        <v>1</v>
      </c>
      <c r="S1346" t="str">
        <f t="shared" si="99"/>
        <v>Very Poor</v>
      </c>
    </row>
    <row r="1347" spans="1:19" x14ac:dyDescent="0.25">
      <c r="A1347" t="s">
        <v>1763</v>
      </c>
      <c r="B1347">
        <v>39</v>
      </c>
      <c r="C1347" t="s">
        <v>16</v>
      </c>
      <c r="D1347" t="s">
        <v>2562</v>
      </c>
      <c r="E1347" t="s">
        <v>24</v>
      </c>
      <c r="F1347" t="s">
        <v>162</v>
      </c>
      <c r="G1347" t="s">
        <v>1236</v>
      </c>
      <c r="H1347" t="str">
        <f>TEXT(walmart[[#This Row],[Purchase_Date]],"DDD")</f>
        <v>Tue</v>
      </c>
      <c r="I1347" t="str">
        <f>TEXT(walmart[[#This Row],[Purchase_Date]],"MMM")</f>
        <v>Jul</v>
      </c>
      <c r="J1347" t="str">
        <f>TEXT(walmart[[#This Row],[Purchase_Date]],"YYY")</f>
        <v>2024</v>
      </c>
      <c r="K1347" s="3">
        <v>362.55</v>
      </c>
      <c r="L1347" t="str">
        <f t="shared" ref="L1347:L1410" si="100">IF(K1347&lt;150,"0% off",IF(K1347&lt;500,"5% off",IF(K1347&lt;700,"10% off",IF(K1347&lt;900,"15% off","20% off"))))</f>
        <v>5% off</v>
      </c>
      <c r="N1347" t="str">
        <f t="shared" ref="N1347:N1410" si="101">IF(L1347="0% off", "No", "Yes")</f>
        <v>Yes</v>
      </c>
      <c r="O1347" t="s">
        <v>34</v>
      </c>
      <c r="P1347" s="3">
        <f t="shared" ref="P1347:P1410" si="102">K1347-M1347</f>
        <v>362.55</v>
      </c>
      <c r="Q1347" t="s">
        <v>22</v>
      </c>
      <c r="R1347">
        <v>1</v>
      </c>
      <c r="S1347" t="str">
        <f t="shared" ref="S1347:S1410" si="103">IF(R1347=5, "Excellent", IF(R1347=4, "Good", IF(R1347=3, "Average", IF(R1347=2, "Poor", IF(R1347=1, "Very Poor", "Invalid Rating")))))</f>
        <v>Very Poor</v>
      </c>
    </row>
    <row r="1348" spans="1:19" x14ac:dyDescent="0.25">
      <c r="A1348" t="s">
        <v>1764</v>
      </c>
      <c r="B1348">
        <v>48</v>
      </c>
      <c r="C1348" t="s">
        <v>16</v>
      </c>
      <c r="D1348" t="s">
        <v>2563</v>
      </c>
      <c r="E1348" t="s">
        <v>42</v>
      </c>
      <c r="F1348" t="s">
        <v>120</v>
      </c>
      <c r="G1348" t="s">
        <v>708</v>
      </c>
      <c r="H1348" t="str">
        <f>TEXT(walmart[[#This Row],[Purchase_Date]],"DDD")</f>
        <v>Mon</v>
      </c>
      <c r="I1348" t="str">
        <f>TEXT(walmart[[#This Row],[Purchase_Date]],"MMM")</f>
        <v>Feb</v>
      </c>
      <c r="J1348" t="str">
        <f>TEXT(walmart[[#This Row],[Purchase_Date]],"YYY")</f>
        <v>2025</v>
      </c>
      <c r="K1348" s="3">
        <v>260.77999999999997</v>
      </c>
      <c r="L1348" t="str">
        <f t="shared" si="100"/>
        <v>5% off</v>
      </c>
      <c r="N1348" t="str">
        <f t="shared" si="101"/>
        <v>Yes</v>
      </c>
      <c r="O1348" t="s">
        <v>21</v>
      </c>
      <c r="P1348" s="3">
        <f t="shared" si="102"/>
        <v>260.77999999999997</v>
      </c>
      <c r="Q1348" t="s">
        <v>47</v>
      </c>
      <c r="R1348">
        <v>5</v>
      </c>
      <c r="S1348" t="str">
        <f t="shared" si="103"/>
        <v>Excellent</v>
      </c>
    </row>
    <row r="1349" spans="1:19" x14ac:dyDescent="0.25">
      <c r="A1349" t="s">
        <v>1765</v>
      </c>
      <c r="B1349">
        <v>56</v>
      </c>
      <c r="C1349" t="s">
        <v>29</v>
      </c>
      <c r="D1349" t="s">
        <v>2564</v>
      </c>
      <c r="E1349" t="s">
        <v>18</v>
      </c>
      <c r="F1349" t="s">
        <v>77</v>
      </c>
      <c r="G1349" t="s">
        <v>231</v>
      </c>
      <c r="H1349" t="str">
        <f>TEXT(walmart[[#This Row],[Purchase_Date]],"DDD")</f>
        <v>Thu</v>
      </c>
      <c r="I1349" t="str">
        <f>TEXT(walmart[[#This Row],[Purchase_Date]],"MMM")</f>
        <v>Oct</v>
      </c>
      <c r="J1349" t="str">
        <f>TEXT(walmart[[#This Row],[Purchase_Date]],"YYY")</f>
        <v>2024</v>
      </c>
      <c r="K1349" s="3">
        <v>116.78</v>
      </c>
      <c r="L1349" t="str">
        <f t="shared" si="100"/>
        <v>0% off</v>
      </c>
      <c r="N1349" t="str">
        <f t="shared" si="101"/>
        <v>No</v>
      </c>
      <c r="O1349" t="s">
        <v>34</v>
      </c>
      <c r="P1349" s="3">
        <f t="shared" si="102"/>
        <v>116.78</v>
      </c>
      <c r="Q1349" t="s">
        <v>47</v>
      </c>
      <c r="R1349">
        <v>3</v>
      </c>
      <c r="S1349" t="str">
        <f t="shared" si="103"/>
        <v>Average</v>
      </c>
    </row>
    <row r="1350" spans="1:19" x14ac:dyDescent="0.25">
      <c r="A1350" t="s">
        <v>1766</v>
      </c>
      <c r="B1350">
        <v>21</v>
      </c>
      <c r="C1350" t="s">
        <v>29</v>
      </c>
      <c r="D1350" t="s">
        <v>2565</v>
      </c>
      <c r="E1350" t="s">
        <v>42</v>
      </c>
      <c r="F1350" t="s">
        <v>43</v>
      </c>
      <c r="G1350" t="s">
        <v>617</v>
      </c>
      <c r="H1350" t="str">
        <f>TEXT(walmart[[#This Row],[Purchase_Date]],"DDD")</f>
        <v>Mon</v>
      </c>
      <c r="I1350" t="str">
        <f>TEXT(walmart[[#This Row],[Purchase_Date]],"MMM")</f>
        <v>Jul</v>
      </c>
      <c r="J1350" t="str">
        <f>TEXT(walmart[[#This Row],[Purchase_Date]],"YYY")</f>
        <v>2024</v>
      </c>
      <c r="K1350" s="3">
        <v>512.94000000000005</v>
      </c>
      <c r="L1350" t="str">
        <f t="shared" si="100"/>
        <v>10% off</v>
      </c>
      <c r="N1350" t="str">
        <f t="shared" si="101"/>
        <v>Yes</v>
      </c>
      <c r="O1350" t="s">
        <v>34</v>
      </c>
      <c r="P1350" s="3">
        <f t="shared" si="102"/>
        <v>512.94000000000005</v>
      </c>
      <c r="Q1350" t="s">
        <v>27</v>
      </c>
      <c r="R1350">
        <v>2</v>
      </c>
      <c r="S1350" t="str">
        <f t="shared" si="103"/>
        <v>Poor</v>
      </c>
    </row>
    <row r="1351" spans="1:19" x14ac:dyDescent="0.25">
      <c r="A1351" t="s">
        <v>1767</v>
      </c>
      <c r="B1351">
        <v>62</v>
      </c>
      <c r="C1351" t="s">
        <v>16</v>
      </c>
      <c r="D1351" t="s">
        <v>2566</v>
      </c>
      <c r="E1351" t="s">
        <v>24</v>
      </c>
      <c r="F1351" t="s">
        <v>186</v>
      </c>
      <c r="G1351" t="s">
        <v>947</v>
      </c>
      <c r="H1351" t="str">
        <f>TEXT(walmart[[#This Row],[Purchase_Date]],"DDD")</f>
        <v>Sat</v>
      </c>
      <c r="I1351" t="str">
        <f>TEXT(walmart[[#This Row],[Purchase_Date]],"MMM")</f>
        <v>May</v>
      </c>
      <c r="J1351" t="str">
        <f>TEXT(walmart[[#This Row],[Purchase_Date]],"YYY")</f>
        <v>2024</v>
      </c>
      <c r="K1351" s="3">
        <v>527.16999999999996</v>
      </c>
      <c r="L1351" t="str">
        <f t="shared" si="100"/>
        <v>10% off</v>
      </c>
      <c r="N1351" t="str">
        <f t="shared" si="101"/>
        <v>Yes</v>
      </c>
      <c r="O1351" t="s">
        <v>34</v>
      </c>
      <c r="P1351" s="3">
        <f t="shared" si="102"/>
        <v>527.16999999999996</v>
      </c>
      <c r="Q1351" t="s">
        <v>47</v>
      </c>
      <c r="R1351">
        <v>5</v>
      </c>
      <c r="S1351" t="str">
        <f t="shared" si="103"/>
        <v>Excellent</v>
      </c>
    </row>
    <row r="1352" spans="1:19" x14ac:dyDescent="0.25">
      <c r="A1352" t="s">
        <v>1768</v>
      </c>
      <c r="B1352">
        <v>34</v>
      </c>
      <c r="C1352" t="s">
        <v>29</v>
      </c>
      <c r="D1352" t="s">
        <v>2433</v>
      </c>
      <c r="E1352" t="s">
        <v>42</v>
      </c>
      <c r="F1352" t="s">
        <v>52</v>
      </c>
      <c r="G1352" t="s">
        <v>981</v>
      </c>
      <c r="H1352" t="str">
        <f>TEXT(walmart[[#This Row],[Purchase_Date]],"DDD")</f>
        <v>Sat</v>
      </c>
      <c r="I1352" t="str">
        <f>TEXT(walmart[[#This Row],[Purchase_Date]],"MMM")</f>
        <v>Mar</v>
      </c>
      <c r="J1352" t="str">
        <f>TEXT(walmart[[#This Row],[Purchase_Date]],"YYY")</f>
        <v>2025</v>
      </c>
      <c r="K1352" s="3">
        <v>988.77</v>
      </c>
      <c r="L1352" t="str">
        <f t="shared" si="100"/>
        <v>20% off</v>
      </c>
      <c r="N1352" t="str">
        <f t="shared" si="101"/>
        <v>Yes</v>
      </c>
      <c r="O1352" t="s">
        <v>21</v>
      </c>
      <c r="P1352" s="3">
        <f t="shared" si="102"/>
        <v>988.77</v>
      </c>
      <c r="Q1352" t="s">
        <v>22</v>
      </c>
      <c r="R1352">
        <v>3</v>
      </c>
      <c r="S1352" t="str">
        <f t="shared" si="103"/>
        <v>Average</v>
      </c>
    </row>
    <row r="1353" spans="1:19" x14ac:dyDescent="0.25">
      <c r="A1353" t="s">
        <v>1769</v>
      </c>
      <c r="B1353">
        <v>63</v>
      </c>
      <c r="C1353" t="s">
        <v>16</v>
      </c>
      <c r="D1353" t="s">
        <v>49</v>
      </c>
      <c r="E1353" t="s">
        <v>55</v>
      </c>
      <c r="F1353" t="s">
        <v>56</v>
      </c>
      <c r="G1353" t="s">
        <v>772</v>
      </c>
      <c r="H1353" t="str">
        <f>TEXT(walmart[[#This Row],[Purchase_Date]],"DDD")</f>
        <v>Sat</v>
      </c>
      <c r="I1353" t="str">
        <f>TEXT(walmart[[#This Row],[Purchase_Date]],"MMM")</f>
        <v>Mar</v>
      </c>
      <c r="J1353" t="str">
        <f>TEXT(walmart[[#This Row],[Purchase_Date]],"YYY")</f>
        <v>2024</v>
      </c>
      <c r="K1353" s="3">
        <v>76.81</v>
      </c>
      <c r="L1353" t="str">
        <f t="shared" si="100"/>
        <v>0% off</v>
      </c>
      <c r="N1353" t="str">
        <f t="shared" si="101"/>
        <v>No</v>
      </c>
      <c r="O1353" t="s">
        <v>34</v>
      </c>
      <c r="P1353" s="3">
        <f t="shared" si="102"/>
        <v>76.81</v>
      </c>
      <c r="Q1353" t="s">
        <v>47</v>
      </c>
      <c r="R1353">
        <v>4</v>
      </c>
      <c r="S1353" t="str">
        <f t="shared" si="103"/>
        <v>Good</v>
      </c>
    </row>
    <row r="1354" spans="1:19" x14ac:dyDescent="0.25">
      <c r="A1354" t="s">
        <v>1770</v>
      </c>
      <c r="B1354">
        <v>47</v>
      </c>
      <c r="C1354" t="s">
        <v>16</v>
      </c>
      <c r="D1354" t="s">
        <v>30</v>
      </c>
      <c r="E1354" t="s">
        <v>37</v>
      </c>
      <c r="F1354" t="s">
        <v>97</v>
      </c>
      <c r="G1354" t="s">
        <v>605</v>
      </c>
      <c r="H1354" t="str">
        <f>TEXT(walmart[[#This Row],[Purchase_Date]],"DDD")</f>
        <v>Sun</v>
      </c>
      <c r="I1354" t="str">
        <f>TEXT(walmart[[#This Row],[Purchase_Date]],"MMM")</f>
        <v>Mar</v>
      </c>
      <c r="J1354" t="str">
        <f>TEXT(walmart[[#This Row],[Purchase_Date]],"YYY")</f>
        <v>2025</v>
      </c>
      <c r="K1354" s="3">
        <v>855.21</v>
      </c>
      <c r="L1354" t="str">
        <f t="shared" si="100"/>
        <v>15% off</v>
      </c>
      <c r="N1354" t="str">
        <f t="shared" si="101"/>
        <v>Yes</v>
      </c>
      <c r="O1354" t="s">
        <v>34</v>
      </c>
      <c r="P1354" s="3">
        <f t="shared" si="102"/>
        <v>855.21</v>
      </c>
      <c r="Q1354" t="s">
        <v>35</v>
      </c>
      <c r="R1354">
        <v>3</v>
      </c>
      <c r="S1354" t="str">
        <f t="shared" si="103"/>
        <v>Average</v>
      </c>
    </row>
    <row r="1355" spans="1:19" x14ac:dyDescent="0.25">
      <c r="A1355" t="s">
        <v>1771</v>
      </c>
      <c r="B1355">
        <v>49</v>
      </c>
      <c r="C1355" t="s">
        <v>16</v>
      </c>
      <c r="D1355" t="s">
        <v>41</v>
      </c>
      <c r="E1355" t="s">
        <v>37</v>
      </c>
      <c r="F1355" t="s">
        <v>117</v>
      </c>
      <c r="G1355" t="s">
        <v>534</v>
      </c>
      <c r="H1355" t="str">
        <f>TEXT(walmart[[#This Row],[Purchase_Date]],"DDD")</f>
        <v>Tue</v>
      </c>
      <c r="I1355" t="str">
        <f>TEXT(walmart[[#This Row],[Purchase_Date]],"MMM")</f>
        <v>Feb</v>
      </c>
      <c r="J1355" t="str">
        <f>TEXT(walmart[[#This Row],[Purchase_Date]],"YYY")</f>
        <v>2025</v>
      </c>
      <c r="K1355" s="3">
        <v>165.68</v>
      </c>
      <c r="L1355" t="str">
        <f t="shared" si="100"/>
        <v>5% off</v>
      </c>
      <c r="N1355" t="str">
        <f t="shared" si="101"/>
        <v>Yes</v>
      </c>
      <c r="O1355" t="s">
        <v>34</v>
      </c>
      <c r="P1355" s="3">
        <f t="shared" si="102"/>
        <v>165.68</v>
      </c>
      <c r="Q1355" t="s">
        <v>27</v>
      </c>
      <c r="R1355">
        <v>1</v>
      </c>
      <c r="S1355" t="str">
        <f t="shared" si="103"/>
        <v>Very Poor</v>
      </c>
    </row>
    <row r="1356" spans="1:19" x14ac:dyDescent="0.25">
      <c r="A1356" t="s">
        <v>1772</v>
      </c>
      <c r="B1356">
        <v>67</v>
      </c>
      <c r="C1356" t="s">
        <v>29</v>
      </c>
      <c r="D1356" t="s">
        <v>2434</v>
      </c>
      <c r="E1356" t="s">
        <v>37</v>
      </c>
      <c r="F1356" t="s">
        <v>117</v>
      </c>
      <c r="G1356" t="s">
        <v>205</v>
      </c>
      <c r="H1356" t="str">
        <f>TEXT(walmart[[#This Row],[Purchase_Date]],"DDD")</f>
        <v>Mon</v>
      </c>
      <c r="I1356" t="str">
        <f>TEXT(walmart[[#This Row],[Purchase_Date]],"MMM")</f>
        <v>Nov</v>
      </c>
      <c r="J1356" t="str">
        <f>TEXT(walmart[[#This Row],[Purchase_Date]],"YYY")</f>
        <v>2024</v>
      </c>
      <c r="K1356" s="3">
        <v>165.68</v>
      </c>
      <c r="L1356" t="str">
        <f t="shared" si="100"/>
        <v>5% off</v>
      </c>
      <c r="N1356" t="str">
        <f t="shared" si="101"/>
        <v>Yes</v>
      </c>
      <c r="O1356" t="s">
        <v>21</v>
      </c>
      <c r="P1356" s="3">
        <f t="shared" si="102"/>
        <v>165.68</v>
      </c>
      <c r="Q1356" t="s">
        <v>35</v>
      </c>
      <c r="R1356">
        <v>5</v>
      </c>
      <c r="S1356" t="str">
        <f t="shared" si="103"/>
        <v>Excellent</v>
      </c>
    </row>
    <row r="1357" spans="1:19" x14ac:dyDescent="0.25">
      <c r="A1357" t="s">
        <v>1773</v>
      </c>
      <c r="B1357">
        <v>18</v>
      </c>
      <c r="C1357" t="s">
        <v>16</v>
      </c>
      <c r="D1357" t="s">
        <v>2435</v>
      </c>
      <c r="E1357" t="s">
        <v>37</v>
      </c>
      <c r="F1357" t="s">
        <v>117</v>
      </c>
      <c r="G1357" t="s">
        <v>622</v>
      </c>
      <c r="H1357" t="str">
        <f>TEXT(walmart[[#This Row],[Purchase_Date]],"DDD")</f>
        <v>Mon</v>
      </c>
      <c r="I1357" t="str">
        <f>TEXT(walmart[[#This Row],[Purchase_Date]],"MMM")</f>
        <v>Dec</v>
      </c>
      <c r="J1357" t="str">
        <f>TEXT(walmart[[#This Row],[Purchase_Date]],"YYY")</f>
        <v>2024</v>
      </c>
      <c r="K1357" s="3">
        <v>165.68</v>
      </c>
      <c r="L1357" t="str">
        <f t="shared" si="100"/>
        <v>5% off</v>
      </c>
      <c r="N1357" t="str">
        <f t="shared" si="101"/>
        <v>Yes</v>
      </c>
      <c r="O1357" t="s">
        <v>21</v>
      </c>
      <c r="P1357" s="3">
        <f t="shared" si="102"/>
        <v>165.68</v>
      </c>
      <c r="Q1357" t="s">
        <v>22</v>
      </c>
      <c r="R1357">
        <v>3</v>
      </c>
      <c r="S1357" t="str">
        <f t="shared" si="103"/>
        <v>Average</v>
      </c>
    </row>
    <row r="1358" spans="1:19" x14ac:dyDescent="0.25">
      <c r="A1358" t="s">
        <v>1774</v>
      </c>
      <c r="B1358">
        <v>48</v>
      </c>
      <c r="C1358" t="s">
        <v>16</v>
      </c>
      <c r="D1358" t="s">
        <v>2436</v>
      </c>
      <c r="E1358" t="s">
        <v>55</v>
      </c>
      <c r="F1358" t="s">
        <v>56</v>
      </c>
      <c r="G1358" t="s">
        <v>193</v>
      </c>
      <c r="H1358" t="str">
        <f>TEXT(walmart[[#This Row],[Purchase_Date]],"DDD")</f>
        <v>Thu</v>
      </c>
      <c r="I1358" t="str">
        <f>TEXT(walmart[[#This Row],[Purchase_Date]],"MMM")</f>
        <v>May</v>
      </c>
      <c r="J1358" t="str">
        <f>TEXT(walmart[[#This Row],[Purchase_Date]],"YYY")</f>
        <v>2024</v>
      </c>
      <c r="K1358" s="3">
        <v>76.81</v>
      </c>
      <c r="L1358" t="str">
        <f t="shared" si="100"/>
        <v>0% off</v>
      </c>
      <c r="N1358" t="str">
        <f t="shared" si="101"/>
        <v>No</v>
      </c>
      <c r="O1358" t="s">
        <v>21</v>
      </c>
      <c r="P1358" s="3">
        <f t="shared" si="102"/>
        <v>76.81</v>
      </c>
      <c r="Q1358" t="s">
        <v>22</v>
      </c>
      <c r="R1358">
        <v>2</v>
      </c>
      <c r="S1358" t="str">
        <f t="shared" si="103"/>
        <v>Poor</v>
      </c>
    </row>
    <row r="1359" spans="1:19" x14ac:dyDescent="0.25">
      <c r="A1359" t="s">
        <v>1775</v>
      </c>
      <c r="B1359">
        <v>38</v>
      </c>
      <c r="C1359" t="s">
        <v>16</v>
      </c>
      <c r="D1359" t="s">
        <v>2437</v>
      </c>
      <c r="E1359" t="s">
        <v>73</v>
      </c>
      <c r="F1359" t="s">
        <v>138</v>
      </c>
      <c r="G1359" t="s">
        <v>1414</v>
      </c>
      <c r="H1359" t="str">
        <f>TEXT(walmart[[#This Row],[Purchase_Date]],"DDD")</f>
        <v>Mon</v>
      </c>
      <c r="I1359" t="str">
        <f>TEXT(walmart[[#This Row],[Purchase_Date]],"MMM")</f>
        <v>Dec</v>
      </c>
      <c r="J1359" t="str">
        <f>TEXT(walmart[[#This Row],[Purchase_Date]],"YYY")</f>
        <v>2024</v>
      </c>
      <c r="K1359" s="3">
        <v>461.81</v>
      </c>
      <c r="L1359" t="str">
        <f t="shared" si="100"/>
        <v>5% off</v>
      </c>
      <c r="N1359" t="str">
        <f t="shared" si="101"/>
        <v>Yes</v>
      </c>
      <c r="O1359" t="s">
        <v>34</v>
      </c>
      <c r="P1359" s="3">
        <f t="shared" si="102"/>
        <v>461.81</v>
      </c>
      <c r="Q1359" t="s">
        <v>22</v>
      </c>
      <c r="R1359">
        <v>4</v>
      </c>
      <c r="S1359" t="str">
        <f t="shared" si="103"/>
        <v>Good</v>
      </c>
    </row>
    <row r="1360" spans="1:19" x14ac:dyDescent="0.25">
      <c r="A1360" t="s">
        <v>1776</v>
      </c>
      <c r="B1360">
        <v>19</v>
      </c>
      <c r="C1360" t="s">
        <v>29</v>
      </c>
      <c r="D1360" t="s">
        <v>2438</v>
      </c>
      <c r="E1360" t="s">
        <v>42</v>
      </c>
      <c r="F1360" t="s">
        <v>103</v>
      </c>
      <c r="G1360" t="s">
        <v>545</v>
      </c>
      <c r="H1360" t="str">
        <f>TEXT(walmart[[#This Row],[Purchase_Date]],"DDD")</f>
        <v>Wed</v>
      </c>
      <c r="I1360" t="str">
        <f>TEXT(walmart[[#This Row],[Purchase_Date]],"MMM")</f>
        <v>Feb</v>
      </c>
      <c r="J1360" t="str">
        <f>TEXT(walmart[[#This Row],[Purchase_Date]],"YYY")</f>
        <v>2025</v>
      </c>
      <c r="K1360" s="3">
        <v>315.56</v>
      </c>
      <c r="L1360" t="str">
        <f t="shared" si="100"/>
        <v>5% off</v>
      </c>
      <c r="N1360" t="str">
        <f t="shared" si="101"/>
        <v>Yes</v>
      </c>
      <c r="O1360" t="s">
        <v>34</v>
      </c>
      <c r="P1360" s="3">
        <f t="shared" si="102"/>
        <v>315.56</v>
      </c>
      <c r="Q1360" t="s">
        <v>35</v>
      </c>
      <c r="R1360">
        <v>4</v>
      </c>
      <c r="S1360" t="str">
        <f t="shared" si="103"/>
        <v>Good</v>
      </c>
    </row>
    <row r="1361" spans="1:19" x14ac:dyDescent="0.25">
      <c r="A1361" t="s">
        <v>1777</v>
      </c>
      <c r="B1361">
        <v>48</v>
      </c>
      <c r="C1361" t="s">
        <v>29</v>
      </c>
      <c r="D1361" t="s">
        <v>2439</v>
      </c>
      <c r="E1361" t="s">
        <v>73</v>
      </c>
      <c r="F1361" t="s">
        <v>74</v>
      </c>
      <c r="G1361" t="s">
        <v>1291</v>
      </c>
      <c r="H1361" t="str">
        <f>TEXT(walmart[[#This Row],[Purchase_Date]],"DDD")</f>
        <v>Sat</v>
      </c>
      <c r="I1361" t="str">
        <f>TEXT(walmart[[#This Row],[Purchase_Date]],"MMM")</f>
        <v>Oct</v>
      </c>
      <c r="J1361" t="str">
        <f>TEXT(walmart[[#This Row],[Purchase_Date]],"YYY")</f>
        <v>2024</v>
      </c>
      <c r="K1361" s="3">
        <v>782.29</v>
      </c>
      <c r="L1361" t="str">
        <f t="shared" si="100"/>
        <v>15% off</v>
      </c>
      <c r="N1361" t="str">
        <f t="shared" si="101"/>
        <v>Yes</v>
      </c>
      <c r="O1361" t="s">
        <v>34</v>
      </c>
      <c r="P1361" s="3">
        <f t="shared" si="102"/>
        <v>782.29</v>
      </c>
      <c r="Q1361" t="s">
        <v>22</v>
      </c>
      <c r="R1361">
        <v>5</v>
      </c>
      <c r="S1361" t="str">
        <f t="shared" si="103"/>
        <v>Excellent</v>
      </c>
    </row>
    <row r="1362" spans="1:19" x14ac:dyDescent="0.25">
      <c r="A1362" t="s">
        <v>1778</v>
      </c>
      <c r="B1362">
        <v>35</v>
      </c>
      <c r="C1362" t="s">
        <v>16</v>
      </c>
      <c r="D1362" t="s">
        <v>2440</v>
      </c>
      <c r="E1362" t="s">
        <v>42</v>
      </c>
      <c r="F1362" t="s">
        <v>120</v>
      </c>
      <c r="G1362" t="s">
        <v>418</v>
      </c>
      <c r="H1362" t="str">
        <f>TEXT(walmart[[#This Row],[Purchase_Date]],"DDD")</f>
        <v>Sat</v>
      </c>
      <c r="I1362" t="str">
        <f>TEXT(walmart[[#This Row],[Purchase_Date]],"MMM")</f>
        <v>Jan</v>
      </c>
      <c r="J1362" t="str">
        <f>TEXT(walmart[[#This Row],[Purchase_Date]],"YYY")</f>
        <v>2025</v>
      </c>
      <c r="K1362" s="3">
        <v>260.77999999999997</v>
      </c>
      <c r="L1362" t="str">
        <f t="shared" si="100"/>
        <v>5% off</v>
      </c>
      <c r="N1362" t="str">
        <f t="shared" si="101"/>
        <v>Yes</v>
      </c>
      <c r="O1362" t="s">
        <v>34</v>
      </c>
      <c r="P1362" s="3">
        <f t="shared" si="102"/>
        <v>260.77999999999997</v>
      </c>
      <c r="Q1362" t="s">
        <v>27</v>
      </c>
      <c r="R1362">
        <v>2</v>
      </c>
      <c r="S1362" t="str">
        <f t="shared" si="103"/>
        <v>Poor</v>
      </c>
    </row>
    <row r="1363" spans="1:19" x14ac:dyDescent="0.25">
      <c r="A1363" t="s">
        <v>1779</v>
      </c>
      <c r="B1363">
        <v>60</v>
      </c>
      <c r="C1363" t="s">
        <v>29</v>
      </c>
      <c r="D1363" t="s">
        <v>2441</v>
      </c>
      <c r="E1363" t="s">
        <v>42</v>
      </c>
      <c r="F1363" t="s">
        <v>103</v>
      </c>
      <c r="G1363" t="s">
        <v>252</v>
      </c>
      <c r="H1363" t="str">
        <f>TEXT(walmart[[#This Row],[Purchase_Date]],"DDD")</f>
        <v>Tue</v>
      </c>
      <c r="I1363" t="str">
        <f>TEXT(walmart[[#This Row],[Purchase_Date]],"MMM")</f>
        <v>Jun</v>
      </c>
      <c r="J1363" t="str">
        <f>TEXT(walmart[[#This Row],[Purchase_Date]],"YYY")</f>
        <v>2024</v>
      </c>
      <c r="K1363" s="3">
        <v>315.56</v>
      </c>
      <c r="L1363" t="str">
        <f t="shared" si="100"/>
        <v>5% off</v>
      </c>
      <c r="N1363" t="str">
        <f t="shared" si="101"/>
        <v>Yes</v>
      </c>
      <c r="O1363" t="s">
        <v>34</v>
      </c>
      <c r="P1363" s="3">
        <f t="shared" si="102"/>
        <v>315.56</v>
      </c>
      <c r="Q1363" t="s">
        <v>47</v>
      </c>
      <c r="R1363">
        <v>5</v>
      </c>
      <c r="S1363" t="str">
        <f t="shared" si="103"/>
        <v>Excellent</v>
      </c>
    </row>
    <row r="1364" spans="1:19" x14ac:dyDescent="0.25">
      <c r="A1364" t="s">
        <v>1780</v>
      </c>
      <c r="B1364">
        <v>26</v>
      </c>
      <c r="C1364" t="s">
        <v>29</v>
      </c>
      <c r="D1364" t="s">
        <v>17</v>
      </c>
      <c r="E1364" t="s">
        <v>73</v>
      </c>
      <c r="F1364" t="s">
        <v>138</v>
      </c>
      <c r="G1364" t="s">
        <v>346</v>
      </c>
      <c r="H1364" t="str">
        <f>TEXT(walmart[[#This Row],[Purchase_Date]],"DDD")</f>
        <v>Fri</v>
      </c>
      <c r="I1364" t="str">
        <f>TEXT(walmart[[#This Row],[Purchase_Date]],"MMM")</f>
        <v>Aug</v>
      </c>
      <c r="J1364" t="str">
        <f>TEXT(walmart[[#This Row],[Purchase_Date]],"YYY")</f>
        <v>2024</v>
      </c>
      <c r="K1364" s="3">
        <v>461.81</v>
      </c>
      <c r="L1364" t="str">
        <f t="shared" si="100"/>
        <v>5% off</v>
      </c>
      <c r="N1364" t="str">
        <f t="shared" si="101"/>
        <v>Yes</v>
      </c>
      <c r="O1364" t="s">
        <v>34</v>
      </c>
      <c r="P1364" s="3">
        <f t="shared" si="102"/>
        <v>461.81</v>
      </c>
      <c r="Q1364" t="s">
        <v>27</v>
      </c>
      <c r="R1364">
        <v>3</v>
      </c>
      <c r="S1364" t="str">
        <f t="shared" si="103"/>
        <v>Average</v>
      </c>
    </row>
    <row r="1365" spans="1:19" x14ac:dyDescent="0.25">
      <c r="A1365" t="s">
        <v>1781</v>
      </c>
      <c r="B1365">
        <v>32</v>
      </c>
      <c r="C1365" t="s">
        <v>29</v>
      </c>
      <c r="D1365" t="s">
        <v>2442</v>
      </c>
      <c r="E1365" t="s">
        <v>73</v>
      </c>
      <c r="F1365" t="s">
        <v>138</v>
      </c>
      <c r="G1365" t="s">
        <v>80</v>
      </c>
      <c r="H1365" t="str">
        <f>TEXT(walmart[[#This Row],[Purchase_Date]],"DDD")</f>
        <v>Thu</v>
      </c>
      <c r="I1365" t="str">
        <f>TEXT(walmart[[#This Row],[Purchase_Date]],"MMM")</f>
        <v>Feb</v>
      </c>
      <c r="J1365" t="str">
        <f>TEXT(walmart[[#This Row],[Purchase_Date]],"YYY")</f>
        <v>2025</v>
      </c>
      <c r="K1365" s="3">
        <v>461.81</v>
      </c>
      <c r="L1365" t="str">
        <f t="shared" si="100"/>
        <v>5% off</v>
      </c>
      <c r="N1365" t="str">
        <f t="shared" si="101"/>
        <v>Yes</v>
      </c>
      <c r="O1365" t="s">
        <v>21</v>
      </c>
      <c r="P1365" s="3">
        <f t="shared" si="102"/>
        <v>461.81</v>
      </c>
      <c r="Q1365" t="s">
        <v>22</v>
      </c>
      <c r="R1365">
        <v>3</v>
      </c>
      <c r="S1365" t="str">
        <f t="shared" si="103"/>
        <v>Average</v>
      </c>
    </row>
    <row r="1366" spans="1:19" x14ac:dyDescent="0.25">
      <c r="A1366" t="s">
        <v>1782</v>
      </c>
      <c r="B1366">
        <v>33</v>
      </c>
      <c r="C1366" t="s">
        <v>16</v>
      </c>
      <c r="D1366" t="s">
        <v>2443</v>
      </c>
      <c r="E1366" t="s">
        <v>31</v>
      </c>
      <c r="F1366" t="s">
        <v>112</v>
      </c>
      <c r="G1366" t="s">
        <v>212</v>
      </c>
      <c r="H1366" t="str">
        <f>TEXT(walmart[[#This Row],[Purchase_Date]],"DDD")</f>
        <v>Sat</v>
      </c>
      <c r="I1366" t="str">
        <f>TEXT(walmart[[#This Row],[Purchase_Date]],"MMM")</f>
        <v>Aug</v>
      </c>
      <c r="J1366" t="str">
        <f>TEXT(walmart[[#This Row],[Purchase_Date]],"YYY")</f>
        <v>2024</v>
      </c>
      <c r="K1366" s="3">
        <v>492.1</v>
      </c>
      <c r="L1366" t="str">
        <f t="shared" si="100"/>
        <v>5% off</v>
      </c>
      <c r="N1366" t="str">
        <f t="shared" si="101"/>
        <v>Yes</v>
      </c>
      <c r="O1366" t="s">
        <v>34</v>
      </c>
      <c r="P1366" s="3">
        <f t="shared" si="102"/>
        <v>492.1</v>
      </c>
      <c r="Q1366" t="s">
        <v>22</v>
      </c>
      <c r="R1366">
        <v>4</v>
      </c>
      <c r="S1366" t="str">
        <f t="shared" si="103"/>
        <v>Good</v>
      </c>
    </row>
    <row r="1367" spans="1:19" x14ac:dyDescent="0.25">
      <c r="A1367" t="s">
        <v>1783</v>
      </c>
      <c r="B1367">
        <v>19</v>
      </c>
      <c r="C1367" t="s">
        <v>16</v>
      </c>
      <c r="D1367" t="s">
        <v>2444</v>
      </c>
      <c r="E1367" t="s">
        <v>73</v>
      </c>
      <c r="F1367" t="s">
        <v>138</v>
      </c>
      <c r="G1367" t="s">
        <v>670</v>
      </c>
      <c r="H1367" t="str">
        <f>TEXT(walmart[[#This Row],[Purchase_Date]],"DDD")</f>
        <v>Wed</v>
      </c>
      <c r="I1367" t="str">
        <f>TEXT(walmart[[#This Row],[Purchase_Date]],"MMM")</f>
        <v>Sep</v>
      </c>
      <c r="J1367" t="str">
        <f>TEXT(walmart[[#This Row],[Purchase_Date]],"YYY")</f>
        <v>2024</v>
      </c>
      <c r="K1367" s="3">
        <v>461.81</v>
      </c>
      <c r="L1367" t="str">
        <f t="shared" si="100"/>
        <v>5% off</v>
      </c>
      <c r="N1367" t="str">
        <f t="shared" si="101"/>
        <v>Yes</v>
      </c>
      <c r="O1367" t="s">
        <v>34</v>
      </c>
      <c r="P1367" s="3">
        <f t="shared" si="102"/>
        <v>461.81</v>
      </c>
      <c r="Q1367" t="s">
        <v>27</v>
      </c>
      <c r="R1367">
        <v>1</v>
      </c>
      <c r="S1367" t="str">
        <f t="shared" si="103"/>
        <v>Very Poor</v>
      </c>
    </row>
    <row r="1368" spans="1:19" x14ac:dyDescent="0.25">
      <c r="A1368" t="s">
        <v>1784</v>
      </c>
      <c r="B1368">
        <v>66</v>
      </c>
      <c r="C1368" t="s">
        <v>29</v>
      </c>
      <c r="D1368" t="s">
        <v>2445</v>
      </c>
      <c r="E1368" t="s">
        <v>55</v>
      </c>
      <c r="F1368" t="s">
        <v>67</v>
      </c>
      <c r="G1368" t="s">
        <v>181</v>
      </c>
      <c r="H1368" t="str">
        <f>TEXT(walmart[[#This Row],[Purchase_Date]],"DDD")</f>
        <v>Sat</v>
      </c>
      <c r="I1368" t="str">
        <f>TEXT(walmart[[#This Row],[Purchase_Date]],"MMM")</f>
        <v>Oct</v>
      </c>
      <c r="J1368" t="str">
        <f>TEXT(walmart[[#This Row],[Purchase_Date]],"YYY")</f>
        <v>2024</v>
      </c>
      <c r="K1368" s="3">
        <v>452.97</v>
      </c>
      <c r="L1368" t="str">
        <f t="shared" si="100"/>
        <v>5% off</v>
      </c>
      <c r="N1368" t="str">
        <f t="shared" si="101"/>
        <v>Yes</v>
      </c>
      <c r="O1368" t="s">
        <v>34</v>
      </c>
      <c r="P1368" s="3">
        <f t="shared" si="102"/>
        <v>452.97</v>
      </c>
      <c r="Q1368" t="s">
        <v>22</v>
      </c>
      <c r="R1368">
        <v>3</v>
      </c>
      <c r="S1368" t="str">
        <f t="shared" si="103"/>
        <v>Average</v>
      </c>
    </row>
    <row r="1369" spans="1:19" x14ac:dyDescent="0.25">
      <c r="A1369" t="s">
        <v>1785</v>
      </c>
      <c r="B1369">
        <v>26</v>
      </c>
      <c r="C1369" t="s">
        <v>16</v>
      </c>
      <c r="D1369" t="s">
        <v>2446</v>
      </c>
      <c r="E1369" t="s">
        <v>24</v>
      </c>
      <c r="F1369" t="s">
        <v>25</v>
      </c>
      <c r="G1369" t="s">
        <v>644</v>
      </c>
      <c r="H1369" t="str">
        <f>TEXT(walmart[[#This Row],[Purchase_Date]],"DDD")</f>
        <v>Fri</v>
      </c>
      <c r="I1369" t="str">
        <f>TEXT(walmart[[#This Row],[Purchase_Date]],"MMM")</f>
        <v>Jan</v>
      </c>
      <c r="J1369" t="str">
        <f>TEXT(walmart[[#This Row],[Purchase_Date]],"YYY")</f>
        <v>2025</v>
      </c>
      <c r="K1369" s="3">
        <v>67.040000000000006</v>
      </c>
      <c r="L1369" t="str">
        <f t="shared" si="100"/>
        <v>0% off</v>
      </c>
      <c r="N1369" t="str">
        <f t="shared" si="101"/>
        <v>No</v>
      </c>
      <c r="O1369" t="s">
        <v>21</v>
      </c>
      <c r="P1369" s="3">
        <f t="shared" si="102"/>
        <v>67.040000000000006</v>
      </c>
      <c r="Q1369" t="s">
        <v>35</v>
      </c>
      <c r="R1369">
        <v>5</v>
      </c>
      <c r="S1369" t="str">
        <f t="shared" si="103"/>
        <v>Excellent</v>
      </c>
    </row>
    <row r="1370" spans="1:19" x14ac:dyDescent="0.25">
      <c r="A1370" t="s">
        <v>1786</v>
      </c>
      <c r="B1370">
        <v>32</v>
      </c>
      <c r="C1370" t="s">
        <v>29</v>
      </c>
      <c r="D1370" t="s">
        <v>2447</v>
      </c>
      <c r="E1370" t="s">
        <v>18</v>
      </c>
      <c r="F1370" t="s">
        <v>77</v>
      </c>
      <c r="G1370" t="s">
        <v>231</v>
      </c>
      <c r="H1370" t="str">
        <f>TEXT(walmart[[#This Row],[Purchase_Date]],"DDD")</f>
        <v>Thu</v>
      </c>
      <c r="I1370" t="str">
        <f>TEXT(walmart[[#This Row],[Purchase_Date]],"MMM")</f>
        <v>Oct</v>
      </c>
      <c r="J1370" t="str">
        <f>TEXT(walmart[[#This Row],[Purchase_Date]],"YYY")</f>
        <v>2024</v>
      </c>
      <c r="K1370" s="3">
        <v>116.78</v>
      </c>
      <c r="L1370" t="str">
        <f t="shared" si="100"/>
        <v>0% off</v>
      </c>
      <c r="N1370" t="str">
        <f t="shared" si="101"/>
        <v>No</v>
      </c>
      <c r="O1370" t="s">
        <v>21</v>
      </c>
      <c r="P1370" s="3">
        <f t="shared" si="102"/>
        <v>116.78</v>
      </c>
      <c r="Q1370" t="s">
        <v>35</v>
      </c>
      <c r="R1370">
        <v>3</v>
      </c>
      <c r="S1370" t="str">
        <f t="shared" si="103"/>
        <v>Average</v>
      </c>
    </row>
    <row r="1371" spans="1:19" x14ac:dyDescent="0.25">
      <c r="A1371" t="s">
        <v>1787</v>
      </c>
      <c r="B1371">
        <v>51</v>
      </c>
      <c r="C1371" t="s">
        <v>29</v>
      </c>
      <c r="D1371" t="s">
        <v>2448</v>
      </c>
      <c r="E1371" t="s">
        <v>24</v>
      </c>
      <c r="F1371" t="s">
        <v>186</v>
      </c>
      <c r="G1371" t="s">
        <v>378</v>
      </c>
      <c r="H1371" t="str">
        <f>TEXT(walmart[[#This Row],[Purchase_Date]],"DDD")</f>
        <v>Sat</v>
      </c>
      <c r="I1371" t="str">
        <f>TEXT(walmart[[#This Row],[Purchase_Date]],"MMM")</f>
        <v>Jun</v>
      </c>
      <c r="J1371" t="str">
        <f>TEXT(walmart[[#This Row],[Purchase_Date]],"YYY")</f>
        <v>2024</v>
      </c>
      <c r="K1371" s="3">
        <v>527.16999999999996</v>
      </c>
      <c r="L1371" t="str">
        <f t="shared" si="100"/>
        <v>10% off</v>
      </c>
      <c r="N1371" t="str">
        <f t="shared" si="101"/>
        <v>Yes</v>
      </c>
      <c r="O1371" t="s">
        <v>21</v>
      </c>
      <c r="P1371" s="3">
        <f t="shared" si="102"/>
        <v>527.16999999999996</v>
      </c>
      <c r="Q1371" t="s">
        <v>35</v>
      </c>
      <c r="R1371">
        <v>1</v>
      </c>
      <c r="S1371" t="str">
        <f t="shared" si="103"/>
        <v>Very Poor</v>
      </c>
    </row>
    <row r="1372" spans="1:19" x14ac:dyDescent="0.25">
      <c r="A1372" t="s">
        <v>1788</v>
      </c>
      <c r="B1372">
        <v>30</v>
      </c>
      <c r="C1372" t="s">
        <v>16</v>
      </c>
      <c r="D1372" t="s">
        <v>2449</v>
      </c>
      <c r="E1372" t="s">
        <v>73</v>
      </c>
      <c r="F1372" t="s">
        <v>138</v>
      </c>
      <c r="G1372" t="s">
        <v>1789</v>
      </c>
      <c r="H1372" t="str">
        <f>TEXT(walmart[[#This Row],[Purchase_Date]],"DDD")</f>
        <v>Sun</v>
      </c>
      <c r="I1372" t="str">
        <f>TEXT(walmart[[#This Row],[Purchase_Date]],"MMM")</f>
        <v>Oct</v>
      </c>
      <c r="J1372" t="str">
        <f>TEXT(walmart[[#This Row],[Purchase_Date]],"YYY")</f>
        <v>2024</v>
      </c>
      <c r="K1372" s="3">
        <v>461.81</v>
      </c>
      <c r="L1372" t="str">
        <f t="shared" si="100"/>
        <v>5% off</v>
      </c>
      <c r="N1372" t="str">
        <f t="shared" si="101"/>
        <v>Yes</v>
      </c>
      <c r="O1372" t="s">
        <v>34</v>
      </c>
      <c r="P1372" s="3">
        <f t="shared" si="102"/>
        <v>461.81</v>
      </c>
      <c r="Q1372" t="s">
        <v>27</v>
      </c>
      <c r="R1372">
        <v>3</v>
      </c>
      <c r="S1372" t="str">
        <f t="shared" si="103"/>
        <v>Average</v>
      </c>
    </row>
    <row r="1373" spans="1:19" x14ac:dyDescent="0.25">
      <c r="A1373" t="s">
        <v>1790</v>
      </c>
      <c r="B1373">
        <v>45</v>
      </c>
      <c r="C1373" t="s">
        <v>29</v>
      </c>
      <c r="D1373" t="s">
        <v>2450</v>
      </c>
      <c r="E1373" t="s">
        <v>24</v>
      </c>
      <c r="F1373" t="s">
        <v>25</v>
      </c>
      <c r="G1373" t="s">
        <v>875</v>
      </c>
      <c r="H1373" t="str">
        <f>TEXT(walmart[[#This Row],[Purchase_Date]],"DDD")</f>
        <v>Fri</v>
      </c>
      <c r="I1373" t="str">
        <f>TEXT(walmart[[#This Row],[Purchase_Date]],"MMM")</f>
        <v>Jul</v>
      </c>
      <c r="J1373" t="str">
        <f>TEXT(walmart[[#This Row],[Purchase_Date]],"YYY")</f>
        <v>2024</v>
      </c>
      <c r="K1373" s="3">
        <v>67.040000000000006</v>
      </c>
      <c r="L1373" t="str">
        <f t="shared" si="100"/>
        <v>0% off</v>
      </c>
      <c r="N1373" t="str">
        <f t="shared" si="101"/>
        <v>No</v>
      </c>
      <c r="O1373" t="s">
        <v>21</v>
      </c>
      <c r="P1373" s="3">
        <f t="shared" si="102"/>
        <v>67.040000000000006</v>
      </c>
      <c r="Q1373" t="s">
        <v>35</v>
      </c>
      <c r="R1373">
        <v>3</v>
      </c>
      <c r="S1373" t="str">
        <f t="shared" si="103"/>
        <v>Average</v>
      </c>
    </row>
    <row r="1374" spans="1:19" x14ac:dyDescent="0.25">
      <c r="A1374" t="s">
        <v>1791</v>
      </c>
      <c r="B1374">
        <v>38</v>
      </c>
      <c r="C1374" t="s">
        <v>16</v>
      </c>
      <c r="D1374" t="s">
        <v>2451</v>
      </c>
      <c r="E1374" t="s">
        <v>37</v>
      </c>
      <c r="F1374" t="s">
        <v>97</v>
      </c>
      <c r="G1374" t="s">
        <v>1010</v>
      </c>
      <c r="H1374" t="str">
        <f>TEXT(walmart[[#This Row],[Purchase_Date]],"DDD")</f>
        <v>Mon</v>
      </c>
      <c r="I1374" t="str">
        <f>TEXT(walmart[[#This Row],[Purchase_Date]],"MMM")</f>
        <v>Aug</v>
      </c>
      <c r="J1374" t="str">
        <f>TEXT(walmart[[#This Row],[Purchase_Date]],"YYY")</f>
        <v>2024</v>
      </c>
      <c r="K1374" s="3">
        <v>855.21</v>
      </c>
      <c r="L1374" t="str">
        <f t="shared" si="100"/>
        <v>15% off</v>
      </c>
      <c r="N1374" t="str">
        <f t="shared" si="101"/>
        <v>Yes</v>
      </c>
      <c r="O1374" t="s">
        <v>21</v>
      </c>
      <c r="P1374" s="3">
        <f t="shared" si="102"/>
        <v>855.21</v>
      </c>
      <c r="Q1374" t="s">
        <v>27</v>
      </c>
      <c r="R1374">
        <v>2</v>
      </c>
      <c r="S1374" t="str">
        <f t="shared" si="103"/>
        <v>Poor</v>
      </c>
    </row>
    <row r="1375" spans="1:19" x14ac:dyDescent="0.25">
      <c r="A1375" t="s">
        <v>1792</v>
      </c>
      <c r="B1375">
        <v>64</v>
      </c>
      <c r="C1375" t="s">
        <v>29</v>
      </c>
      <c r="D1375" t="s">
        <v>2452</v>
      </c>
      <c r="E1375" t="s">
        <v>24</v>
      </c>
      <c r="F1375" t="s">
        <v>209</v>
      </c>
      <c r="G1375" t="s">
        <v>1793</v>
      </c>
      <c r="H1375" t="str">
        <f>TEXT(walmart[[#This Row],[Purchase_Date]],"DDD")</f>
        <v>Wed</v>
      </c>
      <c r="I1375" t="str">
        <f>TEXT(walmart[[#This Row],[Purchase_Date]],"MMM")</f>
        <v>Jun</v>
      </c>
      <c r="J1375" t="str">
        <f>TEXT(walmart[[#This Row],[Purchase_Date]],"YYY")</f>
        <v>2024</v>
      </c>
      <c r="K1375" s="3">
        <v>775.75</v>
      </c>
      <c r="L1375" t="str">
        <f t="shared" si="100"/>
        <v>15% off</v>
      </c>
      <c r="N1375" t="str">
        <f t="shared" si="101"/>
        <v>Yes</v>
      </c>
      <c r="O1375" t="s">
        <v>34</v>
      </c>
      <c r="P1375" s="3">
        <f t="shared" si="102"/>
        <v>775.75</v>
      </c>
      <c r="Q1375" t="s">
        <v>47</v>
      </c>
      <c r="R1375">
        <v>3</v>
      </c>
      <c r="S1375" t="str">
        <f t="shared" si="103"/>
        <v>Average</v>
      </c>
    </row>
    <row r="1376" spans="1:19" x14ac:dyDescent="0.25">
      <c r="A1376" t="s">
        <v>1794</v>
      </c>
      <c r="B1376">
        <v>51</v>
      </c>
      <c r="C1376" t="s">
        <v>29</v>
      </c>
      <c r="D1376" t="s">
        <v>2453</v>
      </c>
      <c r="E1376" t="s">
        <v>18</v>
      </c>
      <c r="F1376" t="s">
        <v>77</v>
      </c>
      <c r="G1376" t="s">
        <v>151</v>
      </c>
      <c r="H1376" t="str">
        <f>TEXT(walmart[[#This Row],[Purchase_Date]],"DDD")</f>
        <v>Mon</v>
      </c>
      <c r="I1376" t="str">
        <f>TEXT(walmart[[#This Row],[Purchase_Date]],"MMM")</f>
        <v>May</v>
      </c>
      <c r="J1376" t="str">
        <f>TEXT(walmart[[#This Row],[Purchase_Date]],"YYY")</f>
        <v>2024</v>
      </c>
      <c r="K1376" s="3">
        <v>116.78</v>
      </c>
      <c r="L1376" t="str">
        <f t="shared" si="100"/>
        <v>0% off</v>
      </c>
      <c r="N1376" t="str">
        <f t="shared" si="101"/>
        <v>No</v>
      </c>
      <c r="O1376" t="s">
        <v>21</v>
      </c>
      <c r="P1376" s="3">
        <f t="shared" si="102"/>
        <v>116.78</v>
      </c>
      <c r="Q1376" t="s">
        <v>47</v>
      </c>
      <c r="R1376">
        <v>4</v>
      </c>
      <c r="S1376" t="str">
        <f t="shared" si="103"/>
        <v>Good</v>
      </c>
    </row>
    <row r="1377" spans="1:19" x14ac:dyDescent="0.25">
      <c r="A1377" t="s">
        <v>1795</v>
      </c>
      <c r="B1377">
        <v>66</v>
      </c>
      <c r="C1377" t="s">
        <v>16</v>
      </c>
      <c r="D1377" t="s">
        <v>2454</v>
      </c>
      <c r="E1377" t="s">
        <v>18</v>
      </c>
      <c r="F1377" t="s">
        <v>59</v>
      </c>
      <c r="G1377" t="s">
        <v>579</v>
      </c>
      <c r="H1377" t="str">
        <f>TEXT(walmart[[#This Row],[Purchase_Date]],"DDD")</f>
        <v>Sat</v>
      </c>
      <c r="I1377" t="str">
        <f>TEXT(walmart[[#This Row],[Purchase_Date]],"MMM")</f>
        <v>Aug</v>
      </c>
      <c r="J1377" t="str">
        <f>TEXT(walmart[[#This Row],[Purchase_Date]],"YYY")</f>
        <v>2024</v>
      </c>
      <c r="K1377" s="3">
        <v>78.349999999999994</v>
      </c>
      <c r="L1377" t="str">
        <f t="shared" si="100"/>
        <v>0% off</v>
      </c>
      <c r="N1377" t="str">
        <f t="shared" si="101"/>
        <v>No</v>
      </c>
      <c r="O1377" t="s">
        <v>34</v>
      </c>
      <c r="P1377" s="3">
        <f t="shared" si="102"/>
        <v>78.349999999999994</v>
      </c>
      <c r="Q1377" t="s">
        <v>27</v>
      </c>
      <c r="R1377">
        <v>5</v>
      </c>
      <c r="S1377" t="str">
        <f t="shared" si="103"/>
        <v>Excellent</v>
      </c>
    </row>
    <row r="1378" spans="1:19" x14ac:dyDescent="0.25">
      <c r="A1378" t="s">
        <v>1796</v>
      </c>
      <c r="B1378">
        <v>28</v>
      </c>
      <c r="C1378" t="s">
        <v>29</v>
      </c>
      <c r="D1378" t="s">
        <v>2455</v>
      </c>
      <c r="E1378" t="s">
        <v>18</v>
      </c>
      <c r="F1378" t="s">
        <v>142</v>
      </c>
      <c r="G1378" t="s">
        <v>794</v>
      </c>
      <c r="H1378" t="str">
        <f>TEXT(walmart[[#This Row],[Purchase_Date]],"DDD")</f>
        <v>Wed</v>
      </c>
      <c r="I1378" t="str">
        <f>TEXT(walmart[[#This Row],[Purchase_Date]],"MMM")</f>
        <v>Jan</v>
      </c>
      <c r="J1378" t="str">
        <f>TEXT(walmart[[#This Row],[Purchase_Date]],"YYY")</f>
        <v>2025</v>
      </c>
      <c r="K1378" s="3">
        <v>485.26</v>
      </c>
      <c r="L1378" t="str">
        <f t="shared" si="100"/>
        <v>5% off</v>
      </c>
      <c r="N1378" t="str">
        <f t="shared" si="101"/>
        <v>Yes</v>
      </c>
      <c r="O1378" t="s">
        <v>34</v>
      </c>
      <c r="P1378" s="3">
        <f t="shared" si="102"/>
        <v>485.26</v>
      </c>
      <c r="Q1378" t="s">
        <v>47</v>
      </c>
      <c r="R1378">
        <v>5</v>
      </c>
      <c r="S1378" t="str">
        <f t="shared" si="103"/>
        <v>Excellent</v>
      </c>
    </row>
    <row r="1379" spans="1:19" x14ac:dyDescent="0.25">
      <c r="A1379" t="s">
        <v>1797</v>
      </c>
      <c r="B1379">
        <v>31</v>
      </c>
      <c r="C1379" t="s">
        <v>29</v>
      </c>
      <c r="D1379" t="s">
        <v>2456</v>
      </c>
      <c r="E1379" t="s">
        <v>73</v>
      </c>
      <c r="F1379" t="s">
        <v>91</v>
      </c>
      <c r="G1379" t="s">
        <v>258</v>
      </c>
      <c r="H1379" t="str">
        <f>TEXT(walmart[[#This Row],[Purchase_Date]],"DDD")</f>
        <v>Fri</v>
      </c>
      <c r="I1379" t="str">
        <f>TEXT(walmart[[#This Row],[Purchase_Date]],"MMM")</f>
        <v>Oct</v>
      </c>
      <c r="J1379" t="str">
        <f>TEXT(walmart[[#This Row],[Purchase_Date]],"YYY")</f>
        <v>2024</v>
      </c>
      <c r="K1379" s="3">
        <v>418.55</v>
      </c>
      <c r="L1379" t="str">
        <f t="shared" si="100"/>
        <v>5% off</v>
      </c>
      <c r="N1379" t="str">
        <f t="shared" si="101"/>
        <v>Yes</v>
      </c>
      <c r="O1379" t="s">
        <v>34</v>
      </c>
      <c r="P1379" s="3">
        <f t="shared" si="102"/>
        <v>418.55</v>
      </c>
      <c r="Q1379" t="s">
        <v>22</v>
      </c>
      <c r="R1379">
        <v>5</v>
      </c>
      <c r="S1379" t="str">
        <f t="shared" si="103"/>
        <v>Excellent</v>
      </c>
    </row>
    <row r="1380" spans="1:19" x14ac:dyDescent="0.25">
      <c r="A1380" t="s">
        <v>1798</v>
      </c>
      <c r="B1380">
        <v>40</v>
      </c>
      <c r="C1380" t="s">
        <v>29</v>
      </c>
      <c r="D1380" t="s">
        <v>2457</v>
      </c>
      <c r="E1380" t="s">
        <v>24</v>
      </c>
      <c r="F1380" t="s">
        <v>209</v>
      </c>
      <c r="G1380" t="s">
        <v>39</v>
      </c>
      <c r="H1380" t="str">
        <f>TEXT(walmart[[#This Row],[Purchase_Date]],"DDD")</f>
        <v>Sat</v>
      </c>
      <c r="I1380" t="str">
        <f>TEXT(walmart[[#This Row],[Purchase_Date]],"MMM")</f>
        <v>Nov</v>
      </c>
      <c r="J1380" t="str">
        <f>TEXT(walmart[[#This Row],[Purchase_Date]],"YYY")</f>
        <v>2024</v>
      </c>
      <c r="K1380" s="3">
        <v>775.75</v>
      </c>
      <c r="L1380" t="str">
        <f t="shared" si="100"/>
        <v>15% off</v>
      </c>
      <c r="N1380" t="str">
        <f t="shared" si="101"/>
        <v>Yes</v>
      </c>
      <c r="O1380" t="s">
        <v>34</v>
      </c>
      <c r="P1380" s="3">
        <f t="shared" si="102"/>
        <v>775.75</v>
      </c>
      <c r="Q1380" t="s">
        <v>27</v>
      </c>
      <c r="R1380">
        <v>2</v>
      </c>
      <c r="S1380" t="str">
        <f t="shared" si="103"/>
        <v>Poor</v>
      </c>
    </row>
    <row r="1381" spans="1:19" x14ac:dyDescent="0.25">
      <c r="A1381" t="s">
        <v>1799</v>
      </c>
      <c r="B1381">
        <v>36</v>
      </c>
      <c r="C1381" t="s">
        <v>16</v>
      </c>
      <c r="D1381" t="s">
        <v>2458</v>
      </c>
      <c r="E1381" t="s">
        <v>55</v>
      </c>
      <c r="F1381" t="s">
        <v>67</v>
      </c>
      <c r="G1381" t="s">
        <v>325</v>
      </c>
      <c r="H1381" t="str">
        <f>TEXT(walmart[[#This Row],[Purchase_Date]],"DDD")</f>
        <v>Sat</v>
      </c>
      <c r="I1381" t="str">
        <f>TEXT(walmart[[#This Row],[Purchase_Date]],"MMM")</f>
        <v>Jun</v>
      </c>
      <c r="J1381" t="str">
        <f>TEXT(walmart[[#This Row],[Purchase_Date]],"YYY")</f>
        <v>2024</v>
      </c>
      <c r="K1381" s="3">
        <v>452.97</v>
      </c>
      <c r="L1381" t="str">
        <f t="shared" si="100"/>
        <v>5% off</v>
      </c>
      <c r="N1381" t="str">
        <f t="shared" si="101"/>
        <v>Yes</v>
      </c>
      <c r="O1381" t="s">
        <v>21</v>
      </c>
      <c r="P1381" s="3">
        <f t="shared" si="102"/>
        <v>452.97</v>
      </c>
      <c r="Q1381" t="s">
        <v>22</v>
      </c>
      <c r="R1381">
        <v>3</v>
      </c>
      <c r="S1381" t="str">
        <f t="shared" si="103"/>
        <v>Average</v>
      </c>
    </row>
    <row r="1382" spans="1:19" x14ac:dyDescent="0.25">
      <c r="A1382" t="s">
        <v>1800</v>
      </c>
      <c r="B1382">
        <v>45</v>
      </c>
      <c r="C1382" t="s">
        <v>16</v>
      </c>
      <c r="D1382" t="s">
        <v>2459</v>
      </c>
      <c r="E1382" t="s">
        <v>24</v>
      </c>
      <c r="F1382" t="s">
        <v>162</v>
      </c>
      <c r="G1382" t="s">
        <v>484</v>
      </c>
      <c r="H1382" t="str">
        <f>TEXT(walmart[[#This Row],[Purchase_Date]],"DDD")</f>
        <v>Wed</v>
      </c>
      <c r="I1382" t="str">
        <f>TEXT(walmart[[#This Row],[Purchase_Date]],"MMM")</f>
        <v>Jan</v>
      </c>
      <c r="J1382" t="str">
        <f>TEXT(walmart[[#This Row],[Purchase_Date]],"YYY")</f>
        <v>2025</v>
      </c>
      <c r="K1382" s="3">
        <v>362.55</v>
      </c>
      <c r="L1382" t="str">
        <f t="shared" si="100"/>
        <v>5% off</v>
      </c>
      <c r="N1382" t="str">
        <f t="shared" si="101"/>
        <v>Yes</v>
      </c>
      <c r="O1382" t="s">
        <v>34</v>
      </c>
      <c r="P1382" s="3">
        <f t="shared" si="102"/>
        <v>362.55</v>
      </c>
      <c r="Q1382" t="s">
        <v>35</v>
      </c>
      <c r="R1382">
        <v>4</v>
      </c>
      <c r="S1382" t="str">
        <f t="shared" si="103"/>
        <v>Good</v>
      </c>
    </row>
    <row r="1383" spans="1:19" x14ac:dyDescent="0.25">
      <c r="A1383" t="s">
        <v>1801</v>
      </c>
      <c r="B1383">
        <v>31</v>
      </c>
      <c r="C1383" t="s">
        <v>16</v>
      </c>
      <c r="D1383" t="s">
        <v>2460</v>
      </c>
      <c r="E1383" t="s">
        <v>18</v>
      </c>
      <c r="F1383" t="s">
        <v>142</v>
      </c>
      <c r="G1383" t="s">
        <v>388</v>
      </c>
      <c r="H1383" t="str">
        <f>TEXT(walmart[[#This Row],[Purchase_Date]],"DDD")</f>
        <v>Sun</v>
      </c>
      <c r="I1383" t="str">
        <f>TEXT(walmart[[#This Row],[Purchase_Date]],"MMM")</f>
        <v>Nov</v>
      </c>
      <c r="J1383" t="str">
        <f>TEXT(walmart[[#This Row],[Purchase_Date]],"YYY")</f>
        <v>2024</v>
      </c>
      <c r="K1383" s="3">
        <v>485.26</v>
      </c>
      <c r="L1383" t="str">
        <f t="shared" si="100"/>
        <v>5% off</v>
      </c>
      <c r="N1383" t="str">
        <f t="shared" si="101"/>
        <v>Yes</v>
      </c>
      <c r="O1383" t="s">
        <v>34</v>
      </c>
      <c r="P1383" s="3">
        <f t="shared" si="102"/>
        <v>485.26</v>
      </c>
      <c r="Q1383" t="s">
        <v>47</v>
      </c>
      <c r="R1383">
        <v>3</v>
      </c>
      <c r="S1383" t="str">
        <f t="shared" si="103"/>
        <v>Average</v>
      </c>
    </row>
    <row r="1384" spans="1:19" x14ac:dyDescent="0.25">
      <c r="A1384" t="s">
        <v>1802</v>
      </c>
      <c r="B1384">
        <v>19</v>
      </c>
      <c r="C1384" t="s">
        <v>29</v>
      </c>
      <c r="D1384" t="s">
        <v>2461</v>
      </c>
      <c r="E1384" t="s">
        <v>55</v>
      </c>
      <c r="F1384" t="s">
        <v>67</v>
      </c>
      <c r="G1384" t="s">
        <v>983</v>
      </c>
      <c r="H1384" t="str">
        <f>TEXT(walmart[[#This Row],[Purchase_Date]],"DDD")</f>
        <v>Wed</v>
      </c>
      <c r="I1384" t="str">
        <f>TEXT(walmart[[#This Row],[Purchase_Date]],"MMM")</f>
        <v>Jan</v>
      </c>
      <c r="J1384" t="str">
        <f>TEXT(walmart[[#This Row],[Purchase_Date]],"YYY")</f>
        <v>2025</v>
      </c>
      <c r="K1384" s="3">
        <v>452.97</v>
      </c>
      <c r="L1384" t="str">
        <f t="shared" si="100"/>
        <v>5% off</v>
      </c>
      <c r="N1384" t="str">
        <f t="shared" si="101"/>
        <v>Yes</v>
      </c>
      <c r="O1384" t="s">
        <v>21</v>
      </c>
      <c r="P1384" s="3">
        <f t="shared" si="102"/>
        <v>452.97</v>
      </c>
      <c r="Q1384" t="s">
        <v>27</v>
      </c>
      <c r="R1384">
        <v>3</v>
      </c>
      <c r="S1384" t="str">
        <f t="shared" si="103"/>
        <v>Average</v>
      </c>
    </row>
    <row r="1385" spans="1:19" x14ac:dyDescent="0.25">
      <c r="A1385" t="s">
        <v>1803</v>
      </c>
      <c r="B1385">
        <v>61</v>
      </c>
      <c r="C1385" t="s">
        <v>29</v>
      </c>
      <c r="D1385" t="s">
        <v>2462</v>
      </c>
      <c r="E1385" t="s">
        <v>42</v>
      </c>
      <c r="F1385" t="s">
        <v>120</v>
      </c>
      <c r="G1385" t="s">
        <v>641</v>
      </c>
      <c r="H1385" t="str">
        <f>TEXT(walmart[[#This Row],[Purchase_Date]],"DDD")</f>
        <v>Sun</v>
      </c>
      <c r="I1385" t="str">
        <f>TEXT(walmart[[#This Row],[Purchase_Date]],"MMM")</f>
        <v>Nov</v>
      </c>
      <c r="J1385" t="str">
        <f>TEXT(walmart[[#This Row],[Purchase_Date]],"YYY")</f>
        <v>2024</v>
      </c>
      <c r="K1385" s="3">
        <v>260.77999999999997</v>
      </c>
      <c r="L1385" t="str">
        <f t="shared" si="100"/>
        <v>5% off</v>
      </c>
      <c r="N1385" t="str">
        <f t="shared" si="101"/>
        <v>Yes</v>
      </c>
      <c r="O1385" t="s">
        <v>21</v>
      </c>
      <c r="P1385" s="3">
        <f t="shared" si="102"/>
        <v>260.77999999999997</v>
      </c>
      <c r="Q1385" t="s">
        <v>22</v>
      </c>
      <c r="R1385">
        <v>2</v>
      </c>
      <c r="S1385" t="str">
        <f t="shared" si="103"/>
        <v>Poor</v>
      </c>
    </row>
    <row r="1386" spans="1:19" x14ac:dyDescent="0.25">
      <c r="A1386" t="s">
        <v>1804</v>
      </c>
      <c r="B1386">
        <v>56</v>
      </c>
      <c r="C1386" t="s">
        <v>29</v>
      </c>
      <c r="D1386" t="s">
        <v>2463</v>
      </c>
      <c r="E1386" t="s">
        <v>37</v>
      </c>
      <c r="F1386" t="s">
        <v>82</v>
      </c>
      <c r="G1386" t="s">
        <v>540</v>
      </c>
      <c r="H1386" t="str">
        <f>TEXT(walmart[[#This Row],[Purchase_Date]],"DDD")</f>
        <v>Sun</v>
      </c>
      <c r="I1386" t="str">
        <f>TEXT(walmart[[#This Row],[Purchase_Date]],"MMM")</f>
        <v>Feb</v>
      </c>
      <c r="J1386" t="str">
        <f>TEXT(walmart[[#This Row],[Purchase_Date]],"YYY")</f>
        <v>2025</v>
      </c>
      <c r="K1386" s="3">
        <v>270.41000000000003</v>
      </c>
      <c r="L1386" t="str">
        <f t="shared" si="100"/>
        <v>5% off</v>
      </c>
      <c r="N1386" t="str">
        <f t="shared" si="101"/>
        <v>Yes</v>
      </c>
      <c r="O1386" t="s">
        <v>21</v>
      </c>
      <c r="P1386" s="3">
        <f t="shared" si="102"/>
        <v>270.41000000000003</v>
      </c>
      <c r="Q1386" t="s">
        <v>27</v>
      </c>
      <c r="R1386">
        <v>4</v>
      </c>
      <c r="S1386" t="str">
        <f t="shared" si="103"/>
        <v>Good</v>
      </c>
    </row>
    <row r="1387" spans="1:19" x14ac:dyDescent="0.25">
      <c r="A1387" t="s">
        <v>1805</v>
      </c>
      <c r="B1387">
        <v>51</v>
      </c>
      <c r="C1387" t="s">
        <v>29</v>
      </c>
      <c r="D1387" t="s">
        <v>2464</v>
      </c>
      <c r="E1387" t="s">
        <v>24</v>
      </c>
      <c r="F1387" t="s">
        <v>186</v>
      </c>
      <c r="G1387" t="s">
        <v>961</v>
      </c>
      <c r="H1387" t="str">
        <f>TEXT(walmart[[#This Row],[Purchase_Date]],"DDD")</f>
        <v>Sun</v>
      </c>
      <c r="I1387" t="str">
        <f>TEXT(walmart[[#This Row],[Purchase_Date]],"MMM")</f>
        <v>Jul</v>
      </c>
      <c r="J1387" t="str">
        <f>TEXT(walmart[[#This Row],[Purchase_Date]],"YYY")</f>
        <v>2024</v>
      </c>
      <c r="K1387" s="3">
        <v>527.16999999999996</v>
      </c>
      <c r="L1387" t="str">
        <f t="shared" si="100"/>
        <v>10% off</v>
      </c>
      <c r="N1387" t="str">
        <f t="shared" si="101"/>
        <v>Yes</v>
      </c>
      <c r="O1387" t="s">
        <v>21</v>
      </c>
      <c r="P1387" s="3">
        <f t="shared" si="102"/>
        <v>527.16999999999996</v>
      </c>
      <c r="Q1387" t="s">
        <v>27</v>
      </c>
      <c r="R1387">
        <v>4</v>
      </c>
      <c r="S1387" t="str">
        <f t="shared" si="103"/>
        <v>Good</v>
      </c>
    </row>
    <row r="1388" spans="1:19" x14ac:dyDescent="0.25">
      <c r="A1388" t="s">
        <v>1806</v>
      </c>
      <c r="B1388">
        <v>47</v>
      </c>
      <c r="C1388" t="s">
        <v>16</v>
      </c>
      <c r="D1388" t="s">
        <v>2465</v>
      </c>
      <c r="E1388" t="s">
        <v>73</v>
      </c>
      <c r="F1388" t="s">
        <v>94</v>
      </c>
      <c r="G1388" t="s">
        <v>1807</v>
      </c>
      <c r="H1388" t="str">
        <f>TEXT(walmart[[#This Row],[Purchase_Date]],"DDD")</f>
        <v>Mon</v>
      </c>
      <c r="I1388" t="str">
        <f>TEXT(walmart[[#This Row],[Purchase_Date]],"MMM")</f>
        <v>Mar</v>
      </c>
      <c r="J1388" t="str">
        <f>TEXT(walmart[[#This Row],[Purchase_Date]],"YYY")</f>
        <v>2025</v>
      </c>
      <c r="K1388" s="3">
        <v>965.09</v>
      </c>
      <c r="L1388" t="str">
        <f t="shared" si="100"/>
        <v>20% off</v>
      </c>
      <c r="N1388" t="str">
        <f t="shared" si="101"/>
        <v>Yes</v>
      </c>
      <c r="O1388" t="s">
        <v>21</v>
      </c>
      <c r="P1388" s="3">
        <f t="shared" si="102"/>
        <v>965.09</v>
      </c>
      <c r="Q1388" t="s">
        <v>22</v>
      </c>
      <c r="R1388">
        <v>3</v>
      </c>
      <c r="S1388" t="str">
        <f t="shared" si="103"/>
        <v>Average</v>
      </c>
    </row>
    <row r="1389" spans="1:19" x14ac:dyDescent="0.25">
      <c r="A1389" t="s">
        <v>1808</v>
      </c>
      <c r="B1389">
        <v>41</v>
      </c>
      <c r="C1389" t="s">
        <v>16</v>
      </c>
      <c r="D1389" t="s">
        <v>2466</v>
      </c>
      <c r="E1389" t="s">
        <v>37</v>
      </c>
      <c r="F1389" t="s">
        <v>97</v>
      </c>
      <c r="G1389" t="s">
        <v>160</v>
      </c>
      <c r="H1389" t="str">
        <f>TEXT(walmart[[#This Row],[Purchase_Date]],"DDD")</f>
        <v>Tue</v>
      </c>
      <c r="I1389" t="str">
        <f>TEXT(walmart[[#This Row],[Purchase_Date]],"MMM")</f>
        <v>Oct</v>
      </c>
      <c r="J1389" t="str">
        <f>TEXT(walmart[[#This Row],[Purchase_Date]],"YYY")</f>
        <v>2024</v>
      </c>
      <c r="K1389" s="3">
        <v>855.21</v>
      </c>
      <c r="L1389" t="str">
        <f t="shared" si="100"/>
        <v>15% off</v>
      </c>
      <c r="N1389" t="str">
        <f t="shared" si="101"/>
        <v>Yes</v>
      </c>
      <c r="O1389" t="s">
        <v>34</v>
      </c>
      <c r="P1389" s="3">
        <f t="shared" si="102"/>
        <v>855.21</v>
      </c>
      <c r="Q1389" t="s">
        <v>27</v>
      </c>
      <c r="R1389">
        <v>4</v>
      </c>
      <c r="S1389" t="str">
        <f t="shared" si="103"/>
        <v>Good</v>
      </c>
    </row>
    <row r="1390" spans="1:19" x14ac:dyDescent="0.25">
      <c r="A1390" t="s">
        <v>1809</v>
      </c>
      <c r="B1390">
        <v>66</v>
      </c>
      <c r="C1390" t="s">
        <v>16</v>
      </c>
      <c r="D1390" t="s">
        <v>2467</v>
      </c>
      <c r="E1390" t="s">
        <v>37</v>
      </c>
      <c r="F1390" t="s">
        <v>38</v>
      </c>
      <c r="G1390" t="s">
        <v>391</v>
      </c>
      <c r="H1390" t="str">
        <f>TEXT(walmart[[#This Row],[Purchase_Date]],"DDD")</f>
        <v>Thu</v>
      </c>
      <c r="I1390" t="str">
        <f>TEXT(walmart[[#This Row],[Purchase_Date]],"MMM")</f>
        <v>Feb</v>
      </c>
      <c r="J1390" t="str">
        <f>TEXT(walmart[[#This Row],[Purchase_Date]],"YYY")</f>
        <v>2025</v>
      </c>
      <c r="K1390" s="3">
        <v>211.46</v>
      </c>
      <c r="L1390" t="str">
        <f t="shared" si="100"/>
        <v>5% off</v>
      </c>
      <c r="N1390" t="str">
        <f t="shared" si="101"/>
        <v>Yes</v>
      </c>
      <c r="O1390" t="s">
        <v>34</v>
      </c>
      <c r="P1390" s="3">
        <f t="shared" si="102"/>
        <v>211.46</v>
      </c>
      <c r="Q1390" t="s">
        <v>22</v>
      </c>
      <c r="R1390">
        <v>3</v>
      </c>
      <c r="S1390" t="str">
        <f t="shared" si="103"/>
        <v>Average</v>
      </c>
    </row>
    <row r="1391" spans="1:19" x14ac:dyDescent="0.25">
      <c r="A1391" t="s">
        <v>1810</v>
      </c>
      <c r="B1391">
        <v>38</v>
      </c>
      <c r="C1391" t="s">
        <v>29</v>
      </c>
      <c r="D1391" t="s">
        <v>2468</v>
      </c>
      <c r="E1391" t="s">
        <v>18</v>
      </c>
      <c r="F1391" t="s">
        <v>77</v>
      </c>
      <c r="G1391" t="s">
        <v>140</v>
      </c>
      <c r="H1391" t="str">
        <f>TEXT(walmart[[#This Row],[Purchase_Date]],"DDD")</f>
        <v>Sun</v>
      </c>
      <c r="I1391" t="str">
        <f>TEXT(walmart[[#This Row],[Purchase_Date]],"MMM")</f>
        <v>Mar</v>
      </c>
      <c r="J1391" t="str">
        <f>TEXT(walmart[[#This Row],[Purchase_Date]],"YYY")</f>
        <v>2025</v>
      </c>
      <c r="K1391" s="3">
        <v>116.78</v>
      </c>
      <c r="L1391" t="str">
        <f t="shared" si="100"/>
        <v>0% off</v>
      </c>
      <c r="N1391" t="str">
        <f t="shared" si="101"/>
        <v>No</v>
      </c>
      <c r="O1391" t="s">
        <v>21</v>
      </c>
      <c r="P1391" s="3">
        <f t="shared" si="102"/>
        <v>116.78</v>
      </c>
      <c r="Q1391" t="s">
        <v>22</v>
      </c>
      <c r="R1391">
        <v>1</v>
      </c>
      <c r="S1391" t="str">
        <f t="shared" si="103"/>
        <v>Very Poor</v>
      </c>
    </row>
    <row r="1392" spans="1:19" x14ac:dyDescent="0.25">
      <c r="A1392" t="s">
        <v>1811</v>
      </c>
      <c r="B1392">
        <v>33</v>
      </c>
      <c r="C1392" t="s">
        <v>29</v>
      </c>
      <c r="D1392" t="s">
        <v>2469</v>
      </c>
      <c r="E1392" t="s">
        <v>18</v>
      </c>
      <c r="F1392" t="s">
        <v>142</v>
      </c>
      <c r="G1392" t="s">
        <v>525</v>
      </c>
      <c r="H1392" t="str">
        <f>TEXT(walmart[[#This Row],[Purchase_Date]],"DDD")</f>
        <v>Mon</v>
      </c>
      <c r="I1392" t="str">
        <f>TEXT(walmart[[#This Row],[Purchase_Date]],"MMM")</f>
        <v>Oct</v>
      </c>
      <c r="J1392" t="str">
        <f>TEXT(walmart[[#This Row],[Purchase_Date]],"YYY")</f>
        <v>2024</v>
      </c>
      <c r="K1392" s="3">
        <v>485.26</v>
      </c>
      <c r="L1392" t="str">
        <f t="shared" si="100"/>
        <v>5% off</v>
      </c>
      <c r="N1392" t="str">
        <f t="shared" si="101"/>
        <v>Yes</v>
      </c>
      <c r="O1392" t="s">
        <v>21</v>
      </c>
      <c r="P1392" s="3">
        <f t="shared" si="102"/>
        <v>485.26</v>
      </c>
      <c r="Q1392" t="s">
        <v>35</v>
      </c>
      <c r="R1392">
        <v>4</v>
      </c>
      <c r="S1392" t="str">
        <f t="shared" si="103"/>
        <v>Good</v>
      </c>
    </row>
    <row r="1393" spans="1:19" x14ac:dyDescent="0.25">
      <c r="A1393" t="s">
        <v>1812</v>
      </c>
      <c r="B1393">
        <v>42</v>
      </c>
      <c r="C1393" t="s">
        <v>16</v>
      </c>
      <c r="D1393" t="s">
        <v>2470</v>
      </c>
      <c r="E1393" t="s">
        <v>55</v>
      </c>
      <c r="F1393" t="s">
        <v>64</v>
      </c>
      <c r="G1393" t="s">
        <v>625</v>
      </c>
      <c r="H1393" t="str">
        <f>TEXT(walmart[[#This Row],[Purchase_Date]],"DDD")</f>
        <v>Wed</v>
      </c>
      <c r="I1393" t="str">
        <f>TEXT(walmart[[#This Row],[Purchase_Date]],"MMM")</f>
        <v>Sep</v>
      </c>
      <c r="J1393" t="str">
        <f>TEXT(walmart[[#This Row],[Purchase_Date]],"YYY")</f>
        <v>2024</v>
      </c>
      <c r="K1393" s="3">
        <v>374.92</v>
      </c>
      <c r="L1393" t="str">
        <f t="shared" si="100"/>
        <v>5% off</v>
      </c>
      <c r="N1393" t="str">
        <f t="shared" si="101"/>
        <v>Yes</v>
      </c>
      <c r="O1393" t="s">
        <v>34</v>
      </c>
      <c r="P1393" s="3">
        <f t="shared" si="102"/>
        <v>374.92</v>
      </c>
      <c r="Q1393" t="s">
        <v>22</v>
      </c>
      <c r="R1393">
        <v>3</v>
      </c>
      <c r="S1393" t="str">
        <f t="shared" si="103"/>
        <v>Average</v>
      </c>
    </row>
    <row r="1394" spans="1:19" x14ac:dyDescent="0.25">
      <c r="A1394" t="s">
        <v>1813</v>
      </c>
      <c r="B1394">
        <v>61</v>
      </c>
      <c r="C1394" t="s">
        <v>29</v>
      </c>
      <c r="D1394" t="s">
        <v>2471</v>
      </c>
      <c r="E1394" t="s">
        <v>73</v>
      </c>
      <c r="F1394" t="s">
        <v>91</v>
      </c>
      <c r="G1394" t="s">
        <v>1789</v>
      </c>
      <c r="H1394" t="str">
        <f>TEXT(walmart[[#This Row],[Purchase_Date]],"DDD")</f>
        <v>Sun</v>
      </c>
      <c r="I1394" t="str">
        <f>TEXT(walmart[[#This Row],[Purchase_Date]],"MMM")</f>
        <v>Oct</v>
      </c>
      <c r="J1394" t="str">
        <f>TEXT(walmart[[#This Row],[Purchase_Date]],"YYY")</f>
        <v>2024</v>
      </c>
      <c r="K1394" s="3">
        <v>418.55</v>
      </c>
      <c r="L1394" t="str">
        <f t="shared" si="100"/>
        <v>5% off</v>
      </c>
      <c r="N1394" t="str">
        <f t="shared" si="101"/>
        <v>Yes</v>
      </c>
      <c r="O1394" t="s">
        <v>34</v>
      </c>
      <c r="P1394" s="3">
        <f t="shared" si="102"/>
        <v>418.55</v>
      </c>
      <c r="Q1394" t="s">
        <v>35</v>
      </c>
      <c r="R1394">
        <v>3</v>
      </c>
      <c r="S1394" t="str">
        <f t="shared" si="103"/>
        <v>Average</v>
      </c>
    </row>
    <row r="1395" spans="1:19" x14ac:dyDescent="0.25">
      <c r="A1395" t="s">
        <v>1814</v>
      </c>
      <c r="B1395">
        <v>27</v>
      </c>
      <c r="C1395" t="s">
        <v>29</v>
      </c>
      <c r="D1395" t="s">
        <v>2472</v>
      </c>
      <c r="E1395" t="s">
        <v>55</v>
      </c>
      <c r="F1395" t="s">
        <v>100</v>
      </c>
      <c r="G1395" t="s">
        <v>78</v>
      </c>
      <c r="H1395" t="str">
        <f>TEXT(walmart[[#This Row],[Purchase_Date]],"DDD")</f>
        <v>Mon</v>
      </c>
      <c r="I1395" t="str">
        <f>TEXT(walmart[[#This Row],[Purchase_Date]],"MMM")</f>
        <v>Jul</v>
      </c>
      <c r="J1395" t="str">
        <f>TEXT(walmart[[#This Row],[Purchase_Date]],"YYY")</f>
        <v>2024</v>
      </c>
      <c r="K1395" s="3">
        <v>592.26</v>
      </c>
      <c r="L1395" t="str">
        <f t="shared" si="100"/>
        <v>10% off</v>
      </c>
      <c r="N1395" t="str">
        <f t="shared" si="101"/>
        <v>Yes</v>
      </c>
      <c r="O1395" t="s">
        <v>34</v>
      </c>
      <c r="P1395" s="3">
        <f t="shared" si="102"/>
        <v>592.26</v>
      </c>
      <c r="Q1395" t="s">
        <v>27</v>
      </c>
      <c r="R1395">
        <v>3</v>
      </c>
      <c r="S1395" t="str">
        <f t="shared" si="103"/>
        <v>Average</v>
      </c>
    </row>
    <row r="1396" spans="1:19" x14ac:dyDescent="0.25">
      <c r="A1396" t="s">
        <v>1815</v>
      </c>
      <c r="B1396">
        <v>49</v>
      </c>
      <c r="C1396" t="s">
        <v>29</v>
      </c>
      <c r="D1396" t="s">
        <v>2473</v>
      </c>
      <c r="E1396" t="s">
        <v>18</v>
      </c>
      <c r="F1396" t="s">
        <v>142</v>
      </c>
      <c r="G1396" t="s">
        <v>805</v>
      </c>
      <c r="H1396" t="str">
        <f>TEXT(walmart[[#This Row],[Purchase_Date]],"DDD")</f>
        <v>Thu</v>
      </c>
      <c r="I1396" t="str">
        <f>TEXT(walmart[[#This Row],[Purchase_Date]],"MMM")</f>
        <v>Apr</v>
      </c>
      <c r="J1396" t="str">
        <f>TEXT(walmart[[#This Row],[Purchase_Date]],"YYY")</f>
        <v>2024</v>
      </c>
      <c r="K1396" s="3">
        <v>485.26</v>
      </c>
      <c r="L1396" t="str">
        <f t="shared" si="100"/>
        <v>5% off</v>
      </c>
      <c r="N1396" t="str">
        <f t="shared" si="101"/>
        <v>Yes</v>
      </c>
      <c r="O1396" t="s">
        <v>34</v>
      </c>
      <c r="P1396" s="3">
        <f t="shared" si="102"/>
        <v>485.26</v>
      </c>
      <c r="Q1396" t="s">
        <v>47</v>
      </c>
      <c r="R1396">
        <v>3</v>
      </c>
      <c r="S1396" t="str">
        <f t="shared" si="103"/>
        <v>Average</v>
      </c>
    </row>
    <row r="1397" spans="1:19" x14ac:dyDescent="0.25">
      <c r="A1397" t="s">
        <v>1816</v>
      </c>
      <c r="B1397">
        <v>61</v>
      </c>
      <c r="C1397" t="s">
        <v>29</v>
      </c>
      <c r="D1397" t="s">
        <v>2474</v>
      </c>
      <c r="E1397" t="s">
        <v>24</v>
      </c>
      <c r="F1397" t="s">
        <v>162</v>
      </c>
      <c r="G1397" t="s">
        <v>325</v>
      </c>
      <c r="H1397" t="str">
        <f>TEXT(walmart[[#This Row],[Purchase_Date]],"DDD")</f>
        <v>Sat</v>
      </c>
      <c r="I1397" t="str">
        <f>TEXT(walmart[[#This Row],[Purchase_Date]],"MMM")</f>
        <v>Jun</v>
      </c>
      <c r="J1397" t="str">
        <f>TEXT(walmart[[#This Row],[Purchase_Date]],"YYY")</f>
        <v>2024</v>
      </c>
      <c r="K1397" s="3">
        <v>362.55</v>
      </c>
      <c r="L1397" t="str">
        <f t="shared" si="100"/>
        <v>5% off</v>
      </c>
      <c r="N1397" t="str">
        <f t="shared" si="101"/>
        <v>Yes</v>
      </c>
      <c r="O1397" t="s">
        <v>34</v>
      </c>
      <c r="P1397" s="3">
        <f t="shared" si="102"/>
        <v>362.55</v>
      </c>
      <c r="Q1397" t="s">
        <v>27</v>
      </c>
      <c r="R1397">
        <v>1</v>
      </c>
      <c r="S1397" t="str">
        <f t="shared" si="103"/>
        <v>Very Poor</v>
      </c>
    </row>
    <row r="1398" spans="1:19" x14ac:dyDescent="0.25">
      <c r="A1398" t="s">
        <v>1817</v>
      </c>
      <c r="B1398">
        <v>49</v>
      </c>
      <c r="C1398" t="s">
        <v>16</v>
      </c>
      <c r="D1398" t="s">
        <v>2475</v>
      </c>
      <c r="E1398" t="s">
        <v>18</v>
      </c>
      <c r="F1398" t="s">
        <v>142</v>
      </c>
      <c r="G1398" t="s">
        <v>746</v>
      </c>
      <c r="H1398" t="str">
        <f>TEXT(walmart[[#This Row],[Purchase_Date]],"DDD")</f>
        <v>Tue</v>
      </c>
      <c r="I1398" t="str">
        <f>TEXT(walmart[[#This Row],[Purchase_Date]],"MMM")</f>
        <v>Dec</v>
      </c>
      <c r="J1398" t="str">
        <f>TEXT(walmart[[#This Row],[Purchase_Date]],"YYY")</f>
        <v>2024</v>
      </c>
      <c r="K1398" s="3">
        <v>485.26</v>
      </c>
      <c r="L1398" t="str">
        <f t="shared" si="100"/>
        <v>5% off</v>
      </c>
      <c r="N1398" t="str">
        <f t="shared" si="101"/>
        <v>Yes</v>
      </c>
      <c r="O1398" t="s">
        <v>34</v>
      </c>
      <c r="P1398" s="3">
        <f t="shared" si="102"/>
        <v>485.26</v>
      </c>
      <c r="Q1398" t="s">
        <v>22</v>
      </c>
      <c r="R1398">
        <v>2</v>
      </c>
      <c r="S1398" t="str">
        <f t="shared" si="103"/>
        <v>Poor</v>
      </c>
    </row>
    <row r="1399" spans="1:19" x14ac:dyDescent="0.25">
      <c r="A1399" t="s">
        <v>1818</v>
      </c>
      <c r="B1399">
        <v>53</v>
      </c>
      <c r="C1399" t="s">
        <v>16</v>
      </c>
      <c r="D1399" t="s">
        <v>2476</v>
      </c>
      <c r="E1399" t="s">
        <v>31</v>
      </c>
      <c r="F1399" t="s">
        <v>169</v>
      </c>
      <c r="G1399" t="s">
        <v>83</v>
      </c>
      <c r="H1399" t="str">
        <f>TEXT(walmart[[#This Row],[Purchase_Date]],"DDD")</f>
        <v>Sun</v>
      </c>
      <c r="I1399" t="str">
        <f>TEXT(walmart[[#This Row],[Purchase_Date]],"MMM")</f>
        <v>Apr</v>
      </c>
      <c r="J1399" t="str">
        <f>TEXT(walmart[[#This Row],[Purchase_Date]],"YYY")</f>
        <v>2024</v>
      </c>
      <c r="K1399" s="3">
        <v>52.44</v>
      </c>
      <c r="L1399" t="str">
        <f t="shared" si="100"/>
        <v>0% off</v>
      </c>
      <c r="N1399" t="str">
        <f t="shared" si="101"/>
        <v>No</v>
      </c>
      <c r="O1399" t="s">
        <v>21</v>
      </c>
      <c r="P1399" s="3">
        <f t="shared" si="102"/>
        <v>52.44</v>
      </c>
      <c r="Q1399" t="s">
        <v>22</v>
      </c>
      <c r="R1399">
        <v>3</v>
      </c>
      <c r="S1399" t="str">
        <f t="shared" si="103"/>
        <v>Average</v>
      </c>
    </row>
    <row r="1400" spans="1:19" x14ac:dyDescent="0.25">
      <c r="A1400" t="s">
        <v>1819</v>
      </c>
      <c r="B1400">
        <v>67</v>
      </c>
      <c r="C1400" t="s">
        <v>29</v>
      </c>
      <c r="D1400" t="s">
        <v>2477</v>
      </c>
      <c r="E1400" t="s">
        <v>31</v>
      </c>
      <c r="F1400" t="s">
        <v>300</v>
      </c>
      <c r="G1400" t="s">
        <v>336</v>
      </c>
      <c r="H1400" t="str">
        <f>TEXT(walmart[[#This Row],[Purchase_Date]],"DDD")</f>
        <v>Mon</v>
      </c>
      <c r="I1400" t="str">
        <f>TEXT(walmart[[#This Row],[Purchase_Date]],"MMM")</f>
        <v>Jul</v>
      </c>
      <c r="J1400" t="str">
        <f>TEXT(walmart[[#This Row],[Purchase_Date]],"YYY")</f>
        <v>2024</v>
      </c>
      <c r="K1400" s="3">
        <v>340.04</v>
      </c>
      <c r="L1400" t="str">
        <f t="shared" si="100"/>
        <v>5% off</v>
      </c>
      <c r="N1400" t="str">
        <f t="shared" si="101"/>
        <v>Yes</v>
      </c>
      <c r="O1400" t="s">
        <v>21</v>
      </c>
      <c r="P1400" s="3">
        <f t="shared" si="102"/>
        <v>340.04</v>
      </c>
      <c r="Q1400" t="s">
        <v>22</v>
      </c>
      <c r="R1400">
        <v>4</v>
      </c>
      <c r="S1400" t="str">
        <f t="shared" si="103"/>
        <v>Good</v>
      </c>
    </row>
    <row r="1401" spans="1:19" x14ac:dyDescent="0.25">
      <c r="A1401" t="s">
        <v>1820</v>
      </c>
      <c r="B1401">
        <v>29</v>
      </c>
      <c r="C1401" t="s">
        <v>29</v>
      </c>
      <c r="D1401" t="s">
        <v>2478</v>
      </c>
      <c r="E1401" t="s">
        <v>55</v>
      </c>
      <c r="F1401" t="s">
        <v>64</v>
      </c>
      <c r="G1401" t="s">
        <v>498</v>
      </c>
      <c r="H1401" t="str">
        <f>TEXT(walmart[[#This Row],[Purchase_Date]],"DDD")</f>
        <v>Tue</v>
      </c>
      <c r="I1401" t="str">
        <f>TEXT(walmart[[#This Row],[Purchase_Date]],"MMM")</f>
        <v>Jan</v>
      </c>
      <c r="J1401" t="str">
        <f>TEXT(walmart[[#This Row],[Purchase_Date]],"YYY")</f>
        <v>2025</v>
      </c>
      <c r="K1401" s="3">
        <v>374.92</v>
      </c>
      <c r="L1401" t="str">
        <f t="shared" si="100"/>
        <v>5% off</v>
      </c>
      <c r="N1401" t="str">
        <f t="shared" si="101"/>
        <v>Yes</v>
      </c>
      <c r="O1401" t="s">
        <v>34</v>
      </c>
      <c r="P1401" s="3">
        <f t="shared" si="102"/>
        <v>374.92</v>
      </c>
      <c r="Q1401" t="s">
        <v>47</v>
      </c>
      <c r="R1401">
        <v>3</v>
      </c>
      <c r="S1401" t="str">
        <f t="shared" si="103"/>
        <v>Average</v>
      </c>
    </row>
    <row r="1402" spans="1:19" x14ac:dyDescent="0.25">
      <c r="A1402" t="s">
        <v>1821</v>
      </c>
      <c r="B1402">
        <v>58</v>
      </c>
      <c r="C1402" t="s">
        <v>29</v>
      </c>
      <c r="D1402" t="s">
        <v>2479</v>
      </c>
      <c r="E1402" t="s">
        <v>24</v>
      </c>
      <c r="F1402" t="s">
        <v>25</v>
      </c>
      <c r="G1402" t="s">
        <v>140</v>
      </c>
      <c r="H1402" t="str">
        <f>TEXT(walmart[[#This Row],[Purchase_Date]],"DDD")</f>
        <v>Sun</v>
      </c>
      <c r="I1402" t="str">
        <f>TEXT(walmart[[#This Row],[Purchase_Date]],"MMM")</f>
        <v>Mar</v>
      </c>
      <c r="J1402" t="str">
        <f>TEXT(walmart[[#This Row],[Purchase_Date]],"YYY")</f>
        <v>2025</v>
      </c>
      <c r="K1402" s="3">
        <v>67.040000000000006</v>
      </c>
      <c r="L1402" t="str">
        <f t="shared" si="100"/>
        <v>0% off</v>
      </c>
      <c r="N1402" t="str">
        <f t="shared" si="101"/>
        <v>No</v>
      </c>
      <c r="O1402" t="s">
        <v>21</v>
      </c>
      <c r="P1402" s="3">
        <f t="shared" si="102"/>
        <v>67.040000000000006</v>
      </c>
      <c r="Q1402" t="s">
        <v>47</v>
      </c>
      <c r="R1402">
        <v>3</v>
      </c>
      <c r="S1402" t="str">
        <f t="shared" si="103"/>
        <v>Average</v>
      </c>
    </row>
    <row r="1403" spans="1:19" x14ac:dyDescent="0.25">
      <c r="A1403" t="s">
        <v>1822</v>
      </c>
      <c r="B1403">
        <v>65</v>
      </c>
      <c r="C1403" t="s">
        <v>29</v>
      </c>
      <c r="D1403" t="s">
        <v>2480</v>
      </c>
      <c r="E1403" t="s">
        <v>37</v>
      </c>
      <c r="F1403" t="s">
        <v>82</v>
      </c>
      <c r="G1403" t="s">
        <v>311</v>
      </c>
      <c r="H1403" t="str">
        <f>TEXT(walmart[[#This Row],[Purchase_Date]],"DDD")</f>
        <v>Mon</v>
      </c>
      <c r="I1403" t="str">
        <f>TEXT(walmart[[#This Row],[Purchase_Date]],"MMM")</f>
        <v>Mar</v>
      </c>
      <c r="J1403" t="str">
        <f>TEXT(walmart[[#This Row],[Purchase_Date]],"YYY")</f>
        <v>2025</v>
      </c>
      <c r="K1403" s="3">
        <v>270.41000000000003</v>
      </c>
      <c r="L1403" t="str">
        <f t="shared" si="100"/>
        <v>5% off</v>
      </c>
      <c r="N1403" t="str">
        <f t="shared" si="101"/>
        <v>Yes</v>
      </c>
      <c r="O1403" t="s">
        <v>21</v>
      </c>
      <c r="P1403" s="3">
        <f t="shared" si="102"/>
        <v>270.41000000000003</v>
      </c>
      <c r="Q1403" t="s">
        <v>22</v>
      </c>
      <c r="R1403">
        <v>1</v>
      </c>
      <c r="S1403" t="str">
        <f t="shared" si="103"/>
        <v>Very Poor</v>
      </c>
    </row>
    <row r="1404" spans="1:19" x14ac:dyDescent="0.25">
      <c r="A1404" t="s">
        <v>1823</v>
      </c>
      <c r="B1404">
        <v>48</v>
      </c>
      <c r="C1404" t="s">
        <v>29</v>
      </c>
      <c r="D1404" t="s">
        <v>2481</v>
      </c>
      <c r="E1404" t="s">
        <v>31</v>
      </c>
      <c r="F1404" t="s">
        <v>32</v>
      </c>
      <c r="G1404" t="s">
        <v>293</v>
      </c>
      <c r="H1404" t="str">
        <f>TEXT(walmart[[#This Row],[Purchase_Date]],"DDD")</f>
        <v>Wed</v>
      </c>
      <c r="I1404" t="str">
        <f>TEXT(walmart[[#This Row],[Purchase_Date]],"MMM")</f>
        <v>May</v>
      </c>
      <c r="J1404" t="str">
        <f>TEXT(walmart[[#This Row],[Purchase_Date]],"YYY")</f>
        <v>2024</v>
      </c>
      <c r="K1404" s="3">
        <v>493.96</v>
      </c>
      <c r="L1404" t="str">
        <f t="shared" si="100"/>
        <v>5% off</v>
      </c>
      <c r="N1404" t="str">
        <f t="shared" si="101"/>
        <v>Yes</v>
      </c>
      <c r="O1404" t="s">
        <v>21</v>
      </c>
      <c r="P1404" s="3">
        <f t="shared" si="102"/>
        <v>493.96</v>
      </c>
      <c r="Q1404" t="s">
        <v>27</v>
      </c>
      <c r="R1404">
        <v>4</v>
      </c>
      <c r="S1404" t="str">
        <f t="shared" si="103"/>
        <v>Good</v>
      </c>
    </row>
    <row r="1405" spans="1:19" x14ac:dyDescent="0.25">
      <c r="A1405" t="s">
        <v>1824</v>
      </c>
      <c r="B1405">
        <v>58</v>
      </c>
      <c r="C1405" t="s">
        <v>16</v>
      </c>
      <c r="D1405" t="s">
        <v>2482</v>
      </c>
      <c r="E1405" t="s">
        <v>37</v>
      </c>
      <c r="F1405" t="s">
        <v>117</v>
      </c>
      <c r="G1405" t="s">
        <v>26</v>
      </c>
      <c r="H1405" t="str">
        <f>TEXT(walmart[[#This Row],[Purchase_Date]],"DDD")</f>
        <v>Tue</v>
      </c>
      <c r="I1405" t="str">
        <f>TEXT(walmart[[#This Row],[Purchase_Date]],"MMM")</f>
        <v>Nov</v>
      </c>
      <c r="J1405" t="str">
        <f>TEXT(walmart[[#This Row],[Purchase_Date]],"YYY")</f>
        <v>2024</v>
      </c>
      <c r="K1405" s="3">
        <v>165.68</v>
      </c>
      <c r="L1405" t="str">
        <f t="shared" si="100"/>
        <v>5% off</v>
      </c>
      <c r="N1405" t="str">
        <f t="shared" si="101"/>
        <v>Yes</v>
      </c>
      <c r="O1405" t="s">
        <v>34</v>
      </c>
      <c r="P1405" s="3">
        <f t="shared" si="102"/>
        <v>165.68</v>
      </c>
      <c r="Q1405" t="s">
        <v>35</v>
      </c>
      <c r="R1405">
        <v>1</v>
      </c>
      <c r="S1405" t="str">
        <f t="shared" si="103"/>
        <v>Very Poor</v>
      </c>
    </row>
    <row r="1406" spans="1:19" x14ac:dyDescent="0.25">
      <c r="A1406" t="s">
        <v>1825</v>
      </c>
      <c r="B1406">
        <v>59</v>
      </c>
      <c r="C1406" t="s">
        <v>29</v>
      </c>
      <c r="D1406" t="s">
        <v>2462</v>
      </c>
      <c r="E1406" t="s">
        <v>42</v>
      </c>
      <c r="F1406" t="s">
        <v>120</v>
      </c>
      <c r="G1406" t="s">
        <v>329</v>
      </c>
      <c r="H1406" t="str">
        <f>TEXT(walmart[[#This Row],[Purchase_Date]],"DDD")</f>
        <v>Fri</v>
      </c>
      <c r="I1406" t="str">
        <f>TEXT(walmart[[#This Row],[Purchase_Date]],"MMM")</f>
        <v>Jan</v>
      </c>
      <c r="J1406" t="str">
        <f>TEXT(walmart[[#This Row],[Purchase_Date]],"YYY")</f>
        <v>2025</v>
      </c>
      <c r="K1406" s="3">
        <v>260.77999999999997</v>
      </c>
      <c r="L1406" t="str">
        <f t="shared" si="100"/>
        <v>5% off</v>
      </c>
      <c r="N1406" t="str">
        <f t="shared" si="101"/>
        <v>Yes</v>
      </c>
      <c r="O1406" t="s">
        <v>34</v>
      </c>
      <c r="P1406" s="3">
        <f t="shared" si="102"/>
        <v>260.77999999999997</v>
      </c>
      <c r="Q1406" t="s">
        <v>22</v>
      </c>
      <c r="R1406">
        <v>4</v>
      </c>
      <c r="S1406" t="str">
        <f t="shared" si="103"/>
        <v>Good</v>
      </c>
    </row>
    <row r="1407" spans="1:19" x14ac:dyDescent="0.25">
      <c r="A1407" t="s">
        <v>1826</v>
      </c>
      <c r="B1407">
        <v>33</v>
      </c>
      <c r="C1407" t="s">
        <v>29</v>
      </c>
      <c r="D1407" t="s">
        <v>2483</v>
      </c>
      <c r="E1407" t="s">
        <v>42</v>
      </c>
      <c r="F1407" t="s">
        <v>103</v>
      </c>
      <c r="G1407" t="s">
        <v>950</v>
      </c>
      <c r="H1407" t="str">
        <f>TEXT(walmart[[#This Row],[Purchase_Date]],"DDD")</f>
        <v>Tue</v>
      </c>
      <c r="I1407" t="str">
        <f>TEXT(walmart[[#This Row],[Purchase_Date]],"MMM")</f>
        <v>May</v>
      </c>
      <c r="J1407" t="str">
        <f>TEXT(walmart[[#This Row],[Purchase_Date]],"YYY")</f>
        <v>2024</v>
      </c>
      <c r="K1407" s="3">
        <v>315.56</v>
      </c>
      <c r="L1407" t="str">
        <f t="shared" si="100"/>
        <v>5% off</v>
      </c>
      <c r="N1407" t="str">
        <f t="shared" si="101"/>
        <v>Yes</v>
      </c>
      <c r="O1407" t="s">
        <v>21</v>
      </c>
      <c r="P1407" s="3">
        <f t="shared" si="102"/>
        <v>315.56</v>
      </c>
      <c r="Q1407" t="s">
        <v>22</v>
      </c>
      <c r="R1407">
        <v>1</v>
      </c>
      <c r="S1407" t="str">
        <f t="shared" si="103"/>
        <v>Very Poor</v>
      </c>
    </row>
    <row r="1408" spans="1:19" x14ac:dyDescent="0.25">
      <c r="A1408" t="s">
        <v>1827</v>
      </c>
      <c r="B1408">
        <v>56</v>
      </c>
      <c r="C1408" t="s">
        <v>16</v>
      </c>
      <c r="D1408" t="s">
        <v>2484</v>
      </c>
      <c r="E1408" t="s">
        <v>42</v>
      </c>
      <c r="F1408" t="s">
        <v>43</v>
      </c>
      <c r="G1408" t="s">
        <v>181</v>
      </c>
      <c r="H1408" t="str">
        <f>TEXT(walmart[[#This Row],[Purchase_Date]],"DDD")</f>
        <v>Sat</v>
      </c>
      <c r="I1408" t="str">
        <f>TEXT(walmart[[#This Row],[Purchase_Date]],"MMM")</f>
        <v>Oct</v>
      </c>
      <c r="J1408" t="str">
        <f>TEXT(walmart[[#This Row],[Purchase_Date]],"YYY")</f>
        <v>2024</v>
      </c>
      <c r="K1408" s="3">
        <v>512.94000000000005</v>
      </c>
      <c r="L1408" t="str">
        <f t="shared" si="100"/>
        <v>10% off</v>
      </c>
      <c r="N1408" t="str">
        <f t="shared" si="101"/>
        <v>Yes</v>
      </c>
      <c r="O1408" t="s">
        <v>34</v>
      </c>
      <c r="P1408" s="3">
        <f t="shared" si="102"/>
        <v>512.94000000000005</v>
      </c>
      <c r="Q1408" t="s">
        <v>27</v>
      </c>
      <c r="R1408">
        <v>5</v>
      </c>
      <c r="S1408" t="str">
        <f t="shared" si="103"/>
        <v>Excellent</v>
      </c>
    </row>
    <row r="1409" spans="1:19" x14ac:dyDescent="0.25">
      <c r="A1409" t="s">
        <v>1828</v>
      </c>
      <c r="B1409">
        <v>57</v>
      </c>
      <c r="C1409" t="s">
        <v>29</v>
      </c>
      <c r="D1409" t="s">
        <v>2485</v>
      </c>
      <c r="E1409" t="s">
        <v>24</v>
      </c>
      <c r="F1409" t="s">
        <v>25</v>
      </c>
      <c r="G1409" t="s">
        <v>432</v>
      </c>
      <c r="H1409" t="str">
        <f>TEXT(walmart[[#This Row],[Purchase_Date]],"DDD")</f>
        <v>Fri</v>
      </c>
      <c r="I1409" t="str">
        <f>TEXT(walmart[[#This Row],[Purchase_Date]],"MMM")</f>
        <v>Nov</v>
      </c>
      <c r="J1409" t="str">
        <f>TEXT(walmart[[#This Row],[Purchase_Date]],"YYY")</f>
        <v>2024</v>
      </c>
      <c r="K1409" s="3">
        <v>67.040000000000006</v>
      </c>
      <c r="L1409" t="str">
        <f t="shared" si="100"/>
        <v>0% off</v>
      </c>
      <c r="N1409" t="str">
        <f t="shared" si="101"/>
        <v>No</v>
      </c>
      <c r="O1409" t="s">
        <v>21</v>
      </c>
      <c r="P1409" s="3">
        <f t="shared" si="102"/>
        <v>67.040000000000006</v>
      </c>
      <c r="Q1409" t="s">
        <v>22</v>
      </c>
      <c r="R1409">
        <v>5</v>
      </c>
      <c r="S1409" t="str">
        <f t="shared" si="103"/>
        <v>Excellent</v>
      </c>
    </row>
    <row r="1410" spans="1:19" x14ac:dyDescent="0.25">
      <c r="A1410" t="s">
        <v>1829</v>
      </c>
      <c r="B1410">
        <v>65</v>
      </c>
      <c r="C1410" t="s">
        <v>16</v>
      </c>
      <c r="D1410" t="s">
        <v>2486</v>
      </c>
      <c r="E1410" t="s">
        <v>18</v>
      </c>
      <c r="F1410" t="s">
        <v>77</v>
      </c>
      <c r="G1410" t="s">
        <v>1001</v>
      </c>
      <c r="H1410" t="str">
        <f>TEXT(walmart[[#This Row],[Purchase_Date]],"DDD")</f>
        <v>Thu</v>
      </c>
      <c r="I1410" t="str">
        <f>TEXT(walmart[[#This Row],[Purchase_Date]],"MMM")</f>
        <v>Aug</v>
      </c>
      <c r="J1410" t="str">
        <f>TEXT(walmart[[#This Row],[Purchase_Date]],"YYY")</f>
        <v>2024</v>
      </c>
      <c r="K1410" s="3">
        <v>116.78</v>
      </c>
      <c r="L1410" t="str">
        <f t="shared" si="100"/>
        <v>0% off</v>
      </c>
      <c r="N1410" t="str">
        <f t="shared" si="101"/>
        <v>No</v>
      </c>
      <c r="O1410" t="s">
        <v>21</v>
      </c>
      <c r="P1410" s="3">
        <f t="shared" si="102"/>
        <v>116.78</v>
      </c>
      <c r="Q1410" t="s">
        <v>27</v>
      </c>
      <c r="R1410">
        <v>1</v>
      </c>
      <c r="S1410" t="str">
        <f t="shared" si="103"/>
        <v>Very Poor</v>
      </c>
    </row>
    <row r="1411" spans="1:19" x14ac:dyDescent="0.25">
      <c r="A1411" t="s">
        <v>1830</v>
      </c>
      <c r="B1411">
        <v>63</v>
      </c>
      <c r="C1411" t="s">
        <v>16</v>
      </c>
      <c r="D1411" t="s">
        <v>2487</v>
      </c>
      <c r="E1411" t="s">
        <v>55</v>
      </c>
      <c r="F1411" t="s">
        <v>56</v>
      </c>
      <c r="G1411" t="s">
        <v>319</v>
      </c>
      <c r="H1411" t="str">
        <f>TEXT(walmart[[#This Row],[Purchase_Date]],"DDD")</f>
        <v>Tue</v>
      </c>
      <c r="I1411" t="str">
        <f>TEXT(walmart[[#This Row],[Purchase_Date]],"MMM")</f>
        <v>May</v>
      </c>
      <c r="J1411" t="str">
        <f>TEXT(walmart[[#This Row],[Purchase_Date]],"YYY")</f>
        <v>2024</v>
      </c>
      <c r="K1411" s="3">
        <v>76.81</v>
      </c>
      <c r="L1411" t="str">
        <f t="shared" ref="L1411:L1474" si="104">IF(K1411&lt;150,"0% off",IF(K1411&lt;500,"5% off",IF(K1411&lt;700,"10% off",IF(K1411&lt;900,"15% off","20% off"))))</f>
        <v>0% off</v>
      </c>
      <c r="N1411" t="str">
        <f t="shared" ref="N1411:N1474" si="105">IF(L1411="0% off", "No", "Yes")</f>
        <v>No</v>
      </c>
      <c r="O1411" t="s">
        <v>21</v>
      </c>
      <c r="P1411" s="3">
        <f t="shared" ref="P1411:P1474" si="106">K1411-M1411</f>
        <v>76.81</v>
      </c>
      <c r="Q1411" t="s">
        <v>22</v>
      </c>
      <c r="R1411">
        <v>4</v>
      </c>
      <c r="S1411" t="str">
        <f t="shared" ref="S1411:S1474" si="107">IF(R1411=5, "Excellent", IF(R1411=4, "Good", IF(R1411=3, "Average", IF(R1411=2, "Poor", IF(R1411=1, "Very Poor", "Invalid Rating")))))</f>
        <v>Good</v>
      </c>
    </row>
    <row r="1412" spans="1:19" x14ac:dyDescent="0.25">
      <c r="A1412" t="s">
        <v>1831</v>
      </c>
      <c r="B1412">
        <v>62</v>
      </c>
      <c r="C1412" t="s">
        <v>16</v>
      </c>
      <c r="D1412" t="s">
        <v>2488</v>
      </c>
      <c r="E1412" t="s">
        <v>31</v>
      </c>
      <c r="F1412" t="s">
        <v>300</v>
      </c>
      <c r="G1412" t="s">
        <v>486</v>
      </c>
      <c r="H1412" t="str">
        <f>TEXT(walmart[[#This Row],[Purchase_Date]],"DDD")</f>
        <v>Wed</v>
      </c>
      <c r="I1412" t="str">
        <f>TEXT(walmart[[#This Row],[Purchase_Date]],"MMM")</f>
        <v>Mar</v>
      </c>
      <c r="J1412" t="str">
        <f>TEXT(walmart[[#This Row],[Purchase_Date]],"YYY")</f>
        <v>2025</v>
      </c>
      <c r="K1412" s="3">
        <v>340.04</v>
      </c>
      <c r="L1412" t="str">
        <f t="shared" si="104"/>
        <v>5% off</v>
      </c>
      <c r="N1412" t="str">
        <f t="shared" si="105"/>
        <v>Yes</v>
      </c>
      <c r="O1412" t="s">
        <v>21</v>
      </c>
      <c r="P1412" s="3">
        <f t="shared" si="106"/>
        <v>340.04</v>
      </c>
      <c r="Q1412" t="s">
        <v>35</v>
      </c>
      <c r="R1412">
        <v>5</v>
      </c>
      <c r="S1412" t="str">
        <f t="shared" si="107"/>
        <v>Excellent</v>
      </c>
    </row>
    <row r="1413" spans="1:19" x14ac:dyDescent="0.25">
      <c r="A1413" t="s">
        <v>1832</v>
      </c>
      <c r="B1413">
        <v>20</v>
      </c>
      <c r="C1413" t="s">
        <v>29</v>
      </c>
      <c r="D1413" t="s">
        <v>2489</v>
      </c>
      <c r="E1413" t="s">
        <v>42</v>
      </c>
      <c r="F1413" t="s">
        <v>120</v>
      </c>
      <c r="G1413" t="s">
        <v>1291</v>
      </c>
      <c r="H1413" t="str">
        <f>TEXT(walmart[[#This Row],[Purchase_Date]],"DDD")</f>
        <v>Sat</v>
      </c>
      <c r="I1413" t="str">
        <f>TEXT(walmart[[#This Row],[Purchase_Date]],"MMM")</f>
        <v>Oct</v>
      </c>
      <c r="J1413" t="str">
        <f>TEXT(walmart[[#This Row],[Purchase_Date]],"YYY")</f>
        <v>2024</v>
      </c>
      <c r="K1413" s="3">
        <v>260.77999999999997</v>
      </c>
      <c r="L1413" t="str">
        <f t="shared" si="104"/>
        <v>5% off</v>
      </c>
      <c r="N1413" t="str">
        <f t="shared" si="105"/>
        <v>Yes</v>
      </c>
      <c r="O1413" t="s">
        <v>34</v>
      </c>
      <c r="P1413" s="3">
        <f t="shared" si="106"/>
        <v>260.77999999999997</v>
      </c>
      <c r="Q1413" t="s">
        <v>47</v>
      </c>
      <c r="R1413">
        <v>3</v>
      </c>
      <c r="S1413" t="str">
        <f t="shared" si="107"/>
        <v>Average</v>
      </c>
    </row>
    <row r="1414" spans="1:19" x14ac:dyDescent="0.25">
      <c r="A1414" t="s">
        <v>1833</v>
      </c>
      <c r="B1414">
        <v>61</v>
      </c>
      <c r="C1414" t="s">
        <v>16</v>
      </c>
      <c r="D1414" t="s">
        <v>2490</v>
      </c>
      <c r="E1414" t="s">
        <v>24</v>
      </c>
      <c r="F1414" t="s">
        <v>186</v>
      </c>
      <c r="G1414" t="s">
        <v>319</v>
      </c>
      <c r="H1414" t="str">
        <f>TEXT(walmart[[#This Row],[Purchase_Date]],"DDD")</f>
        <v>Tue</v>
      </c>
      <c r="I1414" t="str">
        <f>TEXT(walmart[[#This Row],[Purchase_Date]],"MMM")</f>
        <v>May</v>
      </c>
      <c r="J1414" t="str">
        <f>TEXT(walmart[[#This Row],[Purchase_Date]],"YYY")</f>
        <v>2024</v>
      </c>
      <c r="K1414" s="3">
        <v>527.16999999999996</v>
      </c>
      <c r="L1414" t="str">
        <f t="shared" si="104"/>
        <v>10% off</v>
      </c>
      <c r="N1414" t="str">
        <f t="shared" si="105"/>
        <v>Yes</v>
      </c>
      <c r="O1414" t="s">
        <v>21</v>
      </c>
      <c r="P1414" s="3">
        <f t="shared" si="106"/>
        <v>527.16999999999996</v>
      </c>
      <c r="Q1414" t="s">
        <v>35</v>
      </c>
      <c r="R1414">
        <v>1</v>
      </c>
      <c r="S1414" t="str">
        <f t="shared" si="107"/>
        <v>Very Poor</v>
      </c>
    </row>
    <row r="1415" spans="1:19" x14ac:dyDescent="0.25">
      <c r="A1415" t="s">
        <v>1834</v>
      </c>
      <c r="B1415">
        <v>40</v>
      </c>
      <c r="C1415" t="s">
        <v>16</v>
      </c>
      <c r="D1415" t="s">
        <v>2471</v>
      </c>
      <c r="E1415" t="s">
        <v>37</v>
      </c>
      <c r="F1415" t="s">
        <v>38</v>
      </c>
      <c r="G1415" t="s">
        <v>681</v>
      </c>
      <c r="H1415" t="str">
        <f>TEXT(walmart[[#This Row],[Purchase_Date]],"DDD")</f>
        <v>Sun</v>
      </c>
      <c r="I1415" t="str">
        <f>TEXT(walmart[[#This Row],[Purchase_Date]],"MMM")</f>
        <v>Jun</v>
      </c>
      <c r="J1415" t="str">
        <f>TEXT(walmart[[#This Row],[Purchase_Date]],"YYY")</f>
        <v>2024</v>
      </c>
      <c r="K1415" s="3">
        <v>211.46</v>
      </c>
      <c r="L1415" t="str">
        <f t="shared" si="104"/>
        <v>5% off</v>
      </c>
      <c r="N1415" t="str">
        <f t="shared" si="105"/>
        <v>Yes</v>
      </c>
      <c r="O1415" t="s">
        <v>21</v>
      </c>
      <c r="P1415" s="3">
        <f t="shared" si="106"/>
        <v>211.46</v>
      </c>
      <c r="Q1415" t="s">
        <v>47</v>
      </c>
      <c r="R1415">
        <v>2</v>
      </c>
      <c r="S1415" t="str">
        <f t="shared" si="107"/>
        <v>Poor</v>
      </c>
    </row>
    <row r="1416" spans="1:19" x14ac:dyDescent="0.25">
      <c r="A1416" t="s">
        <v>1835</v>
      </c>
      <c r="B1416">
        <v>47</v>
      </c>
      <c r="C1416" t="s">
        <v>29</v>
      </c>
      <c r="D1416" t="s">
        <v>2491</v>
      </c>
      <c r="E1416" t="s">
        <v>42</v>
      </c>
      <c r="F1416" t="s">
        <v>43</v>
      </c>
      <c r="G1416" t="s">
        <v>457</v>
      </c>
      <c r="H1416" t="str">
        <f>TEXT(walmart[[#This Row],[Purchase_Date]],"DDD")</f>
        <v>Thu</v>
      </c>
      <c r="I1416" t="str">
        <f>TEXT(walmart[[#This Row],[Purchase_Date]],"MMM")</f>
        <v>Apr</v>
      </c>
      <c r="J1416" t="str">
        <f>TEXT(walmart[[#This Row],[Purchase_Date]],"YYY")</f>
        <v>2024</v>
      </c>
      <c r="K1416" s="3">
        <v>512.94000000000005</v>
      </c>
      <c r="L1416" t="str">
        <f t="shared" si="104"/>
        <v>10% off</v>
      </c>
      <c r="N1416" t="str">
        <f t="shared" si="105"/>
        <v>Yes</v>
      </c>
      <c r="O1416" t="s">
        <v>34</v>
      </c>
      <c r="P1416" s="3">
        <f t="shared" si="106"/>
        <v>512.94000000000005</v>
      </c>
      <c r="Q1416" t="s">
        <v>47</v>
      </c>
      <c r="R1416">
        <v>5</v>
      </c>
      <c r="S1416" t="str">
        <f t="shared" si="107"/>
        <v>Excellent</v>
      </c>
    </row>
    <row r="1417" spans="1:19" x14ac:dyDescent="0.25">
      <c r="A1417" t="s">
        <v>1836</v>
      </c>
      <c r="B1417">
        <v>70</v>
      </c>
      <c r="C1417" t="s">
        <v>29</v>
      </c>
      <c r="D1417" t="s">
        <v>2492</v>
      </c>
      <c r="E1417" t="s">
        <v>42</v>
      </c>
      <c r="F1417" t="s">
        <v>43</v>
      </c>
      <c r="G1417" t="s">
        <v>570</v>
      </c>
      <c r="H1417" t="str">
        <f>TEXT(walmart[[#This Row],[Purchase_Date]],"DDD")</f>
        <v>Tue</v>
      </c>
      <c r="I1417" t="str">
        <f>TEXT(walmart[[#This Row],[Purchase_Date]],"MMM")</f>
        <v>Jun</v>
      </c>
      <c r="J1417" t="str">
        <f>TEXT(walmart[[#This Row],[Purchase_Date]],"YYY")</f>
        <v>2024</v>
      </c>
      <c r="K1417" s="3">
        <v>512.94000000000005</v>
      </c>
      <c r="L1417" t="str">
        <f t="shared" si="104"/>
        <v>10% off</v>
      </c>
      <c r="N1417" t="str">
        <f t="shared" si="105"/>
        <v>Yes</v>
      </c>
      <c r="O1417" t="s">
        <v>21</v>
      </c>
      <c r="P1417" s="3">
        <f t="shared" si="106"/>
        <v>512.94000000000005</v>
      </c>
      <c r="Q1417" t="s">
        <v>47</v>
      </c>
      <c r="R1417">
        <v>4</v>
      </c>
      <c r="S1417" t="str">
        <f t="shared" si="107"/>
        <v>Good</v>
      </c>
    </row>
    <row r="1418" spans="1:19" x14ac:dyDescent="0.25">
      <c r="A1418" t="s">
        <v>1837</v>
      </c>
      <c r="B1418">
        <v>67</v>
      </c>
      <c r="C1418" t="s">
        <v>16</v>
      </c>
      <c r="D1418" t="s">
        <v>2493</v>
      </c>
      <c r="E1418" t="s">
        <v>31</v>
      </c>
      <c r="F1418" t="s">
        <v>169</v>
      </c>
      <c r="G1418" t="s">
        <v>1502</v>
      </c>
      <c r="H1418" t="str">
        <f>TEXT(walmart[[#This Row],[Purchase_Date]],"DDD")</f>
        <v>Thu</v>
      </c>
      <c r="I1418" t="str">
        <f>TEXT(walmart[[#This Row],[Purchase_Date]],"MMM")</f>
        <v>Jul</v>
      </c>
      <c r="J1418" t="str">
        <f>TEXT(walmart[[#This Row],[Purchase_Date]],"YYY")</f>
        <v>2024</v>
      </c>
      <c r="K1418" s="3">
        <v>52.44</v>
      </c>
      <c r="L1418" t="str">
        <f t="shared" si="104"/>
        <v>0% off</v>
      </c>
      <c r="N1418" t="str">
        <f t="shared" si="105"/>
        <v>No</v>
      </c>
      <c r="O1418" t="s">
        <v>21</v>
      </c>
      <c r="P1418" s="3">
        <f t="shared" si="106"/>
        <v>52.44</v>
      </c>
      <c r="Q1418" t="s">
        <v>27</v>
      </c>
      <c r="R1418">
        <v>1</v>
      </c>
      <c r="S1418" t="str">
        <f t="shared" si="107"/>
        <v>Very Poor</v>
      </c>
    </row>
    <row r="1419" spans="1:19" x14ac:dyDescent="0.25">
      <c r="A1419" t="s">
        <v>1838</v>
      </c>
      <c r="B1419">
        <v>21</v>
      </c>
      <c r="C1419" t="s">
        <v>16</v>
      </c>
      <c r="D1419" t="s">
        <v>2494</v>
      </c>
      <c r="E1419" t="s">
        <v>31</v>
      </c>
      <c r="F1419" t="s">
        <v>300</v>
      </c>
      <c r="G1419" t="s">
        <v>44</v>
      </c>
      <c r="H1419" t="str">
        <f>TEXT(walmart[[#This Row],[Purchase_Date]],"DDD")</f>
        <v>Fri</v>
      </c>
      <c r="I1419" t="str">
        <f>TEXT(walmart[[#This Row],[Purchase_Date]],"MMM")</f>
        <v>Aug</v>
      </c>
      <c r="J1419" t="str">
        <f>TEXT(walmart[[#This Row],[Purchase_Date]],"YYY")</f>
        <v>2024</v>
      </c>
      <c r="K1419" s="3">
        <v>340.04</v>
      </c>
      <c r="L1419" t="str">
        <f t="shared" si="104"/>
        <v>5% off</v>
      </c>
      <c r="N1419" t="str">
        <f t="shared" si="105"/>
        <v>Yes</v>
      </c>
      <c r="O1419" t="s">
        <v>21</v>
      </c>
      <c r="P1419" s="3">
        <f t="shared" si="106"/>
        <v>340.04</v>
      </c>
      <c r="Q1419" t="s">
        <v>47</v>
      </c>
      <c r="R1419">
        <v>1</v>
      </c>
      <c r="S1419" t="str">
        <f t="shared" si="107"/>
        <v>Very Poor</v>
      </c>
    </row>
    <row r="1420" spans="1:19" x14ac:dyDescent="0.25">
      <c r="A1420" t="s">
        <v>1839</v>
      </c>
      <c r="B1420">
        <v>48</v>
      </c>
      <c r="C1420" t="s">
        <v>16</v>
      </c>
      <c r="D1420" t="s">
        <v>2495</v>
      </c>
      <c r="E1420" t="s">
        <v>31</v>
      </c>
      <c r="F1420" t="s">
        <v>112</v>
      </c>
      <c r="G1420" t="s">
        <v>566</v>
      </c>
      <c r="H1420" t="str">
        <f>TEXT(walmart[[#This Row],[Purchase_Date]],"DDD")</f>
        <v>Wed</v>
      </c>
      <c r="I1420" t="str">
        <f>TEXT(walmart[[#This Row],[Purchase_Date]],"MMM")</f>
        <v>Oct</v>
      </c>
      <c r="J1420" t="str">
        <f>TEXT(walmart[[#This Row],[Purchase_Date]],"YYY")</f>
        <v>2024</v>
      </c>
      <c r="K1420" s="3">
        <v>492.1</v>
      </c>
      <c r="L1420" t="str">
        <f t="shared" si="104"/>
        <v>5% off</v>
      </c>
      <c r="N1420" t="str">
        <f t="shared" si="105"/>
        <v>Yes</v>
      </c>
      <c r="O1420" t="s">
        <v>34</v>
      </c>
      <c r="P1420" s="3">
        <f t="shared" si="106"/>
        <v>492.1</v>
      </c>
      <c r="Q1420" t="s">
        <v>27</v>
      </c>
      <c r="R1420">
        <v>5</v>
      </c>
      <c r="S1420" t="str">
        <f t="shared" si="107"/>
        <v>Excellent</v>
      </c>
    </row>
    <row r="1421" spans="1:19" x14ac:dyDescent="0.25">
      <c r="A1421" t="s">
        <v>1840</v>
      </c>
      <c r="B1421">
        <v>48</v>
      </c>
      <c r="C1421" t="s">
        <v>29</v>
      </c>
      <c r="D1421" t="s">
        <v>2496</v>
      </c>
      <c r="E1421" t="s">
        <v>24</v>
      </c>
      <c r="F1421" t="s">
        <v>209</v>
      </c>
      <c r="G1421" t="s">
        <v>459</v>
      </c>
      <c r="H1421" t="str">
        <f>TEXT(walmart[[#This Row],[Purchase_Date]],"DDD")</f>
        <v>Tue</v>
      </c>
      <c r="I1421" t="str">
        <f>TEXT(walmart[[#This Row],[Purchase_Date]],"MMM")</f>
        <v>Aug</v>
      </c>
      <c r="J1421" t="str">
        <f>TEXT(walmart[[#This Row],[Purchase_Date]],"YYY")</f>
        <v>2024</v>
      </c>
      <c r="K1421" s="3">
        <v>775.75</v>
      </c>
      <c r="L1421" t="str">
        <f t="shared" si="104"/>
        <v>15% off</v>
      </c>
      <c r="N1421" t="str">
        <f t="shared" si="105"/>
        <v>Yes</v>
      </c>
      <c r="O1421" t="s">
        <v>34</v>
      </c>
      <c r="P1421" s="3">
        <f t="shared" si="106"/>
        <v>775.75</v>
      </c>
      <c r="Q1421" t="s">
        <v>35</v>
      </c>
      <c r="R1421">
        <v>3</v>
      </c>
      <c r="S1421" t="str">
        <f t="shared" si="107"/>
        <v>Average</v>
      </c>
    </row>
    <row r="1422" spans="1:19" x14ac:dyDescent="0.25">
      <c r="A1422" t="s">
        <v>1841</v>
      </c>
      <c r="B1422">
        <v>65</v>
      </c>
      <c r="C1422" t="s">
        <v>16</v>
      </c>
      <c r="D1422" t="s">
        <v>2497</v>
      </c>
      <c r="E1422" t="s">
        <v>73</v>
      </c>
      <c r="F1422" t="s">
        <v>138</v>
      </c>
      <c r="G1422" t="s">
        <v>619</v>
      </c>
      <c r="H1422" t="str">
        <f>TEXT(walmart[[#This Row],[Purchase_Date]],"DDD")</f>
        <v>Tue</v>
      </c>
      <c r="I1422" t="str">
        <f>TEXT(walmart[[#This Row],[Purchase_Date]],"MMM")</f>
        <v>May</v>
      </c>
      <c r="J1422" t="str">
        <f>TEXT(walmart[[#This Row],[Purchase_Date]],"YYY")</f>
        <v>2024</v>
      </c>
      <c r="K1422" s="3">
        <v>461.81</v>
      </c>
      <c r="L1422" t="str">
        <f t="shared" si="104"/>
        <v>5% off</v>
      </c>
      <c r="N1422" t="str">
        <f t="shared" si="105"/>
        <v>Yes</v>
      </c>
      <c r="O1422" t="s">
        <v>34</v>
      </c>
      <c r="P1422" s="3">
        <f t="shared" si="106"/>
        <v>461.81</v>
      </c>
      <c r="Q1422" t="s">
        <v>22</v>
      </c>
      <c r="R1422">
        <v>4</v>
      </c>
      <c r="S1422" t="str">
        <f t="shared" si="107"/>
        <v>Good</v>
      </c>
    </row>
    <row r="1423" spans="1:19" x14ac:dyDescent="0.25">
      <c r="A1423" t="s">
        <v>1842</v>
      </c>
      <c r="B1423">
        <v>37</v>
      </c>
      <c r="C1423" t="s">
        <v>29</v>
      </c>
      <c r="D1423" t="s">
        <v>2498</v>
      </c>
      <c r="E1423" t="s">
        <v>42</v>
      </c>
      <c r="F1423" t="s">
        <v>120</v>
      </c>
      <c r="G1423" t="s">
        <v>658</v>
      </c>
      <c r="H1423" t="str">
        <f>TEXT(walmart[[#This Row],[Purchase_Date]],"DDD")</f>
        <v>Fri</v>
      </c>
      <c r="I1423" t="str">
        <f>TEXT(walmart[[#This Row],[Purchase_Date]],"MMM")</f>
        <v>Jun</v>
      </c>
      <c r="J1423" t="str">
        <f>TEXT(walmart[[#This Row],[Purchase_Date]],"YYY")</f>
        <v>2024</v>
      </c>
      <c r="K1423" s="3">
        <v>260.77999999999997</v>
      </c>
      <c r="L1423" t="str">
        <f t="shared" si="104"/>
        <v>5% off</v>
      </c>
      <c r="N1423" t="str">
        <f t="shared" si="105"/>
        <v>Yes</v>
      </c>
      <c r="O1423" t="s">
        <v>21</v>
      </c>
      <c r="P1423" s="3">
        <f t="shared" si="106"/>
        <v>260.77999999999997</v>
      </c>
      <c r="Q1423" t="s">
        <v>22</v>
      </c>
      <c r="R1423">
        <v>1</v>
      </c>
      <c r="S1423" t="str">
        <f t="shared" si="107"/>
        <v>Very Poor</v>
      </c>
    </row>
    <row r="1424" spans="1:19" x14ac:dyDescent="0.25">
      <c r="A1424" t="s">
        <v>1843</v>
      </c>
      <c r="B1424">
        <v>49</v>
      </c>
      <c r="C1424" t="s">
        <v>16</v>
      </c>
      <c r="D1424" t="s">
        <v>2499</v>
      </c>
      <c r="E1424" t="s">
        <v>73</v>
      </c>
      <c r="F1424" t="s">
        <v>74</v>
      </c>
      <c r="G1424" t="s">
        <v>380</v>
      </c>
      <c r="H1424" t="str">
        <f>TEXT(walmart[[#This Row],[Purchase_Date]],"DDD")</f>
        <v>Sun</v>
      </c>
      <c r="I1424" t="str">
        <f>TEXT(walmart[[#This Row],[Purchase_Date]],"MMM")</f>
        <v>Jun</v>
      </c>
      <c r="J1424" t="str">
        <f>TEXT(walmart[[#This Row],[Purchase_Date]],"YYY")</f>
        <v>2024</v>
      </c>
      <c r="K1424" s="3">
        <v>782.29</v>
      </c>
      <c r="L1424" t="str">
        <f t="shared" si="104"/>
        <v>15% off</v>
      </c>
      <c r="N1424" t="str">
        <f t="shared" si="105"/>
        <v>Yes</v>
      </c>
      <c r="O1424" t="s">
        <v>34</v>
      </c>
      <c r="P1424" s="3">
        <f t="shared" si="106"/>
        <v>782.29</v>
      </c>
      <c r="Q1424" t="s">
        <v>47</v>
      </c>
      <c r="R1424">
        <v>1</v>
      </c>
      <c r="S1424" t="str">
        <f t="shared" si="107"/>
        <v>Very Poor</v>
      </c>
    </row>
    <row r="1425" spans="1:19" x14ac:dyDescent="0.25">
      <c r="A1425" t="s">
        <v>1844</v>
      </c>
      <c r="B1425">
        <v>40</v>
      </c>
      <c r="C1425" t="s">
        <v>16</v>
      </c>
      <c r="D1425" t="s">
        <v>2500</v>
      </c>
      <c r="E1425" t="s">
        <v>24</v>
      </c>
      <c r="F1425" t="s">
        <v>162</v>
      </c>
      <c r="G1425" t="s">
        <v>1218</v>
      </c>
      <c r="H1425" t="str">
        <f>TEXT(walmart[[#This Row],[Purchase_Date]],"DDD")</f>
        <v>Thu</v>
      </c>
      <c r="I1425" t="str">
        <f>TEXT(walmart[[#This Row],[Purchase_Date]],"MMM")</f>
        <v>May</v>
      </c>
      <c r="J1425" t="str">
        <f>TEXT(walmart[[#This Row],[Purchase_Date]],"YYY")</f>
        <v>2024</v>
      </c>
      <c r="K1425" s="3">
        <v>362.55</v>
      </c>
      <c r="L1425" t="str">
        <f t="shared" si="104"/>
        <v>5% off</v>
      </c>
      <c r="N1425" t="str">
        <f t="shared" si="105"/>
        <v>Yes</v>
      </c>
      <c r="O1425" t="s">
        <v>34</v>
      </c>
      <c r="P1425" s="3">
        <f t="shared" si="106"/>
        <v>362.55</v>
      </c>
      <c r="Q1425" t="s">
        <v>22</v>
      </c>
      <c r="R1425">
        <v>4</v>
      </c>
      <c r="S1425" t="str">
        <f t="shared" si="107"/>
        <v>Good</v>
      </c>
    </row>
    <row r="1426" spans="1:19" x14ac:dyDescent="0.25">
      <c r="A1426" t="s">
        <v>1845</v>
      </c>
      <c r="B1426">
        <v>48</v>
      </c>
      <c r="C1426" t="s">
        <v>16</v>
      </c>
      <c r="D1426" t="s">
        <v>2501</v>
      </c>
      <c r="E1426" t="s">
        <v>24</v>
      </c>
      <c r="F1426" t="s">
        <v>162</v>
      </c>
      <c r="G1426" t="s">
        <v>1304</v>
      </c>
      <c r="H1426" t="str">
        <f>TEXT(walmart[[#This Row],[Purchase_Date]],"DDD")</f>
        <v>Thu</v>
      </c>
      <c r="I1426" t="str">
        <f>TEXT(walmart[[#This Row],[Purchase_Date]],"MMM")</f>
        <v>Oct</v>
      </c>
      <c r="J1426" t="str">
        <f>TEXT(walmart[[#This Row],[Purchase_Date]],"YYY")</f>
        <v>2024</v>
      </c>
      <c r="K1426" s="3">
        <v>362.55</v>
      </c>
      <c r="L1426" t="str">
        <f t="shared" si="104"/>
        <v>5% off</v>
      </c>
      <c r="N1426" t="str">
        <f t="shared" si="105"/>
        <v>Yes</v>
      </c>
      <c r="O1426" t="s">
        <v>34</v>
      </c>
      <c r="P1426" s="3">
        <f t="shared" si="106"/>
        <v>362.55</v>
      </c>
      <c r="Q1426" t="s">
        <v>35</v>
      </c>
      <c r="R1426">
        <v>2</v>
      </c>
      <c r="S1426" t="str">
        <f t="shared" si="107"/>
        <v>Poor</v>
      </c>
    </row>
    <row r="1427" spans="1:19" x14ac:dyDescent="0.25">
      <c r="A1427" t="s">
        <v>1846</v>
      </c>
      <c r="B1427">
        <v>25</v>
      </c>
      <c r="C1427" t="s">
        <v>16</v>
      </c>
      <c r="D1427" t="s">
        <v>2502</v>
      </c>
      <c r="E1427" t="s">
        <v>18</v>
      </c>
      <c r="F1427" t="s">
        <v>59</v>
      </c>
      <c r="G1427" t="s">
        <v>306</v>
      </c>
      <c r="H1427" t="str">
        <f>TEXT(walmart[[#This Row],[Purchase_Date]],"DDD")</f>
        <v>Sat</v>
      </c>
      <c r="I1427" t="str">
        <f>TEXT(walmart[[#This Row],[Purchase_Date]],"MMM")</f>
        <v>Dec</v>
      </c>
      <c r="J1427" t="str">
        <f>TEXT(walmart[[#This Row],[Purchase_Date]],"YYY")</f>
        <v>2024</v>
      </c>
      <c r="K1427" s="3">
        <v>78.349999999999994</v>
      </c>
      <c r="L1427" t="str">
        <f t="shared" si="104"/>
        <v>0% off</v>
      </c>
      <c r="N1427" t="str">
        <f t="shared" si="105"/>
        <v>No</v>
      </c>
      <c r="O1427" t="s">
        <v>34</v>
      </c>
      <c r="P1427" s="3">
        <f t="shared" si="106"/>
        <v>78.349999999999994</v>
      </c>
      <c r="Q1427" t="s">
        <v>27</v>
      </c>
      <c r="R1427">
        <v>3</v>
      </c>
      <c r="S1427" t="str">
        <f t="shared" si="107"/>
        <v>Average</v>
      </c>
    </row>
    <row r="1428" spans="1:19" x14ac:dyDescent="0.25">
      <c r="A1428" t="s">
        <v>1847</v>
      </c>
      <c r="B1428">
        <v>42</v>
      </c>
      <c r="C1428" t="s">
        <v>16</v>
      </c>
      <c r="D1428" t="s">
        <v>2503</v>
      </c>
      <c r="E1428" t="s">
        <v>42</v>
      </c>
      <c r="F1428" t="s">
        <v>120</v>
      </c>
      <c r="G1428" t="s">
        <v>463</v>
      </c>
      <c r="H1428" t="str">
        <f>TEXT(walmart[[#This Row],[Purchase_Date]],"DDD")</f>
        <v>Mon</v>
      </c>
      <c r="I1428" t="str">
        <f>TEXT(walmart[[#This Row],[Purchase_Date]],"MMM")</f>
        <v>Mar</v>
      </c>
      <c r="J1428" t="str">
        <f>TEXT(walmart[[#This Row],[Purchase_Date]],"YYY")</f>
        <v>2025</v>
      </c>
      <c r="K1428" s="3">
        <v>260.77999999999997</v>
      </c>
      <c r="L1428" t="str">
        <f t="shared" si="104"/>
        <v>5% off</v>
      </c>
      <c r="N1428" t="str">
        <f t="shared" si="105"/>
        <v>Yes</v>
      </c>
      <c r="O1428" t="s">
        <v>34</v>
      </c>
      <c r="P1428" s="3">
        <f t="shared" si="106"/>
        <v>260.77999999999997</v>
      </c>
      <c r="Q1428" t="s">
        <v>47</v>
      </c>
      <c r="R1428">
        <v>2</v>
      </c>
      <c r="S1428" t="str">
        <f t="shared" si="107"/>
        <v>Poor</v>
      </c>
    </row>
    <row r="1429" spans="1:19" x14ac:dyDescent="0.25">
      <c r="A1429" t="s">
        <v>1848</v>
      </c>
      <c r="B1429">
        <v>29</v>
      </c>
      <c r="C1429" t="s">
        <v>16</v>
      </c>
      <c r="D1429" t="s">
        <v>2504</v>
      </c>
      <c r="E1429" t="s">
        <v>31</v>
      </c>
      <c r="F1429" t="s">
        <v>112</v>
      </c>
      <c r="G1429" t="s">
        <v>183</v>
      </c>
      <c r="H1429" t="str">
        <f>TEXT(walmart[[#This Row],[Purchase_Date]],"DDD")</f>
        <v>Thu</v>
      </c>
      <c r="I1429" t="str">
        <f>TEXT(walmart[[#This Row],[Purchase_Date]],"MMM")</f>
        <v>May</v>
      </c>
      <c r="J1429" t="str">
        <f>TEXT(walmart[[#This Row],[Purchase_Date]],"YYY")</f>
        <v>2024</v>
      </c>
      <c r="K1429" s="3">
        <v>492.1</v>
      </c>
      <c r="L1429" t="str">
        <f t="shared" si="104"/>
        <v>5% off</v>
      </c>
      <c r="N1429" t="str">
        <f t="shared" si="105"/>
        <v>Yes</v>
      </c>
      <c r="O1429" t="s">
        <v>34</v>
      </c>
      <c r="P1429" s="3">
        <f t="shared" si="106"/>
        <v>492.1</v>
      </c>
      <c r="Q1429" t="s">
        <v>22</v>
      </c>
      <c r="R1429">
        <v>2</v>
      </c>
      <c r="S1429" t="str">
        <f t="shared" si="107"/>
        <v>Poor</v>
      </c>
    </row>
    <row r="1430" spans="1:19" x14ac:dyDescent="0.25">
      <c r="A1430" t="s">
        <v>1849</v>
      </c>
      <c r="B1430">
        <v>65</v>
      </c>
      <c r="C1430" t="s">
        <v>16</v>
      </c>
      <c r="D1430" t="s">
        <v>2505</v>
      </c>
      <c r="E1430" t="s">
        <v>55</v>
      </c>
      <c r="F1430" t="s">
        <v>100</v>
      </c>
      <c r="G1430" t="s">
        <v>361</v>
      </c>
      <c r="H1430" t="str">
        <f>TEXT(walmart[[#This Row],[Purchase_Date]],"DDD")</f>
        <v>Sat</v>
      </c>
      <c r="I1430" t="str">
        <f>TEXT(walmart[[#This Row],[Purchase_Date]],"MMM")</f>
        <v>Jul</v>
      </c>
      <c r="J1430" t="str">
        <f>TEXT(walmart[[#This Row],[Purchase_Date]],"YYY")</f>
        <v>2024</v>
      </c>
      <c r="K1430" s="3">
        <v>592.26</v>
      </c>
      <c r="L1430" t="str">
        <f t="shared" si="104"/>
        <v>10% off</v>
      </c>
      <c r="N1430" t="str">
        <f t="shared" si="105"/>
        <v>Yes</v>
      </c>
      <c r="O1430" t="s">
        <v>21</v>
      </c>
      <c r="P1430" s="3">
        <f t="shared" si="106"/>
        <v>592.26</v>
      </c>
      <c r="Q1430" t="s">
        <v>22</v>
      </c>
      <c r="R1430">
        <v>5</v>
      </c>
      <c r="S1430" t="str">
        <f t="shared" si="107"/>
        <v>Excellent</v>
      </c>
    </row>
    <row r="1431" spans="1:19" x14ac:dyDescent="0.25">
      <c r="A1431" t="s">
        <v>1850</v>
      </c>
      <c r="B1431">
        <v>31</v>
      </c>
      <c r="C1431" t="s">
        <v>16</v>
      </c>
      <c r="D1431" t="s">
        <v>2506</v>
      </c>
      <c r="E1431" t="s">
        <v>73</v>
      </c>
      <c r="F1431" t="s">
        <v>91</v>
      </c>
      <c r="G1431" t="s">
        <v>315</v>
      </c>
      <c r="H1431" t="str">
        <f>TEXT(walmart[[#This Row],[Purchase_Date]],"DDD")</f>
        <v>Mon</v>
      </c>
      <c r="I1431" t="str">
        <f>TEXT(walmart[[#This Row],[Purchase_Date]],"MMM")</f>
        <v>Apr</v>
      </c>
      <c r="J1431" t="str">
        <f>TEXT(walmart[[#This Row],[Purchase_Date]],"YYY")</f>
        <v>2024</v>
      </c>
      <c r="K1431" s="3">
        <v>418.55</v>
      </c>
      <c r="L1431" t="str">
        <f t="shared" si="104"/>
        <v>5% off</v>
      </c>
      <c r="N1431" t="str">
        <f t="shared" si="105"/>
        <v>Yes</v>
      </c>
      <c r="O1431" t="s">
        <v>21</v>
      </c>
      <c r="P1431" s="3">
        <f t="shared" si="106"/>
        <v>418.55</v>
      </c>
      <c r="Q1431" t="s">
        <v>35</v>
      </c>
      <c r="R1431">
        <v>3</v>
      </c>
      <c r="S1431" t="str">
        <f t="shared" si="107"/>
        <v>Average</v>
      </c>
    </row>
    <row r="1432" spans="1:19" x14ac:dyDescent="0.25">
      <c r="A1432" t="s">
        <v>1851</v>
      </c>
      <c r="B1432">
        <v>51</v>
      </c>
      <c r="C1432" t="s">
        <v>29</v>
      </c>
      <c r="D1432" t="s">
        <v>2507</v>
      </c>
      <c r="E1432" t="s">
        <v>37</v>
      </c>
      <c r="F1432" t="s">
        <v>82</v>
      </c>
      <c r="G1432" t="s">
        <v>550</v>
      </c>
      <c r="H1432" t="str">
        <f>TEXT(walmart[[#This Row],[Purchase_Date]],"DDD")</f>
        <v>Sun</v>
      </c>
      <c r="I1432" t="str">
        <f>TEXT(walmart[[#This Row],[Purchase_Date]],"MMM")</f>
        <v>May</v>
      </c>
      <c r="J1432" t="str">
        <f>TEXT(walmart[[#This Row],[Purchase_Date]],"YYY")</f>
        <v>2024</v>
      </c>
      <c r="K1432" s="3">
        <v>270.41000000000003</v>
      </c>
      <c r="L1432" t="str">
        <f t="shared" si="104"/>
        <v>5% off</v>
      </c>
      <c r="N1432" t="str">
        <f t="shared" si="105"/>
        <v>Yes</v>
      </c>
      <c r="O1432" t="s">
        <v>34</v>
      </c>
      <c r="P1432" s="3">
        <f t="shared" si="106"/>
        <v>270.41000000000003</v>
      </c>
      <c r="Q1432" t="s">
        <v>22</v>
      </c>
      <c r="R1432">
        <v>1</v>
      </c>
      <c r="S1432" t="str">
        <f t="shared" si="107"/>
        <v>Very Poor</v>
      </c>
    </row>
    <row r="1433" spans="1:19" x14ac:dyDescent="0.25">
      <c r="A1433" t="s">
        <v>1852</v>
      </c>
      <c r="B1433">
        <v>30</v>
      </c>
      <c r="C1433" t="s">
        <v>29</v>
      </c>
      <c r="D1433" t="s">
        <v>2508</v>
      </c>
      <c r="E1433" t="s">
        <v>73</v>
      </c>
      <c r="F1433" t="s">
        <v>91</v>
      </c>
      <c r="G1433" t="s">
        <v>498</v>
      </c>
      <c r="H1433" t="str">
        <f>TEXT(walmart[[#This Row],[Purchase_Date]],"DDD")</f>
        <v>Tue</v>
      </c>
      <c r="I1433" t="str">
        <f>TEXT(walmart[[#This Row],[Purchase_Date]],"MMM")</f>
        <v>Jan</v>
      </c>
      <c r="J1433" t="str">
        <f>TEXT(walmart[[#This Row],[Purchase_Date]],"YYY")</f>
        <v>2025</v>
      </c>
      <c r="K1433" s="3">
        <v>418.55</v>
      </c>
      <c r="L1433" t="str">
        <f t="shared" si="104"/>
        <v>5% off</v>
      </c>
      <c r="N1433" t="str">
        <f t="shared" si="105"/>
        <v>Yes</v>
      </c>
      <c r="O1433" t="s">
        <v>34</v>
      </c>
      <c r="P1433" s="3">
        <f t="shared" si="106"/>
        <v>418.55</v>
      </c>
      <c r="Q1433" t="s">
        <v>27</v>
      </c>
      <c r="R1433">
        <v>1</v>
      </c>
      <c r="S1433" t="str">
        <f t="shared" si="107"/>
        <v>Very Poor</v>
      </c>
    </row>
    <row r="1434" spans="1:19" x14ac:dyDescent="0.25">
      <c r="A1434" t="s">
        <v>1853</v>
      </c>
      <c r="B1434">
        <v>24</v>
      </c>
      <c r="C1434" t="s">
        <v>29</v>
      </c>
      <c r="D1434" t="s">
        <v>2509</v>
      </c>
      <c r="E1434" t="s">
        <v>73</v>
      </c>
      <c r="F1434" t="s">
        <v>94</v>
      </c>
      <c r="G1434" t="s">
        <v>248</v>
      </c>
      <c r="H1434" t="str">
        <f>TEXT(walmart[[#This Row],[Purchase_Date]],"DDD")</f>
        <v>Tue</v>
      </c>
      <c r="I1434" t="str">
        <f>TEXT(walmart[[#This Row],[Purchase_Date]],"MMM")</f>
        <v>Apr</v>
      </c>
      <c r="J1434" t="str">
        <f>TEXT(walmart[[#This Row],[Purchase_Date]],"YYY")</f>
        <v>2024</v>
      </c>
      <c r="K1434" s="3">
        <v>965.09</v>
      </c>
      <c r="L1434" t="str">
        <f t="shared" si="104"/>
        <v>20% off</v>
      </c>
      <c r="N1434" t="str">
        <f t="shared" si="105"/>
        <v>Yes</v>
      </c>
      <c r="O1434" t="s">
        <v>34</v>
      </c>
      <c r="P1434" s="3">
        <f t="shared" si="106"/>
        <v>965.09</v>
      </c>
      <c r="Q1434" t="s">
        <v>47</v>
      </c>
      <c r="R1434">
        <v>1</v>
      </c>
      <c r="S1434" t="str">
        <f t="shared" si="107"/>
        <v>Very Poor</v>
      </c>
    </row>
    <row r="1435" spans="1:19" x14ac:dyDescent="0.25">
      <c r="A1435" t="s">
        <v>1854</v>
      </c>
      <c r="B1435">
        <v>69</v>
      </c>
      <c r="C1435" t="s">
        <v>29</v>
      </c>
      <c r="D1435" t="s">
        <v>2510</v>
      </c>
      <c r="E1435" t="s">
        <v>18</v>
      </c>
      <c r="F1435" t="s">
        <v>59</v>
      </c>
      <c r="G1435" t="s">
        <v>323</v>
      </c>
      <c r="H1435" t="str">
        <f>TEXT(walmart[[#This Row],[Purchase_Date]],"DDD")</f>
        <v>Tue</v>
      </c>
      <c r="I1435" t="str">
        <f>TEXT(walmart[[#This Row],[Purchase_Date]],"MMM")</f>
        <v>Feb</v>
      </c>
      <c r="J1435" t="str">
        <f>TEXT(walmart[[#This Row],[Purchase_Date]],"YYY")</f>
        <v>2025</v>
      </c>
      <c r="K1435" s="3">
        <v>78.349999999999994</v>
      </c>
      <c r="L1435" t="str">
        <f t="shared" si="104"/>
        <v>0% off</v>
      </c>
      <c r="N1435" t="str">
        <f t="shared" si="105"/>
        <v>No</v>
      </c>
      <c r="O1435" t="s">
        <v>21</v>
      </c>
      <c r="P1435" s="3">
        <f t="shared" si="106"/>
        <v>78.349999999999994</v>
      </c>
      <c r="Q1435" t="s">
        <v>22</v>
      </c>
      <c r="R1435">
        <v>1</v>
      </c>
      <c r="S1435" t="str">
        <f t="shared" si="107"/>
        <v>Very Poor</v>
      </c>
    </row>
    <row r="1436" spans="1:19" x14ac:dyDescent="0.25">
      <c r="A1436" t="s">
        <v>1855</v>
      </c>
      <c r="B1436">
        <v>38</v>
      </c>
      <c r="C1436" t="s">
        <v>16</v>
      </c>
      <c r="D1436" t="s">
        <v>2511</v>
      </c>
      <c r="E1436" t="s">
        <v>24</v>
      </c>
      <c r="F1436" t="s">
        <v>25</v>
      </c>
      <c r="G1436" t="s">
        <v>995</v>
      </c>
      <c r="H1436" t="str">
        <f>TEXT(walmart[[#This Row],[Purchase_Date]],"DDD")</f>
        <v>Fri</v>
      </c>
      <c r="I1436" t="str">
        <f>TEXT(walmart[[#This Row],[Purchase_Date]],"MMM")</f>
        <v>Jul</v>
      </c>
      <c r="J1436" t="str">
        <f>TEXT(walmart[[#This Row],[Purchase_Date]],"YYY")</f>
        <v>2024</v>
      </c>
      <c r="K1436" s="3">
        <v>67.040000000000006</v>
      </c>
      <c r="L1436" t="str">
        <f t="shared" si="104"/>
        <v>0% off</v>
      </c>
      <c r="N1436" t="str">
        <f t="shared" si="105"/>
        <v>No</v>
      </c>
      <c r="O1436" t="s">
        <v>34</v>
      </c>
      <c r="P1436" s="3">
        <f t="shared" si="106"/>
        <v>67.040000000000006</v>
      </c>
      <c r="Q1436" t="s">
        <v>22</v>
      </c>
      <c r="R1436">
        <v>1</v>
      </c>
      <c r="S1436" t="str">
        <f t="shared" si="107"/>
        <v>Very Poor</v>
      </c>
    </row>
    <row r="1437" spans="1:19" x14ac:dyDescent="0.25">
      <c r="A1437" t="s">
        <v>1856</v>
      </c>
      <c r="B1437">
        <v>52</v>
      </c>
      <c r="C1437" t="s">
        <v>16</v>
      </c>
      <c r="D1437" t="s">
        <v>2512</v>
      </c>
      <c r="E1437" t="s">
        <v>37</v>
      </c>
      <c r="F1437" t="s">
        <v>117</v>
      </c>
      <c r="G1437" t="s">
        <v>708</v>
      </c>
      <c r="H1437" t="str">
        <f>TEXT(walmart[[#This Row],[Purchase_Date]],"DDD")</f>
        <v>Mon</v>
      </c>
      <c r="I1437" t="str">
        <f>TEXT(walmart[[#This Row],[Purchase_Date]],"MMM")</f>
        <v>Feb</v>
      </c>
      <c r="J1437" t="str">
        <f>TEXT(walmart[[#This Row],[Purchase_Date]],"YYY")</f>
        <v>2025</v>
      </c>
      <c r="K1437" s="3">
        <v>165.68</v>
      </c>
      <c r="L1437" t="str">
        <f t="shared" si="104"/>
        <v>5% off</v>
      </c>
      <c r="N1437" t="str">
        <f t="shared" si="105"/>
        <v>Yes</v>
      </c>
      <c r="O1437" t="s">
        <v>34</v>
      </c>
      <c r="P1437" s="3">
        <f t="shared" si="106"/>
        <v>165.68</v>
      </c>
      <c r="Q1437" t="s">
        <v>47</v>
      </c>
      <c r="R1437">
        <v>5</v>
      </c>
      <c r="S1437" t="str">
        <f t="shared" si="107"/>
        <v>Excellent</v>
      </c>
    </row>
    <row r="1438" spans="1:19" x14ac:dyDescent="0.25">
      <c r="A1438" t="s">
        <v>1857</v>
      </c>
      <c r="B1438">
        <v>69</v>
      </c>
      <c r="C1438" t="s">
        <v>16</v>
      </c>
      <c r="D1438" t="s">
        <v>2513</v>
      </c>
      <c r="E1438" t="s">
        <v>18</v>
      </c>
      <c r="F1438" t="s">
        <v>142</v>
      </c>
      <c r="G1438" t="s">
        <v>143</v>
      </c>
      <c r="H1438" t="str">
        <f>TEXT(walmart[[#This Row],[Purchase_Date]],"DDD")</f>
        <v>Thu</v>
      </c>
      <c r="I1438" t="str">
        <f>TEXT(walmart[[#This Row],[Purchase_Date]],"MMM")</f>
        <v>Dec</v>
      </c>
      <c r="J1438" t="str">
        <f>TEXT(walmart[[#This Row],[Purchase_Date]],"YYY")</f>
        <v>2024</v>
      </c>
      <c r="K1438" s="3">
        <v>485.26</v>
      </c>
      <c r="L1438" t="str">
        <f t="shared" si="104"/>
        <v>5% off</v>
      </c>
      <c r="N1438" t="str">
        <f t="shared" si="105"/>
        <v>Yes</v>
      </c>
      <c r="O1438" t="s">
        <v>34</v>
      </c>
      <c r="P1438" s="3">
        <f t="shared" si="106"/>
        <v>485.26</v>
      </c>
      <c r="Q1438" t="s">
        <v>22</v>
      </c>
      <c r="R1438">
        <v>2</v>
      </c>
      <c r="S1438" t="str">
        <f t="shared" si="107"/>
        <v>Poor</v>
      </c>
    </row>
    <row r="1439" spans="1:19" x14ac:dyDescent="0.25">
      <c r="A1439" t="s">
        <v>1858</v>
      </c>
      <c r="B1439">
        <v>46</v>
      </c>
      <c r="C1439" t="s">
        <v>29</v>
      </c>
      <c r="D1439" t="s">
        <v>2514</v>
      </c>
      <c r="E1439" t="s">
        <v>73</v>
      </c>
      <c r="F1439" t="s">
        <v>74</v>
      </c>
      <c r="G1439" t="s">
        <v>1432</v>
      </c>
      <c r="H1439" t="str">
        <f>TEXT(walmart[[#This Row],[Purchase_Date]],"DDD")</f>
        <v>Wed</v>
      </c>
      <c r="I1439" t="str">
        <f>TEXT(walmart[[#This Row],[Purchase_Date]],"MMM")</f>
        <v>Jan</v>
      </c>
      <c r="J1439" t="str">
        <f>TEXT(walmart[[#This Row],[Purchase_Date]],"YYY")</f>
        <v>2025</v>
      </c>
      <c r="K1439" s="3">
        <v>782.29</v>
      </c>
      <c r="L1439" t="str">
        <f t="shared" si="104"/>
        <v>15% off</v>
      </c>
      <c r="N1439" t="str">
        <f t="shared" si="105"/>
        <v>Yes</v>
      </c>
      <c r="O1439" t="s">
        <v>21</v>
      </c>
      <c r="P1439" s="3">
        <f t="shared" si="106"/>
        <v>782.29</v>
      </c>
      <c r="Q1439" t="s">
        <v>22</v>
      </c>
      <c r="R1439">
        <v>3</v>
      </c>
      <c r="S1439" t="str">
        <f t="shared" si="107"/>
        <v>Average</v>
      </c>
    </row>
    <row r="1440" spans="1:19" x14ac:dyDescent="0.25">
      <c r="A1440" t="s">
        <v>1859</v>
      </c>
      <c r="B1440">
        <v>26</v>
      </c>
      <c r="C1440" t="s">
        <v>29</v>
      </c>
      <c r="D1440" t="s">
        <v>2515</v>
      </c>
      <c r="E1440" t="s">
        <v>42</v>
      </c>
      <c r="F1440" t="s">
        <v>52</v>
      </c>
      <c r="G1440" t="s">
        <v>240</v>
      </c>
      <c r="H1440" t="str">
        <f>TEXT(walmart[[#This Row],[Purchase_Date]],"DDD")</f>
        <v>Mon</v>
      </c>
      <c r="I1440" t="str">
        <f>TEXT(walmart[[#This Row],[Purchase_Date]],"MMM")</f>
        <v>Apr</v>
      </c>
      <c r="J1440" t="str">
        <f>TEXT(walmart[[#This Row],[Purchase_Date]],"YYY")</f>
        <v>2024</v>
      </c>
      <c r="K1440" s="3">
        <v>988.77</v>
      </c>
      <c r="L1440" t="str">
        <f t="shared" si="104"/>
        <v>20% off</v>
      </c>
      <c r="N1440" t="str">
        <f t="shared" si="105"/>
        <v>Yes</v>
      </c>
      <c r="O1440" t="s">
        <v>21</v>
      </c>
      <c r="P1440" s="3">
        <f t="shared" si="106"/>
        <v>988.77</v>
      </c>
      <c r="Q1440" t="s">
        <v>35</v>
      </c>
      <c r="R1440">
        <v>3</v>
      </c>
      <c r="S1440" t="str">
        <f t="shared" si="107"/>
        <v>Average</v>
      </c>
    </row>
    <row r="1441" spans="1:19" x14ac:dyDescent="0.25">
      <c r="A1441" t="s">
        <v>1860</v>
      </c>
      <c r="B1441">
        <v>54</v>
      </c>
      <c r="C1441" t="s">
        <v>16</v>
      </c>
      <c r="D1441" t="s">
        <v>2516</v>
      </c>
      <c r="E1441" t="s">
        <v>18</v>
      </c>
      <c r="F1441" t="s">
        <v>142</v>
      </c>
      <c r="G1441" t="s">
        <v>722</v>
      </c>
      <c r="H1441" t="str">
        <f>TEXT(walmart[[#This Row],[Purchase_Date]],"DDD")</f>
        <v>Mon</v>
      </c>
      <c r="I1441" t="str">
        <f>TEXT(walmart[[#This Row],[Purchase_Date]],"MMM")</f>
        <v>Sep</v>
      </c>
      <c r="J1441" t="str">
        <f>TEXT(walmart[[#This Row],[Purchase_Date]],"YYY")</f>
        <v>2024</v>
      </c>
      <c r="K1441" s="3">
        <v>485.26</v>
      </c>
      <c r="L1441" t="str">
        <f t="shared" si="104"/>
        <v>5% off</v>
      </c>
      <c r="N1441" t="str">
        <f t="shared" si="105"/>
        <v>Yes</v>
      </c>
      <c r="O1441" t="s">
        <v>21</v>
      </c>
      <c r="P1441" s="3">
        <f t="shared" si="106"/>
        <v>485.26</v>
      </c>
      <c r="Q1441" t="s">
        <v>35</v>
      </c>
      <c r="R1441">
        <v>1</v>
      </c>
      <c r="S1441" t="str">
        <f t="shared" si="107"/>
        <v>Very Poor</v>
      </c>
    </row>
    <row r="1442" spans="1:19" x14ac:dyDescent="0.25">
      <c r="A1442" t="s">
        <v>1861</v>
      </c>
      <c r="B1442">
        <v>39</v>
      </c>
      <c r="C1442" t="s">
        <v>16</v>
      </c>
      <c r="D1442" t="s">
        <v>2517</v>
      </c>
      <c r="E1442" t="s">
        <v>31</v>
      </c>
      <c r="F1442" t="s">
        <v>300</v>
      </c>
      <c r="G1442" t="s">
        <v>126</v>
      </c>
      <c r="H1442" t="str">
        <f>TEXT(walmart[[#This Row],[Purchase_Date]],"DDD")</f>
        <v>Sat</v>
      </c>
      <c r="I1442" t="str">
        <f>TEXT(walmart[[#This Row],[Purchase_Date]],"MMM")</f>
        <v>Oct</v>
      </c>
      <c r="J1442" t="str">
        <f>TEXT(walmart[[#This Row],[Purchase_Date]],"YYY")</f>
        <v>2024</v>
      </c>
      <c r="K1442" s="3">
        <v>340.04</v>
      </c>
      <c r="L1442" t="str">
        <f t="shared" si="104"/>
        <v>5% off</v>
      </c>
      <c r="N1442" t="str">
        <f t="shared" si="105"/>
        <v>Yes</v>
      </c>
      <c r="O1442" t="s">
        <v>34</v>
      </c>
      <c r="P1442" s="3">
        <f t="shared" si="106"/>
        <v>340.04</v>
      </c>
      <c r="Q1442" t="s">
        <v>22</v>
      </c>
      <c r="R1442">
        <v>5</v>
      </c>
      <c r="S1442" t="str">
        <f t="shared" si="107"/>
        <v>Excellent</v>
      </c>
    </row>
    <row r="1443" spans="1:19" x14ac:dyDescent="0.25">
      <c r="A1443" t="s">
        <v>1862</v>
      </c>
      <c r="B1443">
        <v>33</v>
      </c>
      <c r="C1443" t="s">
        <v>16</v>
      </c>
      <c r="D1443" t="s">
        <v>2518</v>
      </c>
      <c r="E1443" t="s">
        <v>24</v>
      </c>
      <c r="F1443" t="s">
        <v>186</v>
      </c>
      <c r="G1443" t="s">
        <v>486</v>
      </c>
      <c r="H1443" t="str">
        <f>TEXT(walmart[[#This Row],[Purchase_Date]],"DDD")</f>
        <v>Wed</v>
      </c>
      <c r="I1443" t="str">
        <f>TEXT(walmart[[#This Row],[Purchase_Date]],"MMM")</f>
        <v>Mar</v>
      </c>
      <c r="J1443" t="str">
        <f>TEXT(walmart[[#This Row],[Purchase_Date]],"YYY")</f>
        <v>2025</v>
      </c>
      <c r="K1443" s="3">
        <v>527.16999999999996</v>
      </c>
      <c r="L1443" t="str">
        <f t="shared" si="104"/>
        <v>10% off</v>
      </c>
      <c r="N1443" t="str">
        <f t="shared" si="105"/>
        <v>Yes</v>
      </c>
      <c r="O1443" t="s">
        <v>21</v>
      </c>
      <c r="P1443" s="3">
        <f t="shared" si="106"/>
        <v>527.16999999999996</v>
      </c>
      <c r="Q1443" t="s">
        <v>22</v>
      </c>
      <c r="R1443">
        <v>1</v>
      </c>
      <c r="S1443" t="str">
        <f t="shared" si="107"/>
        <v>Very Poor</v>
      </c>
    </row>
    <row r="1444" spans="1:19" x14ac:dyDescent="0.25">
      <c r="A1444" t="s">
        <v>1863</v>
      </c>
      <c r="B1444">
        <v>46</v>
      </c>
      <c r="C1444" t="s">
        <v>29</v>
      </c>
      <c r="D1444" t="s">
        <v>2519</v>
      </c>
      <c r="E1444" t="s">
        <v>24</v>
      </c>
      <c r="F1444" t="s">
        <v>209</v>
      </c>
      <c r="G1444" t="s">
        <v>534</v>
      </c>
      <c r="H1444" t="str">
        <f>TEXT(walmart[[#This Row],[Purchase_Date]],"DDD")</f>
        <v>Tue</v>
      </c>
      <c r="I1444" t="str">
        <f>TEXT(walmart[[#This Row],[Purchase_Date]],"MMM")</f>
        <v>Feb</v>
      </c>
      <c r="J1444" t="str">
        <f>TEXT(walmart[[#This Row],[Purchase_Date]],"YYY")</f>
        <v>2025</v>
      </c>
      <c r="K1444" s="3">
        <v>775.75</v>
      </c>
      <c r="L1444" t="str">
        <f t="shared" si="104"/>
        <v>15% off</v>
      </c>
      <c r="N1444" t="str">
        <f t="shared" si="105"/>
        <v>Yes</v>
      </c>
      <c r="O1444" t="s">
        <v>21</v>
      </c>
      <c r="P1444" s="3">
        <f t="shared" si="106"/>
        <v>775.75</v>
      </c>
      <c r="Q1444" t="s">
        <v>27</v>
      </c>
      <c r="R1444">
        <v>3</v>
      </c>
      <c r="S1444" t="str">
        <f t="shared" si="107"/>
        <v>Average</v>
      </c>
    </row>
    <row r="1445" spans="1:19" x14ac:dyDescent="0.25">
      <c r="A1445" t="s">
        <v>1864</v>
      </c>
      <c r="B1445">
        <v>64</v>
      </c>
      <c r="C1445" t="s">
        <v>16</v>
      </c>
      <c r="D1445" t="s">
        <v>2520</v>
      </c>
      <c r="E1445" t="s">
        <v>73</v>
      </c>
      <c r="F1445" t="s">
        <v>74</v>
      </c>
      <c r="G1445" t="s">
        <v>380</v>
      </c>
      <c r="H1445" t="str">
        <f>TEXT(walmart[[#This Row],[Purchase_Date]],"DDD")</f>
        <v>Sun</v>
      </c>
      <c r="I1445" t="str">
        <f>TEXT(walmart[[#This Row],[Purchase_Date]],"MMM")</f>
        <v>Jun</v>
      </c>
      <c r="J1445" t="str">
        <f>TEXT(walmart[[#This Row],[Purchase_Date]],"YYY")</f>
        <v>2024</v>
      </c>
      <c r="K1445" s="3">
        <v>782.29</v>
      </c>
      <c r="L1445" t="str">
        <f t="shared" si="104"/>
        <v>15% off</v>
      </c>
      <c r="N1445" t="str">
        <f t="shared" si="105"/>
        <v>Yes</v>
      </c>
      <c r="O1445" t="s">
        <v>21</v>
      </c>
      <c r="P1445" s="3">
        <f t="shared" si="106"/>
        <v>782.29</v>
      </c>
      <c r="Q1445" t="s">
        <v>22</v>
      </c>
      <c r="R1445">
        <v>2</v>
      </c>
      <c r="S1445" t="str">
        <f t="shared" si="107"/>
        <v>Poor</v>
      </c>
    </row>
    <row r="1446" spans="1:19" x14ac:dyDescent="0.25">
      <c r="A1446" t="s">
        <v>1865</v>
      </c>
      <c r="B1446">
        <v>51</v>
      </c>
      <c r="C1446" t="s">
        <v>29</v>
      </c>
      <c r="D1446" t="s">
        <v>2521</v>
      </c>
      <c r="E1446" t="s">
        <v>18</v>
      </c>
      <c r="F1446" t="s">
        <v>19</v>
      </c>
      <c r="G1446" t="s">
        <v>57</v>
      </c>
      <c r="H1446" t="str">
        <f>TEXT(walmart[[#This Row],[Purchase_Date]],"DDD")</f>
        <v>Wed</v>
      </c>
      <c r="I1446" t="str">
        <f>TEXT(walmart[[#This Row],[Purchase_Date]],"MMM")</f>
        <v>May</v>
      </c>
      <c r="J1446" t="str">
        <f>TEXT(walmart[[#This Row],[Purchase_Date]],"YYY")</f>
        <v>2024</v>
      </c>
      <c r="K1446" s="3">
        <v>697.86</v>
      </c>
      <c r="L1446" t="str">
        <f t="shared" si="104"/>
        <v>10% off</v>
      </c>
      <c r="N1446" t="str">
        <f t="shared" si="105"/>
        <v>Yes</v>
      </c>
      <c r="O1446" t="s">
        <v>34</v>
      </c>
      <c r="P1446" s="3">
        <f t="shared" si="106"/>
        <v>697.86</v>
      </c>
      <c r="Q1446" t="s">
        <v>27</v>
      </c>
      <c r="R1446">
        <v>5</v>
      </c>
      <c r="S1446" t="str">
        <f t="shared" si="107"/>
        <v>Excellent</v>
      </c>
    </row>
    <row r="1447" spans="1:19" x14ac:dyDescent="0.25">
      <c r="A1447" t="s">
        <v>1866</v>
      </c>
      <c r="B1447">
        <v>56</v>
      </c>
      <c r="C1447" t="s">
        <v>16</v>
      </c>
      <c r="D1447" t="s">
        <v>2522</v>
      </c>
      <c r="E1447" t="s">
        <v>24</v>
      </c>
      <c r="F1447" t="s">
        <v>186</v>
      </c>
      <c r="G1447" t="s">
        <v>179</v>
      </c>
      <c r="H1447" t="str">
        <f>TEXT(walmart[[#This Row],[Purchase_Date]],"DDD")</f>
        <v>Sat</v>
      </c>
      <c r="I1447" t="str">
        <f>TEXT(walmart[[#This Row],[Purchase_Date]],"MMM")</f>
        <v>Jun</v>
      </c>
      <c r="J1447" t="str">
        <f>TEXT(walmart[[#This Row],[Purchase_Date]],"YYY")</f>
        <v>2024</v>
      </c>
      <c r="K1447" s="3">
        <v>527.16999999999996</v>
      </c>
      <c r="L1447" t="str">
        <f t="shared" si="104"/>
        <v>10% off</v>
      </c>
      <c r="N1447" t="str">
        <f t="shared" si="105"/>
        <v>Yes</v>
      </c>
      <c r="O1447" t="s">
        <v>21</v>
      </c>
      <c r="P1447" s="3">
        <f t="shared" si="106"/>
        <v>527.16999999999996</v>
      </c>
      <c r="Q1447" t="s">
        <v>27</v>
      </c>
      <c r="R1447">
        <v>4</v>
      </c>
      <c r="S1447" t="str">
        <f t="shared" si="107"/>
        <v>Good</v>
      </c>
    </row>
    <row r="1448" spans="1:19" x14ac:dyDescent="0.25">
      <c r="A1448" t="s">
        <v>1867</v>
      </c>
      <c r="B1448">
        <v>22</v>
      </c>
      <c r="C1448" t="s">
        <v>16</v>
      </c>
      <c r="D1448" t="s">
        <v>2485</v>
      </c>
      <c r="E1448" t="s">
        <v>24</v>
      </c>
      <c r="F1448" t="s">
        <v>186</v>
      </c>
      <c r="G1448" t="s">
        <v>71</v>
      </c>
      <c r="H1448" t="str">
        <f>TEXT(walmart[[#This Row],[Purchase_Date]],"DDD")</f>
        <v>Wed</v>
      </c>
      <c r="I1448" t="str">
        <f>TEXT(walmart[[#This Row],[Purchase_Date]],"MMM")</f>
        <v>Jul</v>
      </c>
      <c r="J1448" t="str">
        <f>TEXT(walmart[[#This Row],[Purchase_Date]],"YYY")</f>
        <v>2024</v>
      </c>
      <c r="K1448" s="3">
        <v>527.16999999999996</v>
      </c>
      <c r="L1448" t="str">
        <f t="shared" si="104"/>
        <v>10% off</v>
      </c>
      <c r="N1448" t="str">
        <f t="shared" si="105"/>
        <v>Yes</v>
      </c>
      <c r="O1448" t="s">
        <v>34</v>
      </c>
      <c r="P1448" s="3">
        <f t="shared" si="106"/>
        <v>527.16999999999996</v>
      </c>
      <c r="Q1448" t="s">
        <v>22</v>
      </c>
      <c r="R1448">
        <v>2</v>
      </c>
      <c r="S1448" t="str">
        <f t="shared" si="107"/>
        <v>Poor</v>
      </c>
    </row>
    <row r="1449" spans="1:19" x14ac:dyDescent="0.25">
      <c r="A1449" t="s">
        <v>1868</v>
      </c>
      <c r="B1449">
        <v>49</v>
      </c>
      <c r="C1449" t="s">
        <v>16</v>
      </c>
      <c r="D1449" t="s">
        <v>2523</v>
      </c>
      <c r="E1449" t="s">
        <v>55</v>
      </c>
      <c r="F1449" t="s">
        <v>100</v>
      </c>
      <c r="G1449" t="s">
        <v>1109</v>
      </c>
      <c r="H1449" t="str">
        <f>TEXT(walmart[[#This Row],[Purchase_Date]],"DDD")</f>
        <v>Tue</v>
      </c>
      <c r="I1449" t="str">
        <f>TEXT(walmart[[#This Row],[Purchase_Date]],"MMM")</f>
        <v>Dec</v>
      </c>
      <c r="J1449" t="str">
        <f>TEXT(walmart[[#This Row],[Purchase_Date]],"YYY")</f>
        <v>2024</v>
      </c>
      <c r="K1449" s="3">
        <v>592.26</v>
      </c>
      <c r="L1449" t="str">
        <f t="shared" si="104"/>
        <v>10% off</v>
      </c>
      <c r="N1449" t="str">
        <f t="shared" si="105"/>
        <v>Yes</v>
      </c>
      <c r="O1449" t="s">
        <v>34</v>
      </c>
      <c r="P1449" s="3">
        <f t="shared" si="106"/>
        <v>592.26</v>
      </c>
      <c r="Q1449" t="s">
        <v>22</v>
      </c>
      <c r="R1449">
        <v>4</v>
      </c>
      <c r="S1449" t="str">
        <f t="shared" si="107"/>
        <v>Good</v>
      </c>
    </row>
    <row r="1450" spans="1:19" x14ac:dyDescent="0.25">
      <c r="A1450" t="s">
        <v>1869</v>
      </c>
      <c r="B1450">
        <v>54</v>
      </c>
      <c r="C1450" t="s">
        <v>16</v>
      </c>
      <c r="D1450" t="s">
        <v>2518</v>
      </c>
      <c r="E1450" t="s">
        <v>42</v>
      </c>
      <c r="F1450" t="s">
        <v>120</v>
      </c>
      <c r="G1450" t="s">
        <v>179</v>
      </c>
      <c r="H1450" t="str">
        <f>TEXT(walmart[[#This Row],[Purchase_Date]],"DDD")</f>
        <v>Sat</v>
      </c>
      <c r="I1450" t="str">
        <f>TEXT(walmart[[#This Row],[Purchase_Date]],"MMM")</f>
        <v>Jun</v>
      </c>
      <c r="J1450" t="str">
        <f>TEXT(walmart[[#This Row],[Purchase_Date]],"YYY")</f>
        <v>2024</v>
      </c>
      <c r="K1450" s="3">
        <v>260.77999999999997</v>
      </c>
      <c r="L1450" t="str">
        <f t="shared" si="104"/>
        <v>5% off</v>
      </c>
      <c r="N1450" t="str">
        <f t="shared" si="105"/>
        <v>Yes</v>
      </c>
      <c r="O1450" t="s">
        <v>34</v>
      </c>
      <c r="P1450" s="3">
        <f t="shared" si="106"/>
        <v>260.77999999999997</v>
      </c>
      <c r="Q1450" t="s">
        <v>27</v>
      </c>
      <c r="R1450">
        <v>4</v>
      </c>
      <c r="S1450" t="str">
        <f t="shared" si="107"/>
        <v>Good</v>
      </c>
    </row>
    <row r="1451" spans="1:19" x14ac:dyDescent="0.25">
      <c r="A1451" t="s">
        <v>1870</v>
      </c>
      <c r="B1451">
        <v>55</v>
      </c>
      <c r="C1451" t="s">
        <v>29</v>
      </c>
      <c r="D1451" t="s">
        <v>2524</v>
      </c>
      <c r="E1451" t="s">
        <v>31</v>
      </c>
      <c r="F1451" t="s">
        <v>112</v>
      </c>
      <c r="G1451" t="s">
        <v>163</v>
      </c>
      <c r="H1451" t="str">
        <f>TEXT(walmart[[#This Row],[Purchase_Date]],"DDD")</f>
        <v>Fri</v>
      </c>
      <c r="I1451" t="str">
        <f>TEXT(walmart[[#This Row],[Purchase_Date]],"MMM")</f>
        <v>Nov</v>
      </c>
      <c r="J1451" t="str">
        <f>TEXT(walmart[[#This Row],[Purchase_Date]],"YYY")</f>
        <v>2024</v>
      </c>
      <c r="K1451" s="3">
        <v>492.1</v>
      </c>
      <c r="L1451" t="str">
        <f t="shared" si="104"/>
        <v>5% off</v>
      </c>
      <c r="N1451" t="str">
        <f t="shared" si="105"/>
        <v>Yes</v>
      </c>
      <c r="O1451" t="s">
        <v>34</v>
      </c>
      <c r="P1451" s="3">
        <f t="shared" si="106"/>
        <v>492.1</v>
      </c>
      <c r="Q1451" t="s">
        <v>47</v>
      </c>
      <c r="R1451">
        <v>5</v>
      </c>
      <c r="S1451" t="str">
        <f t="shared" si="107"/>
        <v>Excellent</v>
      </c>
    </row>
    <row r="1452" spans="1:19" x14ac:dyDescent="0.25">
      <c r="A1452" t="s">
        <v>1871</v>
      </c>
      <c r="B1452">
        <v>49</v>
      </c>
      <c r="C1452" t="s">
        <v>29</v>
      </c>
      <c r="D1452" t="s">
        <v>2525</v>
      </c>
      <c r="E1452" t="s">
        <v>18</v>
      </c>
      <c r="F1452" t="s">
        <v>19</v>
      </c>
      <c r="G1452" t="s">
        <v>555</v>
      </c>
      <c r="H1452" t="str">
        <f>TEXT(walmart[[#This Row],[Purchase_Date]],"DDD")</f>
        <v>Mon</v>
      </c>
      <c r="I1452" t="str">
        <f>TEXT(walmart[[#This Row],[Purchase_Date]],"MMM")</f>
        <v>Sep</v>
      </c>
      <c r="J1452" t="str">
        <f>TEXT(walmart[[#This Row],[Purchase_Date]],"YYY")</f>
        <v>2024</v>
      </c>
      <c r="K1452" s="3">
        <v>697.86</v>
      </c>
      <c r="L1452" t="str">
        <f t="shared" si="104"/>
        <v>10% off</v>
      </c>
      <c r="N1452" t="str">
        <f t="shared" si="105"/>
        <v>Yes</v>
      </c>
      <c r="O1452" t="s">
        <v>21</v>
      </c>
      <c r="P1452" s="3">
        <f t="shared" si="106"/>
        <v>697.86</v>
      </c>
      <c r="Q1452" t="s">
        <v>27</v>
      </c>
      <c r="R1452">
        <v>4</v>
      </c>
      <c r="S1452" t="str">
        <f t="shared" si="107"/>
        <v>Good</v>
      </c>
    </row>
    <row r="1453" spans="1:19" x14ac:dyDescent="0.25">
      <c r="A1453" t="s">
        <v>1872</v>
      </c>
      <c r="B1453">
        <v>27</v>
      </c>
      <c r="C1453" t="s">
        <v>16</v>
      </c>
      <c r="D1453" t="s">
        <v>2487</v>
      </c>
      <c r="E1453" t="s">
        <v>73</v>
      </c>
      <c r="F1453" t="s">
        <v>74</v>
      </c>
      <c r="G1453" t="s">
        <v>187</v>
      </c>
      <c r="H1453" t="str">
        <f>TEXT(walmart[[#This Row],[Purchase_Date]],"DDD")</f>
        <v>Sat</v>
      </c>
      <c r="I1453" t="str">
        <f>TEXT(walmart[[#This Row],[Purchase_Date]],"MMM")</f>
        <v>Dec</v>
      </c>
      <c r="J1453" t="str">
        <f>TEXT(walmart[[#This Row],[Purchase_Date]],"YYY")</f>
        <v>2024</v>
      </c>
      <c r="K1453" s="3">
        <v>782.29</v>
      </c>
      <c r="L1453" t="str">
        <f t="shared" si="104"/>
        <v>15% off</v>
      </c>
      <c r="N1453" t="str">
        <f t="shared" si="105"/>
        <v>Yes</v>
      </c>
      <c r="O1453" t="s">
        <v>34</v>
      </c>
      <c r="P1453" s="3">
        <f t="shared" si="106"/>
        <v>782.29</v>
      </c>
      <c r="Q1453" t="s">
        <v>27</v>
      </c>
      <c r="R1453">
        <v>3</v>
      </c>
      <c r="S1453" t="str">
        <f t="shared" si="107"/>
        <v>Average</v>
      </c>
    </row>
    <row r="1454" spans="1:19" x14ac:dyDescent="0.25">
      <c r="A1454" t="s">
        <v>1873</v>
      </c>
      <c r="B1454">
        <v>35</v>
      </c>
      <c r="C1454" t="s">
        <v>29</v>
      </c>
      <c r="D1454" t="s">
        <v>2519</v>
      </c>
      <c r="E1454" t="s">
        <v>37</v>
      </c>
      <c r="F1454" t="s">
        <v>97</v>
      </c>
      <c r="G1454" t="s">
        <v>344</v>
      </c>
      <c r="H1454" t="str">
        <f>TEXT(walmart[[#This Row],[Purchase_Date]],"DDD")</f>
        <v>Fri</v>
      </c>
      <c r="I1454" t="str">
        <f>TEXT(walmart[[#This Row],[Purchase_Date]],"MMM")</f>
        <v>Oct</v>
      </c>
      <c r="J1454" t="str">
        <f>TEXT(walmart[[#This Row],[Purchase_Date]],"YYY")</f>
        <v>2024</v>
      </c>
      <c r="K1454" s="3">
        <v>855.21</v>
      </c>
      <c r="L1454" t="str">
        <f t="shared" si="104"/>
        <v>15% off</v>
      </c>
      <c r="N1454" t="str">
        <f t="shared" si="105"/>
        <v>Yes</v>
      </c>
      <c r="O1454" t="s">
        <v>21</v>
      </c>
      <c r="P1454" s="3">
        <f t="shared" si="106"/>
        <v>855.21</v>
      </c>
      <c r="Q1454" t="s">
        <v>22</v>
      </c>
      <c r="R1454">
        <v>2</v>
      </c>
      <c r="S1454" t="str">
        <f t="shared" si="107"/>
        <v>Poor</v>
      </c>
    </row>
    <row r="1455" spans="1:19" x14ac:dyDescent="0.25">
      <c r="A1455" t="s">
        <v>1874</v>
      </c>
      <c r="B1455">
        <v>38</v>
      </c>
      <c r="C1455" t="s">
        <v>29</v>
      </c>
      <c r="D1455" t="s">
        <v>2520</v>
      </c>
      <c r="E1455" t="s">
        <v>24</v>
      </c>
      <c r="F1455" t="s">
        <v>162</v>
      </c>
      <c r="G1455" t="s">
        <v>983</v>
      </c>
      <c r="H1455" t="str">
        <f>TEXT(walmart[[#This Row],[Purchase_Date]],"DDD")</f>
        <v>Wed</v>
      </c>
      <c r="I1455" t="str">
        <f>TEXT(walmart[[#This Row],[Purchase_Date]],"MMM")</f>
        <v>Jan</v>
      </c>
      <c r="J1455" t="str">
        <f>TEXT(walmart[[#This Row],[Purchase_Date]],"YYY")</f>
        <v>2025</v>
      </c>
      <c r="K1455" s="3">
        <v>362.55</v>
      </c>
      <c r="L1455" t="str">
        <f t="shared" si="104"/>
        <v>5% off</v>
      </c>
      <c r="N1455" t="str">
        <f t="shared" si="105"/>
        <v>Yes</v>
      </c>
      <c r="O1455" t="s">
        <v>34</v>
      </c>
      <c r="P1455" s="3">
        <f t="shared" si="106"/>
        <v>362.55</v>
      </c>
      <c r="Q1455" t="s">
        <v>47</v>
      </c>
      <c r="R1455">
        <v>5</v>
      </c>
      <c r="S1455" t="str">
        <f t="shared" si="107"/>
        <v>Excellent</v>
      </c>
    </row>
    <row r="1456" spans="1:19" x14ac:dyDescent="0.25">
      <c r="A1456" t="s">
        <v>1875</v>
      </c>
      <c r="B1456">
        <v>59</v>
      </c>
      <c r="C1456" t="s">
        <v>16</v>
      </c>
      <c r="D1456" t="s">
        <v>2526</v>
      </c>
      <c r="E1456" t="s">
        <v>31</v>
      </c>
      <c r="F1456" t="s">
        <v>169</v>
      </c>
      <c r="G1456" t="s">
        <v>950</v>
      </c>
      <c r="H1456" t="str">
        <f>TEXT(walmart[[#This Row],[Purchase_Date]],"DDD")</f>
        <v>Tue</v>
      </c>
      <c r="I1456" t="str">
        <f>TEXT(walmart[[#This Row],[Purchase_Date]],"MMM")</f>
        <v>May</v>
      </c>
      <c r="J1456" t="str">
        <f>TEXT(walmart[[#This Row],[Purchase_Date]],"YYY")</f>
        <v>2024</v>
      </c>
      <c r="K1456" s="3">
        <v>52.44</v>
      </c>
      <c r="L1456" t="str">
        <f t="shared" si="104"/>
        <v>0% off</v>
      </c>
      <c r="N1456" t="str">
        <f t="shared" si="105"/>
        <v>No</v>
      </c>
      <c r="O1456" t="s">
        <v>34</v>
      </c>
      <c r="P1456" s="3">
        <f t="shared" si="106"/>
        <v>52.44</v>
      </c>
      <c r="Q1456" t="s">
        <v>27</v>
      </c>
      <c r="R1456">
        <v>5</v>
      </c>
      <c r="S1456" t="str">
        <f t="shared" si="107"/>
        <v>Excellent</v>
      </c>
    </row>
    <row r="1457" spans="1:19" x14ac:dyDescent="0.25">
      <c r="A1457" t="s">
        <v>1876</v>
      </c>
      <c r="B1457">
        <v>25</v>
      </c>
      <c r="C1457" t="s">
        <v>29</v>
      </c>
      <c r="D1457" t="s">
        <v>2527</v>
      </c>
      <c r="E1457" t="s">
        <v>73</v>
      </c>
      <c r="F1457" t="s">
        <v>138</v>
      </c>
      <c r="G1457" t="s">
        <v>1545</v>
      </c>
      <c r="H1457" t="str">
        <f>TEXT(walmart[[#This Row],[Purchase_Date]],"DDD")</f>
        <v>Sat</v>
      </c>
      <c r="I1457" t="str">
        <f>TEXT(walmart[[#This Row],[Purchase_Date]],"MMM")</f>
        <v>Feb</v>
      </c>
      <c r="J1457" t="str">
        <f>TEXT(walmart[[#This Row],[Purchase_Date]],"YYY")</f>
        <v>2025</v>
      </c>
      <c r="K1457" s="3">
        <v>461.81</v>
      </c>
      <c r="L1457" t="str">
        <f t="shared" si="104"/>
        <v>5% off</v>
      </c>
      <c r="N1457" t="str">
        <f t="shared" si="105"/>
        <v>Yes</v>
      </c>
      <c r="O1457" t="s">
        <v>34</v>
      </c>
      <c r="P1457" s="3">
        <f t="shared" si="106"/>
        <v>461.81</v>
      </c>
      <c r="Q1457" t="s">
        <v>27</v>
      </c>
      <c r="R1457">
        <v>1</v>
      </c>
      <c r="S1457" t="str">
        <f t="shared" si="107"/>
        <v>Very Poor</v>
      </c>
    </row>
    <row r="1458" spans="1:19" x14ac:dyDescent="0.25">
      <c r="A1458" t="s">
        <v>1877</v>
      </c>
      <c r="B1458">
        <v>64</v>
      </c>
      <c r="C1458" t="s">
        <v>16</v>
      </c>
      <c r="D1458" t="s">
        <v>2528</v>
      </c>
      <c r="E1458" t="s">
        <v>18</v>
      </c>
      <c r="F1458" t="s">
        <v>59</v>
      </c>
      <c r="G1458" t="s">
        <v>875</v>
      </c>
      <c r="H1458" t="str">
        <f>TEXT(walmart[[#This Row],[Purchase_Date]],"DDD")</f>
        <v>Fri</v>
      </c>
      <c r="I1458" t="str">
        <f>TEXT(walmart[[#This Row],[Purchase_Date]],"MMM")</f>
        <v>Jul</v>
      </c>
      <c r="J1458" t="str">
        <f>TEXT(walmart[[#This Row],[Purchase_Date]],"YYY")</f>
        <v>2024</v>
      </c>
      <c r="K1458" s="3">
        <v>78.349999999999994</v>
      </c>
      <c r="L1458" t="str">
        <f t="shared" si="104"/>
        <v>0% off</v>
      </c>
      <c r="N1458" t="str">
        <f t="shared" si="105"/>
        <v>No</v>
      </c>
      <c r="O1458" t="s">
        <v>34</v>
      </c>
      <c r="P1458" s="3">
        <f t="shared" si="106"/>
        <v>78.349999999999994</v>
      </c>
      <c r="Q1458" t="s">
        <v>27</v>
      </c>
      <c r="R1458">
        <v>3</v>
      </c>
      <c r="S1458" t="str">
        <f t="shared" si="107"/>
        <v>Average</v>
      </c>
    </row>
    <row r="1459" spans="1:19" x14ac:dyDescent="0.25">
      <c r="A1459" t="s">
        <v>1878</v>
      </c>
      <c r="B1459">
        <v>18</v>
      </c>
      <c r="C1459" t="s">
        <v>16</v>
      </c>
      <c r="D1459" t="s">
        <v>2529</v>
      </c>
      <c r="E1459" t="s">
        <v>31</v>
      </c>
      <c r="F1459" t="s">
        <v>112</v>
      </c>
      <c r="G1459" t="s">
        <v>266</v>
      </c>
      <c r="H1459" t="str">
        <f>TEXT(walmart[[#This Row],[Purchase_Date]],"DDD")</f>
        <v>Fri</v>
      </c>
      <c r="I1459" t="str">
        <f>TEXT(walmart[[#This Row],[Purchase_Date]],"MMM")</f>
        <v>Feb</v>
      </c>
      <c r="J1459" t="str">
        <f>TEXT(walmart[[#This Row],[Purchase_Date]],"YYY")</f>
        <v>2025</v>
      </c>
      <c r="K1459" s="3">
        <v>492.1</v>
      </c>
      <c r="L1459" t="str">
        <f t="shared" si="104"/>
        <v>5% off</v>
      </c>
      <c r="N1459" t="str">
        <f t="shared" si="105"/>
        <v>Yes</v>
      </c>
      <c r="O1459" t="s">
        <v>21</v>
      </c>
      <c r="P1459" s="3">
        <f t="shared" si="106"/>
        <v>492.1</v>
      </c>
      <c r="Q1459" t="s">
        <v>35</v>
      </c>
      <c r="R1459">
        <v>5</v>
      </c>
      <c r="S1459" t="str">
        <f t="shared" si="107"/>
        <v>Excellent</v>
      </c>
    </row>
    <row r="1460" spans="1:19" x14ac:dyDescent="0.25">
      <c r="A1460" t="s">
        <v>1879</v>
      </c>
      <c r="B1460">
        <v>60</v>
      </c>
      <c r="C1460" t="s">
        <v>29</v>
      </c>
      <c r="D1460" t="s">
        <v>2530</v>
      </c>
      <c r="E1460" t="s">
        <v>55</v>
      </c>
      <c r="F1460" t="s">
        <v>56</v>
      </c>
      <c r="G1460" t="s">
        <v>44</v>
      </c>
      <c r="H1460" t="str">
        <f>TEXT(walmart[[#This Row],[Purchase_Date]],"DDD")</f>
        <v>Fri</v>
      </c>
      <c r="I1460" t="str">
        <f>TEXT(walmart[[#This Row],[Purchase_Date]],"MMM")</f>
        <v>Aug</v>
      </c>
      <c r="J1460" t="str">
        <f>TEXT(walmart[[#This Row],[Purchase_Date]],"YYY")</f>
        <v>2024</v>
      </c>
      <c r="K1460" s="3">
        <v>76.81</v>
      </c>
      <c r="L1460" t="str">
        <f t="shared" si="104"/>
        <v>0% off</v>
      </c>
      <c r="N1460" t="str">
        <f t="shared" si="105"/>
        <v>No</v>
      </c>
      <c r="O1460" t="s">
        <v>34</v>
      </c>
      <c r="P1460" s="3">
        <f t="shared" si="106"/>
        <v>76.81</v>
      </c>
      <c r="Q1460" t="s">
        <v>47</v>
      </c>
      <c r="R1460">
        <v>3</v>
      </c>
      <c r="S1460" t="str">
        <f t="shared" si="107"/>
        <v>Average</v>
      </c>
    </row>
    <row r="1461" spans="1:19" x14ac:dyDescent="0.25">
      <c r="A1461" t="s">
        <v>1880</v>
      </c>
      <c r="B1461">
        <v>32</v>
      </c>
      <c r="C1461" t="s">
        <v>16</v>
      </c>
      <c r="D1461" t="s">
        <v>2531</v>
      </c>
      <c r="E1461" t="s">
        <v>31</v>
      </c>
      <c r="F1461" t="s">
        <v>169</v>
      </c>
      <c r="G1461" t="s">
        <v>351</v>
      </c>
      <c r="H1461" t="str">
        <f>TEXT(walmart[[#This Row],[Purchase_Date]],"DDD")</f>
        <v>Tue</v>
      </c>
      <c r="I1461" t="str">
        <f>TEXT(walmart[[#This Row],[Purchase_Date]],"MMM")</f>
        <v>Apr</v>
      </c>
      <c r="J1461" t="str">
        <f>TEXT(walmart[[#This Row],[Purchase_Date]],"YYY")</f>
        <v>2024</v>
      </c>
      <c r="K1461" s="3">
        <v>52.44</v>
      </c>
      <c r="L1461" t="str">
        <f t="shared" si="104"/>
        <v>0% off</v>
      </c>
      <c r="N1461" t="str">
        <f t="shared" si="105"/>
        <v>No</v>
      </c>
      <c r="O1461" t="s">
        <v>34</v>
      </c>
      <c r="P1461" s="3">
        <f t="shared" si="106"/>
        <v>52.44</v>
      </c>
      <c r="Q1461" t="s">
        <v>35</v>
      </c>
      <c r="R1461">
        <v>1</v>
      </c>
      <c r="S1461" t="str">
        <f t="shared" si="107"/>
        <v>Very Poor</v>
      </c>
    </row>
    <row r="1462" spans="1:19" x14ac:dyDescent="0.25">
      <c r="A1462" t="s">
        <v>1881</v>
      </c>
      <c r="B1462">
        <v>22</v>
      </c>
      <c r="C1462" t="s">
        <v>16</v>
      </c>
      <c r="D1462" t="s">
        <v>2532</v>
      </c>
      <c r="E1462" t="s">
        <v>31</v>
      </c>
      <c r="F1462" t="s">
        <v>169</v>
      </c>
      <c r="G1462" t="s">
        <v>555</v>
      </c>
      <c r="H1462" t="str">
        <f>TEXT(walmart[[#This Row],[Purchase_Date]],"DDD")</f>
        <v>Mon</v>
      </c>
      <c r="I1462" t="str">
        <f>TEXT(walmart[[#This Row],[Purchase_Date]],"MMM")</f>
        <v>Sep</v>
      </c>
      <c r="J1462" t="str">
        <f>TEXT(walmart[[#This Row],[Purchase_Date]],"YYY")</f>
        <v>2024</v>
      </c>
      <c r="K1462" s="3">
        <v>52.44</v>
      </c>
      <c r="L1462" t="str">
        <f t="shared" si="104"/>
        <v>0% off</v>
      </c>
      <c r="N1462" t="str">
        <f t="shared" si="105"/>
        <v>No</v>
      </c>
      <c r="O1462" t="s">
        <v>34</v>
      </c>
      <c r="P1462" s="3">
        <f t="shared" si="106"/>
        <v>52.44</v>
      </c>
      <c r="Q1462" t="s">
        <v>22</v>
      </c>
      <c r="R1462">
        <v>5</v>
      </c>
      <c r="S1462" t="str">
        <f t="shared" si="107"/>
        <v>Excellent</v>
      </c>
    </row>
    <row r="1463" spans="1:19" x14ac:dyDescent="0.25">
      <c r="A1463" t="s">
        <v>1882</v>
      </c>
      <c r="B1463">
        <v>64</v>
      </c>
      <c r="C1463" t="s">
        <v>16</v>
      </c>
      <c r="D1463" t="s">
        <v>2533</v>
      </c>
      <c r="E1463" t="s">
        <v>24</v>
      </c>
      <c r="F1463" t="s">
        <v>25</v>
      </c>
      <c r="G1463" t="s">
        <v>630</v>
      </c>
      <c r="H1463" t="str">
        <f>TEXT(walmart[[#This Row],[Purchase_Date]],"DDD")</f>
        <v>Tue</v>
      </c>
      <c r="I1463" t="str">
        <f>TEXT(walmart[[#This Row],[Purchase_Date]],"MMM")</f>
        <v>Mar</v>
      </c>
      <c r="J1463" t="str">
        <f>TEXT(walmart[[#This Row],[Purchase_Date]],"YYY")</f>
        <v>2025</v>
      </c>
      <c r="K1463" s="3">
        <v>67.040000000000006</v>
      </c>
      <c r="L1463" t="str">
        <f t="shared" si="104"/>
        <v>0% off</v>
      </c>
      <c r="N1463" t="str">
        <f t="shared" si="105"/>
        <v>No</v>
      </c>
      <c r="O1463" t="s">
        <v>21</v>
      </c>
      <c r="P1463" s="3">
        <f t="shared" si="106"/>
        <v>67.040000000000006</v>
      </c>
      <c r="Q1463" t="s">
        <v>22</v>
      </c>
      <c r="R1463">
        <v>2</v>
      </c>
      <c r="S1463" t="str">
        <f t="shared" si="107"/>
        <v>Poor</v>
      </c>
    </row>
    <row r="1464" spans="1:19" x14ac:dyDescent="0.25">
      <c r="A1464" t="s">
        <v>1883</v>
      </c>
      <c r="B1464">
        <v>65</v>
      </c>
      <c r="C1464" t="s">
        <v>16</v>
      </c>
      <c r="D1464" t="s">
        <v>2534</v>
      </c>
      <c r="E1464" t="s">
        <v>55</v>
      </c>
      <c r="F1464" t="s">
        <v>56</v>
      </c>
      <c r="G1464" t="s">
        <v>238</v>
      </c>
      <c r="H1464" t="str">
        <f>TEXT(walmart[[#This Row],[Purchase_Date]],"DDD")</f>
        <v>Wed</v>
      </c>
      <c r="I1464" t="str">
        <f>TEXT(walmart[[#This Row],[Purchase_Date]],"MMM")</f>
        <v>Apr</v>
      </c>
      <c r="J1464" t="str">
        <f>TEXT(walmart[[#This Row],[Purchase_Date]],"YYY")</f>
        <v>2024</v>
      </c>
      <c r="K1464" s="3">
        <v>76.81</v>
      </c>
      <c r="L1464" t="str">
        <f t="shared" si="104"/>
        <v>0% off</v>
      </c>
      <c r="N1464" t="str">
        <f t="shared" si="105"/>
        <v>No</v>
      </c>
      <c r="O1464" t="s">
        <v>34</v>
      </c>
      <c r="P1464" s="3">
        <f t="shared" si="106"/>
        <v>76.81</v>
      </c>
      <c r="Q1464" t="s">
        <v>35</v>
      </c>
      <c r="R1464">
        <v>4</v>
      </c>
      <c r="S1464" t="str">
        <f t="shared" si="107"/>
        <v>Good</v>
      </c>
    </row>
    <row r="1465" spans="1:19" x14ac:dyDescent="0.25">
      <c r="A1465" t="s">
        <v>1884</v>
      </c>
      <c r="B1465">
        <v>18</v>
      </c>
      <c r="C1465" t="s">
        <v>16</v>
      </c>
      <c r="D1465" t="s">
        <v>2535</v>
      </c>
      <c r="E1465" t="s">
        <v>73</v>
      </c>
      <c r="F1465" t="s">
        <v>74</v>
      </c>
      <c r="G1465" t="s">
        <v>258</v>
      </c>
      <c r="H1465" t="str">
        <f>TEXT(walmart[[#This Row],[Purchase_Date]],"DDD")</f>
        <v>Fri</v>
      </c>
      <c r="I1465" t="str">
        <f>TEXT(walmart[[#This Row],[Purchase_Date]],"MMM")</f>
        <v>Oct</v>
      </c>
      <c r="J1465" t="str">
        <f>TEXT(walmart[[#This Row],[Purchase_Date]],"YYY")</f>
        <v>2024</v>
      </c>
      <c r="K1465" s="3">
        <v>782.29</v>
      </c>
      <c r="L1465" t="str">
        <f t="shared" si="104"/>
        <v>15% off</v>
      </c>
      <c r="N1465" t="str">
        <f t="shared" si="105"/>
        <v>Yes</v>
      </c>
      <c r="O1465" t="s">
        <v>21</v>
      </c>
      <c r="P1465" s="3">
        <f t="shared" si="106"/>
        <v>782.29</v>
      </c>
      <c r="Q1465" t="s">
        <v>22</v>
      </c>
      <c r="R1465">
        <v>1</v>
      </c>
      <c r="S1465" t="str">
        <f t="shared" si="107"/>
        <v>Very Poor</v>
      </c>
    </row>
    <row r="1466" spans="1:19" x14ac:dyDescent="0.25">
      <c r="A1466" t="s">
        <v>1885</v>
      </c>
      <c r="B1466">
        <v>64</v>
      </c>
      <c r="C1466" t="s">
        <v>29</v>
      </c>
      <c r="D1466" t="s">
        <v>2518</v>
      </c>
      <c r="E1466" t="s">
        <v>73</v>
      </c>
      <c r="F1466" t="s">
        <v>94</v>
      </c>
      <c r="G1466" t="s">
        <v>681</v>
      </c>
      <c r="H1466" t="str">
        <f>TEXT(walmart[[#This Row],[Purchase_Date]],"DDD")</f>
        <v>Sun</v>
      </c>
      <c r="I1466" t="str">
        <f>TEXT(walmart[[#This Row],[Purchase_Date]],"MMM")</f>
        <v>Jun</v>
      </c>
      <c r="J1466" t="str">
        <f>TEXT(walmart[[#This Row],[Purchase_Date]],"YYY")</f>
        <v>2024</v>
      </c>
      <c r="K1466" s="3">
        <v>965.09</v>
      </c>
      <c r="L1466" t="str">
        <f t="shared" si="104"/>
        <v>20% off</v>
      </c>
      <c r="N1466" t="str">
        <f t="shared" si="105"/>
        <v>Yes</v>
      </c>
      <c r="O1466" t="s">
        <v>21</v>
      </c>
      <c r="P1466" s="3">
        <f t="shared" si="106"/>
        <v>965.09</v>
      </c>
      <c r="Q1466" t="s">
        <v>22</v>
      </c>
      <c r="R1466">
        <v>4</v>
      </c>
      <c r="S1466" t="str">
        <f t="shared" si="107"/>
        <v>Good</v>
      </c>
    </row>
    <row r="1467" spans="1:19" x14ac:dyDescent="0.25">
      <c r="A1467" t="s">
        <v>1886</v>
      </c>
      <c r="B1467">
        <v>43</v>
      </c>
      <c r="C1467" t="s">
        <v>16</v>
      </c>
      <c r="D1467" t="s">
        <v>2536</v>
      </c>
      <c r="E1467" t="s">
        <v>18</v>
      </c>
      <c r="F1467" t="s">
        <v>142</v>
      </c>
      <c r="G1467" t="s">
        <v>262</v>
      </c>
      <c r="H1467" t="str">
        <f>TEXT(walmart[[#This Row],[Purchase_Date]],"DDD")</f>
        <v>Wed</v>
      </c>
      <c r="I1467" t="str">
        <f>TEXT(walmart[[#This Row],[Purchase_Date]],"MMM")</f>
        <v>Sep</v>
      </c>
      <c r="J1467" t="str">
        <f>TEXT(walmart[[#This Row],[Purchase_Date]],"YYY")</f>
        <v>2024</v>
      </c>
      <c r="K1467" s="3">
        <v>485.26</v>
      </c>
      <c r="L1467" t="str">
        <f t="shared" si="104"/>
        <v>5% off</v>
      </c>
      <c r="N1467" t="str">
        <f t="shared" si="105"/>
        <v>Yes</v>
      </c>
      <c r="O1467" t="s">
        <v>34</v>
      </c>
      <c r="P1467" s="3">
        <f t="shared" si="106"/>
        <v>485.26</v>
      </c>
      <c r="Q1467" t="s">
        <v>47</v>
      </c>
      <c r="R1467">
        <v>5</v>
      </c>
      <c r="S1467" t="str">
        <f t="shared" si="107"/>
        <v>Excellent</v>
      </c>
    </row>
    <row r="1468" spans="1:19" x14ac:dyDescent="0.25">
      <c r="A1468" t="s">
        <v>1887</v>
      </c>
      <c r="B1468">
        <v>40</v>
      </c>
      <c r="C1468" t="s">
        <v>16</v>
      </c>
      <c r="D1468" t="s">
        <v>2537</v>
      </c>
      <c r="E1468" t="s">
        <v>31</v>
      </c>
      <c r="F1468" t="s">
        <v>32</v>
      </c>
      <c r="G1468" t="s">
        <v>407</v>
      </c>
      <c r="H1468" t="str">
        <f>TEXT(walmart[[#This Row],[Purchase_Date]],"DDD")</f>
        <v>Tue</v>
      </c>
      <c r="I1468" t="str">
        <f>TEXT(walmart[[#This Row],[Purchase_Date]],"MMM")</f>
        <v>Jul</v>
      </c>
      <c r="J1468" t="str">
        <f>TEXT(walmart[[#This Row],[Purchase_Date]],"YYY")</f>
        <v>2024</v>
      </c>
      <c r="K1468" s="3">
        <v>493.96</v>
      </c>
      <c r="L1468" t="str">
        <f t="shared" si="104"/>
        <v>5% off</v>
      </c>
      <c r="N1468" t="str">
        <f t="shared" si="105"/>
        <v>Yes</v>
      </c>
      <c r="O1468" t="s">
        <v>34</v>
      </c>
      <c r="P1468" s="3">
        <f t="shared" si="106"/>
        <v>493.96</v>
      </c>
      <c r="Q1468" t="s">
        <v>35</v>
      </c>
      <c r="R1468">
        <v>4</v>
      </c>
      <c r="S1468" t="str">
        <f t="shared" si="107"/>
        <v>Good</v>
      </c>
    </row>
    <row r="1469" spans="1:19" x14ac:dyDescent="0.25">
      <c r="A1469" t="s">
        <v>1888</v>
      </c>
      <c r="B1469">
        <v>31</v>
      </c>
      <c r="C1469" t="s">
        <v>29</v>
      </c>
      <c r="D1469" t="s">
        <v>2538</v>
      </c>
      <c r="E1469" t="s">
        <v>73</v>
      </c>
      <c r="F1469" t="s">
        <v>91</v>
      </c>
      <c r="G1469" t="s">
        <v>75</v>
      </c>
      <c r="H1469" t="str">
        <f>TEXT(walmart[[#This Row],[Purchase_Date]],"DDD")</f>
        <v>Mon</v>
      </c>
      <c r="I1469" t="str">
        <f>TEXT(walmart[[#This Row],[Purchase_Date]],"MMM")</f>
        <v>Feb</v>
      </c>
      <c r="J1469" t="str">
        <f>TEXT(walmart[[#This Row],[Purchase_Date]],"YYY")</f>
        <v>2025</v>
      </c>
      <c r="K1469" s="3">
        <v>418.55</v>
      </c>
      <c r="L1469" t="str">
        <f t="shared" si="104"/>
        <v>5% off</v>
      </c>
      <c r="N1469" t="str">
        <f t="shared" si="105"/>
        <v>Yes</v>
      </c>
      <c r="O1469" t="s">
        <v>34</v>
      </c>
      <c r="P1469" s="3">
        <f t="shared" si="106"/>
        <v>418.55</v>
      </c>
      <c r="Q1469" t="s">
        <v>47</v>
      </c>
      <c r="R1469">
        <v>3</v>
      </c>
      <c r="S1469" t="str">
        <f t="shared" si="107"/>
        <v>Average</v>
      </c>
    </row>
    <row r="1470" spans="1:19" x14ac:dyDescent="0.25">
      <c r="A1470" t="s">
        <v>1889</v>
      </c>
      <c r="B1470">
        <v>26</v>
      </c>
      <c r="C1470" t="s">
        <v>29</v>
      </c>
      <c r="D1470" t="s">
        <v>2539</v>
      </c>
      <c r="E1470" t="s">
        <v>18</v>
      </c>
      <c r="F1470" t="s">
        <v>142</v>
      </c>
      <c r="G1470" t="s">
        <v>658</v>
      </c>
      <c r="H1470" t="str">
        <f>TEXT(walmart[[#This Row],[Purchase_Date]],"DDD")</f>
        <v>Fri</v>
      </c>
      <c r="I1470" t="str">
        <f>TEXT(walmart[[#This Row],[Purchase_Date]],"MMM")</f>
        <v>Jun</v>
      </c>
      <c r="J1470" t="str">
        <f>TEXT(walmart[[#This Row],[Purchase_Date]],"YYY")</f>
        <v>2024</v>
      </c>
      <c r="K1470" s="3">
        <v>485.26</v>
      </c>
      <c r="L1470" t="str">
        <f t="shared" si="104"/>
        <v>5% off</v>
      </c>
      <c r="N1470" t="str">
        <f t="shared" si="105"/>
        <v>Yes</v>
      </c>
      <c r="O1470" t="s">
        <v>34</v>
      </c>
      <c r="P1470" s="3">
        <f t="shared" si="106"/>
        <v>485.26</v>
      </c>
      <c r="Q1470" t="s">
        <v>22</v>
      </c>
      <c r="R1470">
        <v>1</v>
      </c>
      <c r="S1470" t="str">
        <f t="shared" si="107"/>
        <v>Very Poor</v>
      </c>
    </row>
    <row r="1471" spans="1:19" x14ac:dyDescent="0.25">
      <c r="A1471" t="s">
        <v>1890</v>
      </c>
      <c r="B1471">
        <v>50</v>
      </c>
      <c r="C1471" t="s">
        <v>29</v>
      </c>
      <c r="D1471" t="s">
        <v>2540</v>
      </c>
      <c r="E1471" t="s">
        <v>31</v>
      </c>
      <c r="F1471" t="s">
        <v>300</v>
      </c>
      <c r="G1471" t="s">
        <v>476</v>
      </c>
      <c r="H1471" t="str">
        <f>TEXT(walmart[[#This Row],[Purchase_Date]],"DDD")</f>
        <v>Fri</v>
      </c>
      <c r="I1471" t="str">
        <f>TEXT(walmart[[#This Row],[Purchase_Date]],"MMM")</f>
        <v>Mar</v>
      </c>
      <c r="J1471" t="str">
        <f>TEXT(walmart[[#This Row],[Purchase_Date]],"YYY")</f>
        <v>2025</v>
      </c>
      <c r="K1471" s="3">
        <v>340.04</v>
      </c>
      <c r="L1471" t="str">
        <f t="shared" si="104"/>
        <v>5% off</v>
      </c>
      <c r="N1471" t="str">
        <f t="shared" si="105"/>
        <v>Yes</v>
      </c>
      <c r="O1471" t="s">
        <v>21</v>
      </c>
      <c r="P1471" s="3">
        <f t="shared" si="106"/>
        <v>340.04</v>
      </c>
      <c r="Q1471" t="s">
        <v>47</v>
      </c>
      <c r="R1471">
        <v>3</v>
      </c>
      <c r="S1471" t="str">
        <f t="shared" si="107"/>
        <v>Average</v>
      </c>
    </row>
    <row r="1472" spans="1:19" x14ac:dyDescent="0.25">
      <c r="A1472" t="s">
        <v>1891</v>
      </c>
      <c r="B1472">
        <v>62</v>
      </c>
      <c r="C1472" t="s">
        <v>16</v>
      </c>
      <c r="D1472" t="s">
        <v>2488</v>
      </c>
      <c r="E1472" t="s">
        <v>73</v>
      </c>
      <c r="F1472" t="s">
        <v>91</v>
      </c>
      <c r="G1472" t="s">
        <v>1253</v>
      </c>
      <c r="H1472" t="str">
        <f>TEXT(walmart[[#This Row],[Purchase_Date]],"DDD")</f>
        <v>Thu</v>
      </c>
      <c r="I1472" t="str">
        <f>TEXT(walmart[[#This Row],[Purchase_Date]],"MMM")</f>
        <v>Feb</v>
      </c>
      <c r="J1472" t="str">
        <f>TEXT(walmart[[#This Row],[Purchase_Date]],"YYY")</f>
        <v>2025</v>
      </c>
      <c r="K1472" s="3">
        <v>418.55</v>
      </c>
      <c r="L1472" t="str">
        <f t="shared" si="104"/>
        <v>5% off</v>
      </c>
      <c r="N1472" t="str">
        <f t="shared" si="105"/>
        <v>Yes</v>
      </c>
      <c r="O1472" t="s">
        <v>21</v>
      </c>
      <c r="P1472" s="3">
        <f t="shared" si="106"/>
        <v>418.55</v>
      </c>
      <c r="Q1472" t="s">
        <v>27</v>
      </c>
      <c r="R1472">
        <v>1</v>
      </c>
      <c r="S1472" t="str">
        <f t="shared" si="107"/>
        <v>Very Poor</v>
      </c>
    </row>
    <row r="1473" spans="1:19" x14ac:dyDescent="0.25">
      <c r="A1473" t="s">
        <v>1892</v>
      </c>
      <c r="B1473">
        <v>70</v>
      </c>
      <c r="C1473" t="s">
        <v>29</v>
      </c>
      <c r="D1473" t="s">
        <v>2541</v>
      </c>
      <c r="E1473" t="s">
        <v>42</v>
      </c>
      <c r="F1473" t="s">
        <v>120</v>
      </c>
      <c r="G1473" t="s">
        <v>617</v>
      </c>
      <c r="H1473" t="str">
        <f>TEXT(walmart[[#This Row],[Purchase_Date]],"DDD")</f>
        <v>Mon</v>
      </c>
      <c r="I1473" t="str">
        <f>TEXT(walmart[[#This Row],[Purchase_Date]],"MMM")</f>
        <v>Jul</v>
      </c>
      <c r="J1473" t="str">
        <f>TEXT(walmart[[#This Row],[Purchase_Date]],"YYY")</f>
        <v>2024</v>
      </c>
      <c r="K1473" s="3">
        <v>260.77999999999997</v>
      </c>
      <c r="L1473" t="str">
        <f t="shared" si="104"/>
        <v>5% off</v>
      </c>
      <c r="N1473" t="str">
        <f t="shared" si="105"/>
        <v>Yes</v>
      </c>
      <c r="O1473" t="s">
        <v>21</v>
      </c>
      <c r="P1473" s="3">
        <f t="shared" si="106"/>
        <v>260.77999999999997</v>
      </c>
      <c r="Q1473" t="s">
        <v>35</v>
      </c>
      <c r="R1473">
        <v>4</v>
      </c>
      <c r="S1473" t="str">
        <f t="shared" si="107"/>
        <v>Good</v>
      </c>
    </row>
    <row r="1474" spans="1:19" x14ac:dyDescent="0.25">
      <c r="A1474" t="s">
        <v>1893</v>
      </c>
      <c r="B1474">
        <v>19</v>
      </c>
      <c r="C1474" t="s">
        <v>16</v>
      </c>
      <c r="D1474" t="s">
        <v>2542</v>
      </c>
      <c r="E1474" t="s">
        <v>73</v>
      </c>
      <c r="F1474" t="s">
        <v>94</v>
      </c>
      <c r="G1474" t="s">
        <v>1514</v>
      </c>
      <c r="H1474" t="str">
        <f>TEXT(walmart[[#This Row],[Purchase_Date]],"DDD")</f>
        <v>Thu</v>
      </c>
      <c r="I1474" t="str">
        <f>TEXT(walmart[[#This Row],[Purchase_Date]],"MMM")</f>
        <v>Aug</v>
      </c>
      <c r="J1474" t="str">
        <f>TEXT(walmart[[#This Row],[Purchase_Date]],"YYY")</f>
        <v>2024</v>
      </c>
      <c r="K1474" s="3">
        <v>965.09</v>
      </c>
      <c r="L1474" t="str">
        <f t="shared" si="104"/>
        <v>20% off</v>
      </c>
      <c r="N1474" t="str">
        <f t="shared" si="105"/>
        <v>Yes</v>
      </c>
      <c r="O1474" t="s">
        <v>34</v>
      </c>
      <c r="P1474" s="3">
        <f t="shared" si="106"/>
        <v>965.09</v>
      </c>
      <c r="Q1474" t="s">
        <v>47</v>
      </c>
      <c r="R1474">
        <v>4</v>
      </c>
      <c r="S1474" t="str">
        <f t="shared" si="107"/>
        <v>Good</v>
      </c>
    </row>
    <row r="1475" spans="1:19" x14ac:dyDescent="0.25">
      <c r="A1475" t="s">
        <v>1894</v>
      </c>
      <c r="B1475">
        <v>30</v>
      </c>
      <c r="C1475" t="s">
        <v>29</v>
      </c>
      <c r="D1475" t="s">
        <v>2543</v>
      </c>
      <c r="E1475" t="s">
        <v>18</v>
      </c>
      <c r="F1475" t="s">
        <v>142</v>
      </c>
      <c r="G1475" t="s">
        <v>160</v>
      </c>
      <c r="H1475" t="str">
        <f>TEXT(walmart[[#This Row],[Purchase_Date]],"DDD")</f>
        <v>Tue</v>
      </c>
      <c r="I1475" t="str">
        <f>TEXT(walmart[[#This Row],[Purchase_Date]],"MMM")</f>
        <v>Oct</v>
      </c>
      <c r="J1475" t="str">
        <f>TEXT(walmart[[#This Row],[Purchase_Date]],"YYY")</f>
        <v>2024</v>
      </c>
      <c r="K1475" s="3">
        <v>485.26</v>
      </c>
      <c r="L1475" t="str">
        <f t="shared" ref="L1475:L1538" si="108">IF(K1475&lt;150,"0% off",IF(K1475&lt;500,"5% off",IF(K1475&lt;700,"10% off",IF(K1475&lt;900,"15% off","20% off"))))</f>
        <v>5% off</v>
      </c>
      <c r="N1475" t="str">
        <f t="shared" ref="N1475:N1538" si="109">IF(L1475="0% off", "No", "Yes")</f>
        <v>Yes</v>
      </c>
      <c r="O1475" t="s">
        <v>21</v>
      </c>
      <c r="P1475" s="3">
        <f t="shared" ref="P1475:P1538" si="110">K1475-M1475</f>
        <v>485.26</v>
      </c>
      <c r="Q1475" t="s">
        <v>35</v>
      </c>
      <c r="R1475">
        <v>3</v>
      </c>
      <c r="S1475" t="str">
        <f t="shared" ref="S1475:S1538" si="111">IF(R1475=5, "Excellent", IF(R1475=4, "Good", IF(R1475=3, "Average", IF(R1475=2, "Poor", IF(R1475=1, "Very Poor", "Invalid Rating")))))</f>
        <v>Average</v>
      </c>
    </row>
    <row r="1476" spans="1:19" x14ac:dyDescent="0.25">
      <c r="A1476" t="s">
        <v>1895</v>
      </c>
      <c r="B1476">
        <v>70</v>
      </c>
      <c r="C1476" t="s">
        <v>29</v>
      </c>
      <c r="D1476" t="s">
        <v>2544</v>
      </c>
      <c r="E1476" t="s">
        <v>42</v>
      </c>
      <c r="F1476" t="s">
        <v>120</v>
      </c>
      <c r="G1476" t="s">
        <v>242</v>
      </c>
      <c r="H1476" t="str">
        <f>TEXT(walmart[[#This Row],[Purchase_Date]],"DDD")</f>
        <v>Fri</v>
      </c>
      <c r="I1476" t="str">
        <f>TEXT(walmart[[#This Row],[Purchase_Date]],"MMM")</f>
        <v>Nov</v>
      </c>
      <c r="J1476" t="str">
        <f>TEXT(walmart[[#This Row],[Purchase_Date]],"YYY")</f>
        <v>2024</v>
      </c>
      <c r="K1476" s="3">
        <v>260.77999999999997</v>
      </c>
      <c r="L1476" t="str">
        <f t="shared" si="108"/>
        <v>5% off</v>
      </c>
      <c r="N1476" t="str">
        <f t="shared" si="109"/>
        <v>Yes</v>
      </c>
      <c r="O1476" t="s">
        <v>21</v>
      </c>
      <c r="P1476" s="3">
        <f t="shared" si="110"/>
        <v>260.77999999999997</v>
      </c>
      <c r="Q1476" t="s">
        <v>47</v>
      </c>
      <c r="R1476">
        <v>4</v>
      </c>
      <c r="S1476" t="str">
        <f t="shared" si="111"/>
        <v>Good</v>
      </c>
    </row>
    <row r="1477" spans="1:19" x14ac:dyDescent="0.25">
      <c r="A1477" t="s">
        <v>1896</v>
      </c>
      <c r="B1477">
        <v>46</v>
      </c>
      <c r="C1477" t="s">
        <v>16</v>
      </c>
      <c r="D1477" t="s">
        <v>2545</v>
      </c>
      <c r="E1477" t="s">
        <v>24</v>
      </c>
      <c r="F1477" t="s">
        <v>186</v>
      </c>
      <c r="G1477" t="s">
        <v>1236</v>
      </c>
      <c r="H1477" t="str">
        <f>TEXT(walmart[[#This Row],[Purchase_Date]],"DDD")</f>
        <v>Tue</v>
      </c>
      <c r="I1477" t="str">
        <f>TEXT(walmart[[#This Row],[Purchase_Date]],"MMM")</f>
        <v>Jul</v>
      </c>
      <c r="J1477" t="str">
        <f>TEXT(walmart[[#This Row],[Purchase_Date]],"YYY")</f>
        <v>2024</v>
      </c>
      <c r="K1477" s="3">
        <v>527.16999999999996</v>
      </c>
      <c r="L1477" t="str">
        <f t="shared" si="108"/>
        <v>10% off</v>
      </c>
      <c r="N1477" t="str">
        <f t="shared" si="109"/>
        <v>Yes</v>
      </c>
      <c r="O1477" t="s">
        <v>21</v>
      </c>
      <c r="P1477" s="3">
        <f t="shared" si="110"/>
        <v>527.16999999999996</v>
      </c>
      <c r="Q1477" t="s">
        <v>27</v>
      </c>
      <c r="R1477">
        <v>5</v>
      </c>
      <c r="S1477" t="str">
        <f t="shared" si="111"/>
        <v>Excellent</v>
      </c>
    </row>
    <row r="1478" spans="1:19" x14ac:dyDescent="0.25">
      <c r="A1478" t="s">
        <v>1897</v>
      </c>
      <c r="B1478">
        <v>35</v>
      </c>
      <c r="C1478" t="s">
        <v>16</v>
      </c>
      <c r="D1478" t="s">
        <v>2546</v>
      </c>
      <c r="E1478" t="s">
        <v>37</v>
      </c>
      <c r="F1478" t="s">
        <v>82</v>
      </c>
      <c r="G1478" t="s">
        <v>594</v>
      </c>
      <c r="H1478" t="str">
        <f>TEXT(walmart[[#This Row],[Purchase_Date]],"DDD")</f>
        <v>Thu</v>
      </c>
      <c r="I1478" t="str">
        <f>TEXT(walmart[[#This Row],[Purchase_Date]],"MMM")</f>
        <v>Nov</v>
      </c>
      <c r="J1478" t="str">
        <f>TEXT(walmart[[#This Row],[Purchase_Date]],"YYY")</f>
        <v>2024</v>
      </c>
      <c r="K1478" s="3">
        <v>270.41000000000003</v>
      </c>
      <c r="L1478" t="str">
        <f t="shared" si="108"/>
        <v>5% off</v>
      </c>
      <c r="N1478" t="str">
        <f t="shared" si="109"/>
        <v>Yes</v>
      </c>
      <c r="O1478" t="s">
        <v>34</v>
      </c>
      <c r="P1478" s="3">
        <f t="shared" si="110"/>
        <v>270.41000000000003</v>
      </c>
      <c r="Q1478" t="s">
        <v>27</v>
      </c>
      <c r="R1478">
        <v>3</v>
      </c>
      <c r="S1478" t="str">
        <f t="shared" si="111"/>
        <v>Average</v>
      </c>
    </row>
    <row r="1479" spans="1:19" x14ac:dyDescent="0.25">
      <c r="A1479" t="s">
        <v>1898</v>
      </c>
      <c r="B1479">
        <v>25</v>
      </c>
      <c r="C1479" t="s">
        <v>29</v>
      </c>
      <c r="D1479" t="s">
        <v>2547</v>
      </c>
      <c r="E1479" t="s">
        <v>42</v>
      </c>
      <c r="F1479" t="s">
        <v>43</v>
      </c>
      <c r="G1479" t="s">
        <v>1052</v>
      </c>
      <c r="H1479" t="str">
        <f>TEXT(walmart[[#This Row],[Purchase_Date]],"DDD")</f>
        <v>Tue</v>
      </c>
      <c r="I1479" t="str">
        <f>TEXT(walmart[[#This Row],[Purchase_Date]],"MMM")</f>
        <v>Jul</v>
      </c>
      <c r="J1479" t="str">
        <f>TEXT(walmart[[#This Row],[Purchase_Date]],"YYY")</f>
        <v>2024</v>
      </c>
      <c r="K1479" s="3">
        <v>512.94000000000005</v>
      </c>
      <c r="L1479" t="str">
        <f t="shared" si="108"/>
        <v>10% off</v>
      </c>
      <c r="N1479" t="str">
        <f t="shared" si="109"/>
        <v>Yes</v>
      </c>
      <c r="O1479" t="s">
        <v>21</v>
      </c>
      <c r="P1479" s="3">
        <f t="shared" si="110"/>
        <v>512.94000000000005</v>
      </c>
      <c r="Q1479" t="s">
        <v>22</v>
      </c>
      <c r="R1479">
        <v>2</v>
      </c>
      <c r="S1479" t="str">
        <f t="shared" si="111"/>
        <v>Poor</v>
      </c>
    </row>
    <row r="1480" spans="1:19" x14ac:dyDescent="0.25">
      <c r="A1480" t="s">
        <v>1899</v>
      </c>
      <c r="B1480">
        <v>22</v>
      </c>
      <c r="C1480" t="s">
        <v>29</v>
      </c>
      <c r="D1480" t="s">
        <v>2548</v>
      </c>
      <c r="E1480" t="s">
        <v>73</v>
      </c>
      <c r="F1480" t="s">
        <v>138</v>
      </c>
      <c r="G1480" t="s">
        <v>53</v>
      </c>
      <c r="H1480" t="str">
        <f>TEXT(walmart[[#This Row],[Purchase_Date]],"DDD")</f>
        <v>Sat</v>
      </c>
      <c r="I1480" t="str">
        <f>TEXT(walmart[[#This Row],[Purchase_Date]],"MMM")</f>
        <v>Mar</v>
      </c>
      <c r="J1480" t="str">
        <f>TEXT(walmart[[#This Row],[Purchase_Date]],"YYY")</f>
        <v>2025</v>
      </c>
      <c r="K1480" s="3">
        <v>461.81</v>
      </c>
      <c r="L1480" t="str">
        <f t="shared" si="108"/>
        <v>5% off</v>
      </c>
      <c r="N1480" t="str">
        <f t="shared" si="109"/>
        <v>Yes</v>
      </c>
      <c r="O1480" t="s">
        <v>34</v>
      </c>
      <c r="P1480" s="3">
        <f t="shared" si="110"/>
        <v>461.81</v>
      </c>
      <c r="Q1480" t="s">
        <v>22</v>
      </c>
      <c r="R1480">
        <v>2</v>
      </c>
      <c r="S1480" t="str">
        <f t="shared" si="111"/>
        <v>Poor</v>
      </c>
    </row>
    <row r="1481" spans="1:19" x14ac:dyDescent="0.25">
      <c r="A1481" t="s">
        <v>1900</v>
      </c>
      <c r="B1481">
        <v>27</v>
      </c>
      <c r="C1481" t="s">
        <v>16</v>
      </c>
      <c r="D1481" t="s">
        <v>2549</v>
      </c>
      <c r="E1481" t="s">
        <v>42</v>
      </c>
      <c r="F1481" t="s">
        <v>43</v>
      </c>
      <c r="G1481" t="s">
        <v>441</v>
      </c>
      <c r="H1481" t="str">
        <f>TEXT(walmart[[#This Row],[Purchase_Date]],"DDD")</f>
        <v>Tue</v>
      </c>
      <c r="I1481" t="str">
        <f>TEXT(walmart[[#This Row],[Purchase_Date]],"MMM")</f>
        <v>Apr</v>
      </c>
      <c r="J1481" t="str">
        <f>TEXT(walmart[[#This Row],[Purchase_Date]],"YYY")</f>
        <v>2024</v>
      </c>
      <c r="K1481" s="3">
        <v>512.94000000000005</v>
      </c>
      <c r="L1481" t="str">
        <f t="shared" si="108"/>
        <v>10% off</v>
      </c>
      <c r="N1481" t="str">
        <f t="shared" si="109"/>
        <v>Yes</v>
      </c>
      <c r="O1481" t="s">
        <v>21</v>
      </c>
      <c r="P1481" s="3">
        <f t="shared" si="110"/>
        <v>512.94000000000005</v>
      </c>
      <c r="Q1481" t="s">
        <v>22</v>
      </c>
      <c r="R1481">
        <v>3</v>
      </c>
      <c r="S1481" t="str">
        <f t="shared" si="111"/>
        <v>Average</v>
      </c>
    </row>
    <row r="1482" spans="1:19" x14ac:dyDescent="0.25">
      <c r="A1482" t="s">
        <v>1901</v>
      </c>
      <c r="B1482">
        <v>37</v>
      </c>
      <c r="C1482" t="s">
        <v>29</v>
      </c>
      <c r="D1482" t="s">
        <v>2550</v>
      </c>
      <c r="E1482" t="s">
        <v>24</v>
      </c>
      <c r="F1482" t="s">
        <v>162</v>
      </c>
      <c r="G1482" t="s">
        <v>39</v>
      </c>
      <c r="H1482" t="str">
        <f>TEXT(walmart[[#This Row],[Purchase_Date]],"DDD")</f>
        <v>Sat</v>
      </c>
      <c r="I1482" t="str">
        <f>TEXT(walmart[[#This Row],[Purchase_Date]],"MMM")</f>
        <v>Nov</v>
      </c>
      <c r="J1482" t="str">
        <f>TEXT(walmart[[#This Row],[Purchase_Date]],"YYY")</f>
        <v>2024</v>
      </c>
      <c r="K1482" s="3">
        <v>362.55</v>
      </c>
      <c r="L1482" t="str">
        <f t="shared" si="108"/>
        <v>5% off</v>
      </c>
      <c r="N1482" t="str">
        <f t="shared" si="109"/>
        <v>Yes</v>
      </c>
      <c r="O1482" t="s">
        <v>34</v>
      </c>
      <c r="P1482" s="3">
        <f t="shared" si="110"/>
        <v>362.55</v>
      </c>
      <c r="Q1482" t="s">
        <v>22</v>
      </c>
      <c r="R1482">
        <v>4</v>
      </c>
      <c r="S1482" t="str">
        <f t="shared" si="111"/>
        <v>Good</v>
      </c>
    </row>
    <row r="1483" spans="1:19" x14ac:dyDescent="0.25">
      <c r="A1483" t="s">
        <v>1902</v>
      </c>
      <c r="B1483">
        <v>26</v>
      </c>
      <c r="C1483" t="s">
        <v>29</v>
      </c>
      <c r="D1483" t="s">
        <v>2551</v>
      </c>
      <c r="E1483" t="s">
        <v>42</v>
      </c>
      <c r="F1483" t="s">
        <v>43</v>
      </c>
      <c r="G1483" t="s">
        <v>492</v>
      </c>
      <c r="H1483" t="str">
        <f>TEXT(walmart[[#This Row],[Purchase_Date]],"DDD")</f>
        <v>Thu</v>
      </c>
      <c r="I1483" t="str">
        <f>TEXT(walmart[[#This Row],[Purchase_Date]],"MMM")</f>
        <v>Oct</v>
      </c>
      <c r="J1483" t="str">
        <f>TEXT(walmart[[#This Row],[Purchase_Date]],"YYY")</f>
        <v>2024</v>
      </c>
      <c r="K1483" s="3">
        <v>512.94000000000005</v>
      </c>
      <c r="L1483" t="str">
        <f t="shared" si="108"/>
        <v>10% off</v>
      </c>
      <c r="N1483" t="str">
        <f t="shared" si="109"/>
        <v>Yes</v>
      </c>
      <c r="O1483" t="s">
        <v>34</v>
      </c>
      <c r="P1483" s="3">
        <f t="shared" si="110"/>
        <v>512.94000000000005</v>
      </c>
      <c r="Q1483" t="s">
        <v>47</v>
      </c>
      <c r="R1483">
        <v>4</v>
      </c>
      <c r="S1483" t="str">
        <f t="shared" si="111"/>
        <v>Good</v>
      </c>
    </row>
    <row r="1484" spans="1:19" x14ac:dyDescent="0.25">
      <c r="A1484" t="s">
        <v>1903</v>
      </c>
      <c r="B1484">
        <v>67</v>
      </c>
      <c r="C1484" t="s">
        <v>16</v>
      </c>
      <c r="D1484" t="s">
        <v>2552</v>
      </c>
      <c r="E1484" t="s">
        <v>37</v>
      </c>
      <c r="F1484" t="s">
        <v>97</v>
      </c>
      <c r="G1484" t="s">
        <v>547</v>
      </c>
      <c r="H1484" t="str">
        <f>TEXT(walmart[[#This Row],[Purchase_Date]],"DDD")</f>
        <v>Fri</v>
      </c>
      <c r="I1484" t="str">
        <f>TEXT(walmart[[#This Row],[Purchase_Date]],"MMM")</f>
        <v>May</v>
      </c>
      <c r="J1484" t="str">
        <f>TEXT(walmart[[#This Row],[Purchase_Date]],"YYY")</f>
        <v>2024</v>
      </c>
      <c r="K1484" s="3">
        <v>855.21</v>
      </c>
      <c r="L1484" t="str">
        <f t="shared" si="108"/>
        <v>15% off</v>
      </c>
      <c r="N1484" t="str">
        <f t="shared" si="109"/>
        <v>Yes</v>
      </c>
      <c r="O1484" t="s">
        <v>34</v>
      </c>
      <c r="P1484" s="3">
        <f t="shared" si="110"/>
        <v>855.21</v>
      </c>
      <c r="Q1484" t="s">
        <v>35</v>
      </c>
      <c r="R1484">
        <v>3</v>
      </c>
      <c r="S1484" t="str">
        <f t="shared" si="111"/>
        <v>Average</v>
      </c>
    </row>
    <row r="1485" spans="1:19" x14ac:dyDescent="0.25">
      <c r="A1485" t="s">
        <v>1904</v>
      </c>
      <c r="B1485">
        <v>20</v>
      </c>
      <c r="C1485" t="s">
        <v>16</v>
      </c>
      <c r="D1485" t="s">
        <v>2553</v>
      </c>
      <c r="E1485" t="s">
        <v>42</v>
      </c>
      <c r="F1485" t="s">
        <v>120</v>
      </c>
      <c r="G1485" t="s">
        <v>325</v>
      </c>
      <c r="H1485" t="str">
        <f>TEXT(walmart[[#This Row],[Purchase_Date]],"DDD")</f>
        <v>Sat</v>
      </c>
      <c r="I1485" t="str">
        <f>TEXT(walmart[[#This Row],[Purchase_Date]],"MMM")</f>
        <v>Jun</v>
      </c>
      <c r="J1485" t="str">
        <f>TEXT(walmart[[#This Row],[Purchase_Date]],"YYY")</f>
        <v>2024</v>
      </c>
      <c r="K1485" s="3">
        <v>260.77999999999997</v>
      </c>
      <c r="L1485" t="str">
        <f t="shared" si="108"/>
        <v>5% off</v>
      </c>
      <c r="N1485" t="str">
        <f t="shared" si="109"/>
        <v>Yes</v>
      </c>
      <c r="O1485" t="s">
        <v>21</v>
      </c>
      <c r="P1485" s="3">
        <f t="shared" si="110"/>
        <v>260.77999999999997</v>
      </c>
      <c r="Q1485" t="s">
        <v>27</v>
      </c>
      <c r="R1485">
        <v>5</v>
      </c>
      <c r="S1485" t="str">
        <f t="shared" si="111"/>
        <v>Excellent</v>
      </c>
    </row>
    <row r="1486" spans="1:19" x14ac:dyDescent="0.25">
      <c r="A1486" t="s">
        <v>1905</v>
      </c>
      <c r="B1486">
        <v>48</v>
      </c>
      <c r="C1486" t="s">
        <v>29</v>
      </c>
      <c r="D1486" t="s">
        <v>2554</v>
      </c>
      <c r="E1486" t="s">
        <v>18</v>
      </c>
      <c r="F1486" t="s">
        <v>77</v>
      </c>
      <c r="G1486" t="s">
        <v>323</v>
      </c>
      <c r="H1486" t="str">
        <f>TEXT(walmart[[#This Row],[Purchase_Date]],"DDD")</f>
        <v>Tue</v>
      </c>
      <c r="I1486" t="str">
        <f>TEXT(walmart[[#This Row],[Purchase_Date]],"MMM")</f>
        <v>Feb</v>
      </c>
      <c r="J1486" t="str">
        <f>TEXT(walmart[[#This Row],[Purchase_Date]],"YYY")</f>
        <v>2025</v>
      </c>
      <c r="K1486" s="3">
        <v>116.78</v>
      </c>
      <c r="L1486" t="str">
        <f t="shared" si="108"/>
        <v>0% off</v>
      </c>
      <c r="N1486" t="str">
        <f t="shared" si="109"/>
        <v>No</v>
      </c>
      <c r="O1486" t="s">
        <v>21</v>
      </c>
      <c r="P1486" s="3">
        <f t="shared" si="110"/>
        <v>116.78</v>
      </c>
      <c r="Q1486" t="s">
        <v>47</v>
      </c>
      <c r="R1486">
        <v>4</v>
      </c>
      <c r="S1486" t="str">
        <f t="shared" si="111"/>
        <v>Good</v>
      </c>
    </row>
    <row r="1487" spans="1:19" x14ac:dyDescent="0.25">
      <c r="A1487" t="s">
        <v>1906</v>
      </c>
      <c r="B1487">
        <v>42</v>
      </c>
      <c r="C1487" t="s">
        <v>16</v>
      </c>
      <c r="D1487" t="s">
        <v>2555</v>
      </c>
      <c r="E1487" t="s">
        <v>55</v>
      </c>
      <c r="F1487" t="s">
        <v>100</v>
      </c>
      <c r="G1487" t="s">
        <v>785</v>
      </c>
      <c r="H1487" t="str">
        <f>TEXT(walmart[[#This Row],[Purchase_Date]],"DDD")</f>
        <v>Sat</v>
      </c>
      <c r="I1487" t="str">
        <f>TEXT(walmart[[#This Row],[Purchase_Date]],"MMM")</f>
        <v>Apr</v>
      </c>
      <c r="J1487" t="str">
        <f>TEXT(walmart[[#This Row],[Purchase_Date]],"YYY")</f>
        <v>2024</v>
      </c>
      <c r="K1487" s="3">
        <v>592.26</v>
      </c>
      <c r="L1487" t="str">
        <f t="shared" si="108"/>
        <v>10% off</v>
      </c>
      <c r="N1487" t="str">
        <f t="shared" si="109"/>
        <v>Yes</v>
      </c>
      <c r="O1487" t="s">
        <v>34</v>
      </c>
      <c r="P1487" s="3">
        <f t="shared" si="110"/>
        <v>592.26</v>
      </c>
      <c r="Q1487" t="s">
        <v>35</v>
      </c>
      <c r="R1487">
        <v>5</v>
      </c>
      <c r="S1487" t="str">
        <f t="shared" si="111"/>
        <v>Excellent</v>
      </c>
    </row>
    <row r="1488" spans="1:19" x14ac:dyDescent="0.25">
      <c r="A1488" t="s">
        <v>1907</v>
      </c>
      <c r="B1488">
        <v>43</v>
      </c>
      <c r="C1488" t="s">
        <v>29</v>
      </c>
      <c r="D1488" t="s">
        <v>2556</v>
      </c>
      <c r="E1488" t="s">
        <v>42</v>
      </c>
      <c r="F1488" t="s">
        <v>43</v>
      </c>
      <c r="G1488" t="s">
        <v>1239</v>
      </c>
      <c r="H1488" t="str">
        <f>TEXT(walmart[[#This Row],[Purchase_Date]],"DDD")</f>
        <v>Sun</v>
      </c>
      <c r="I1488" t="str">
        <f>TEXT(walmart[[#This Row],[Purchase_Date]],"MMM")</f>
        <v>Jan</v>
      </c>
      <c r="J1488" t="str">
        <f>TEXT(walmart[[#This Row],[Purchase_Date]],"YYY")</f>
        <v>2025</v>
      </c>
      <c r="K1488" s="3">
        <v>512.94000000000005</v>
      </c>
      <c r="L1488" t="str">
        <f t="shared" si="108"/>
        <v>10% off</v>
      </c>
      <c r="N1488" t="str">
        <f t="shared" si="109"/>
        <v>Yes</v>
      </c>
      <c r="O1488" t="s">
        <v>21</v>
      </c>
      <c r="P1488" s="3">
        <f t="shared" si="110"/>
        <v>512.94000000000005</v>
      </c>
      <c r="Q1488" t="s">
        <v>47</v>
      </c>
      <c r="R1488">
        <v>3</v>
      </c>
      <c r="S1488" t="str">
        <f t="shared" si="111"/>
        <v>Average</v>
      </c>
    </row>
    <row r="1489" spans="1:19" x14ac:dyDescent="0.25">
      <c r="A1489" t="s">
        <v>1908</v>
      </c>
      <c r="B1489">
        <v>32</v>
      </c>
      <c r="C1489" t="s">
        <v>29</v>
      </c>
      <c r="D1489" t="s">
        <v>2557</v>
      </c>
      <c r="E1489" t="s">
        <v>37</v>
      </c>
      <c r="F1489" t="s">
        <v>38</v>
      </c>
      <c r="G1489" t="s">
        <v>566</v>
      </c>
      <c r="H1489" t="str">
        <f>TEXT(walmart[[#This Row],[Purchase_Date]],"DDD")</f>
        <v>Wed</v>
      </c>
      <c r="I1489" t="str">
        <f>TEXT(walmart[[#This Row],[Purchase_Date]],"MMM")</f>
        <v>Oct</v>
      </c>
      <c r="J1489" t="str">
        <f>TEXT(walmart[[#This Row],[Purchase_Date]],"YYY")</f>
        <v>2024</v>
      </c>
      <c r="K1489" s="3">
        <v>211.46</v>
      </c>
      <c r="L1489" t="str">
        <f t="shared" si="108"/>
        <v>5% off</v>
      </c>
      <c r="N1489" t="str">
        <f t="shared" si="109"/>
        <v>Yes</v>
      </c>
      <c r="O1489" t="s">
        <v>21</v>
      </c>
      <c r="P1489" s="3">
        <f t="shared" si="110"/>
        <v>211.46</v>
      </c>
      <c r="Q1489" t="s">
        <v>47</v>
      </c>
      <c r="R1489">
        <v>5</v>
      </c>
      <c r="S1489" t="str">
        <f t="shared" si="111"/>
        <v>Excellent</v>
      </c>
    </row>
    <row r="1490" spans="1:19" x14ac:dyDescent="0.25">
      <c r="A1490" t="s">
        <v>1909</v>
      </c>
      <c r="B1490">
        <v>44</v>
      </c>
      <c r="C1490" t="s">
        <v>29</v>
      </c>
      <c r="D1490" t="s">
        <v>2558</v>
      </c>
      <c r="E1490" t="s">
        <v>42</v>
      </c>
      <c r="F1490" t="s">
        <v>103</v>
      </c>
      <c r="G1490" t="s">
        <v>1514</v>
      </c>
      <c r="H1490" t="str">
        <f>TEXT(walmart[[#This Row],[Purchase_Date]],"DDD")</f>
        <v>Thu</v>
      </c>
      <c r="I1490" t="str">
        <f>TEXT(walmart[[#This Row],[Purchase_Date]],"MMM")</f>
        <v>Aug</v>
      </c>
      <c r="J1490" t="str">
        <f>TEXT(walmart[[#This Row],[Purchase_Date]],"YYY")</f>
        <v>2024</v>
      </c>
      <c r="K1490" s="3">
        <v>315.56</v>
      </c>
      <c r="L1490" t="str">
        <f t="shared" si="108"/>
        <v>5% off</v>
      </c>
      <c r="N1490" t="str">
        <f t="shared" si="109"/>
        <v>Yes</v>
      </c>
      <c r="O1490" t="s">
        <v>21</v>
      </c>
      <c r="P1490" s="3">
        <f t="shared" si="110"/>
        <v>315.56</v>
      </c>
      <c r="Q1490" t="s">
        <v>27</v>
      </c>
      <c r="R1490">
        <v>1</v>
      </c>
      <c r="S1490" t="str">
        <f t="shared" si="111"/>
        <v>Very Poor</v>
      </c>
    </row>
    <row r="1491" spans="1:19" x14ac:dyDescent="0.25">
      <c r="A1491" t="s">
        <v>1910</v>
      </c>
      <c r="B1491">
        <v>19</v>
      </c>
      <c r="C1491" t="s">
        <v>29</v>
      </c>
      <c r="D1491" t="s">
        <v>2559</v>
      </c>
      <c r="E1491" t="s">
        <v>18</v>
      </c>
      <c r="F1491" t="s">
        <v>77</v>
      </c>
      <c r="G1491" t="s">
        <v>95</v>
      </c>
      <c r="H1491" t="str">
        <f>TEXT(walmart[[#This Row],[Purchase_Date]],"DDD")</f>
        <v>Wed</v>
      </c>
      <c r="I1491" t="str">
        <f>TEXT(walmart[[#This Row],[Purchase_Date]],"MMM")</f>
        <v>Dec</v>
      </c>
      <c r="J1491" t="str">
        <f>TEXT(walmart[[#This Row],[Purchase_Date]],"YYY")</f>
        <v>2024</v>
      </c>
      <c r="K1491" s="3">
        <v>116.78</v>
      </c>
      <c r="L1491" t="str">
        <f t="shared" si="108"/>
        <v>0% off</v>
      </c>
      <c r="N1491" t="str">
        <f t="shared" si="109"/>
        <v>No</v>
      </c>
      <c r="O1491" t="s">
        <v>34</v>
      </c>
      <c r="P1491" s="3">
        <f t="shared" si="110"/>
        <v>116.78</v>
      </c>
      <c r="Q1491" t="s">
        <v>47</v>
      </c>
      <c r="R1491">
        <v>1</v>
      </c>
      <c r="S1491" t="str">
        <f t="shared" si="111"/>
        <v>Very Poor</v>
      </c>
    </row>
    <row r="1492" spans="1:19" x14ac:dyDescent="0.25">
      <c r="A1492" t="s">
        <v>1911</v>
      </c>
      <c r="B1492">
        <v>66</v>
      </c>
      <c r="C1492" t="s">
        <v>16</v>
      </c>
      <c r="D1492" t="s">
        <v>2560</v>
      </c>
      <c r="E1492" t="s">
        <v>31</v>
      </c>
      <c r="F1492" t="s">
        <v>112</v>
      </c>
      <c r="G1492" t="s">
        <v>176</v>
      </c>
      <c r="H1492" t="str">
        <f>TEXT(walmart[[#This Row],[Purchase_Date]],"DDD")</f>
        <v>Sat</v>
      </c>
      <c r="I1492" t="str">
        <f>TEXT(walmart[[#This Row],[Purchase_Date]],"MMM")</f>
        <v>Oct</v>
      </c>
      <c r="J1492" t="str">
        <f>TEXT(walmart[[#This Row],[Purchase_Date]],"YYY")</f>
        <v>2024</v>
      </c>
      <c r="K1492" s="3">
        <v>492.1</v>
      </c>
      <c r="L1492" t="str">
        <f t="shared" si="108"/>
        <v>5% off</v>
      </c>
      <c r="N1492" t="str">
        <f t="shared" si="109"/>
        <v>Yes</v>
      </c>
      <c r="O1492" t="s">
        <v>21</v>
      </c>
      <c r="P1492" s="3">
        <f t="shared" si="110"/>
        <v>492.1</v>
      </c>
      <c r="Q1492" t="s">
        <v>22</v>
      </c>
      <c r="R1492">
        <v>4</v>
      </c>
      <c r="S1492" t="str">
        <f t="shared" si="111"/>
        <v>Good</v>
      </c>
    </row>
    <row r="1493" spans="1:19" x14ac:dyDescent="0.25">
      <c r="A1493" t="s">
        <v>1912</v>
      </c>
      <c r="B1493">
        <v>34</v>
      </c>
      <c r="C1493" t="s">
        <v>29</v>
      </c>
      <c r="D1493" t="s">
        <v>2561</v>
      </c>
      <c r="E1493" t="s">
        <v>37</v>
      </c>
      <c r="F1493" t="s">
        <v>97</v>
      </c>
      <c r="G1493" t="s">
        <v>197</v>
      </c>
      <c r="H1493" t="str">
        <f>TEXT(walmart[[#This Row],[Purchase_Date]],"DDD")</f>
        <v>Wed</v>
      </c>
      <c r="I1493" t="str">
        <f>TEXT(walmart[[#This Row],[Purchase_Date]],"MMM")</f>
        <v>Feb</v>
      </c>
      <c r="J1493" t="str">
        <f>TEXT(walmart[[#This Row],[Purchase_Date]],"YYY")</f>
        <v>2025</v>
      </c>
      <c r="K1493" s="3">
        <v>855.21</v>
      </c>
      <c r="L1493" t="str">
        <f t="shared" si="108"/>
        <v>15% off</v>
      </c>
      <c r="N1493" t="str">
        <f t="shared" si="109"/>
        <v>Yes</v>
      </c>
      <c r="O1493" t="s">
        <v>34</v>
      </c>
      <c r="P1493" s="3">
        <f t="shared" si="110"/>
        <v>855.21</v>
      </c>
      <c r="Q1493" t="s">
        <v>22</v>
      </c>
      <c r="R1493">
        <v>5</v>
      </c>
      <c r="S1493" t="str">
        <f t="shared" si="111"/>
        <v>Excellent</v>
      </c>
    </row>
    <row r="1494" spans="1:19" x14ac:dyDescent="0.25">
      <c r="A1494" t="s">
        <v>1913</v>
      </c>
      <c r="B1494">
        <v>60</v>
      </c>
      <c r="C1494" t="s">
        <v>16</v>
      </c>
      <c r="D1494" t="s">
        <v>2501</v>
      </c>
      <c r="E1494" t="s">
        <v>73</v>
      </c>
      <c r="F1494" t="s">
        <v>138</v>
      </c>
      <c r="G1494" t="s">
        <v>89</v>
      </c>
      <c r="H1494" t="str">
        <f>TEXT(walmart[[#This Row],[Purchase_Date]],"DDD")</f>
        <v>Wed</v>
      </c>
      <c r="I1494" t="str">
        <f>TEXT(walmart[[#This Row],[Purchase_Date]],"MMM")</f>
        <v>Jun</v>
      </c>
      <c r="J1494" t="str">
        <f>TEXT(walmart[[#This Row],[Purchase_Date]],"YYY")</f>
        <v>2024</v>
      </c>
      <c r="K1494" s="3">
        <v>461.81</v>
      </c>
      <c r="L1494" t="str">
        <f t="shared" si="108"/>
        <v>5% off</v>
      </c>
      <c r="N1494" t="str">
        <f t="shared" si="109"/>
        <v>Yes</v>
      </c>
      <c r="O1494" t="s">
        <v>21</v>
      </c>
      <c r="P1494" s="3">
        <f t="shared" si="110"/>
        <v>461.81</v>
      </c>
      <c r="Q1494" t="s">
        <v>47</v>
      </c>
      <c r="R1494">
        <v>4</v>
      </c>
      <c r="S1494" t="str">
        <f t="shared" si="111"/>
        <v>Good</v>
      </c>
    </row>
    <row r="1495" spans="1:19" x14ac:dyDescent="0.25">
      <c r="A1495" t="s">
        <v>1914</v>
      </c>
      <c r="B1495">
        <v>63</v>
      </c>
      <c r="C1495" t="s">
        <v>29</v>
      </c>
      <c r="D1495" t="s">
        <v>2504</v>
      </c>
      <c r="E1495" t="s">
        <v>18</v>
      </c>
      <c r="F1495" t="s">
        <v>142</v>
      </c>
      <c r="G1495" t="s">
        <v>344</v>
      </c>
      <c r="H1495" t="str">
        <f>TEXT(walmart[[#This Row],[Purchase_Date]],"DDD")</f>
        <v>Fri</v>
      </c>
      <c r="I1495" t="str">
        <f>TEXT(walmart[[#This Row],[Purchase_Date]],"MMM")</f>
        <v>Oct</v>
      </c>
      <c r="J1495" t="str">
        <f>TEXT(walmart[[#This Row],[Purchase_Date]],"YYY")</f>
        <v>2024</v>
      </c>
      <c r="K1495" s="3">
        <v>485.26</v>
      </c>
      <c r="L1495" t="str">
        <f t="shared" si="108"/>
        <v>5% off</v>
      </c>
      <c r="N1495" t="str">
        <f t="shared" si="109"/>
        <v>Yes</v>
      </c>
      <c r="O1495" t="s">
        <v>21</v>
      </c>
      <c r="P1495" s="3">
        <f t="shared" si="110"/>
        <v>485.26</v>
      </c>
      <c r="Q1495" t="s">
        <v>27</v>
      </c>
      <c r="R1495">
        <v>2</v>
      </c>
      <c r="S1495" t="str">
        <f t="shared" si="111"/>
        <v>Poor</v>
      </c>
    </row>
    <row r="1496" spans="1:19" x14ac:dyDescent="0.25">
      <c r="A1496" t="s">
        <v>1915</v>
      </c>
      <c r="B1496">
        <v>55</v>
      </c>
      <c r="C1496" t="s">
        <v>16</v>
      </c>
      <c r="D1496" t="s">
        <v>2505</v>
      </c>
      <c r="E1496" t="s">
        <v>31</v>
      </c>
      <c r="F1496" t="s">
        <v>300</v>
      </c>
      <c r="G1496" t="s">
        <v>199</v>
      </c>
      <c r="H1496" t="str">
        <f>TEXT(walmart[[#This Row],[Purchase_Date]],"DDD")</f>
        <v>Sun</v>
      </c>
      <c r="I1496" t="str">
        <f>TEXT(walmart[[#This Row],[Purchase_Date]],"MMM")</f>
        <v>May</v>
      </c>
      <c r="J1496" t="str">
        <f>TEXT(walmart[[#This Row],[Purchase_Date]],"YYY")</f>
        <v>2024</v>
      </c>
      <c r="K1496" s="3">
        <v>340.04</v>
      </c>
      <c r="L1496" t="str">
        <f t="shared" si="108"/>
        <v>5% off</v>
      </c>
      <c r="N1496" t="str">
        <f t="shared" si="109"/>
        <v>Yes</v>
      </c>
      <c r="O1496" t="s">
        <v>21</v>
      </c>
      <c r="P1496" s="3">
        <f t="shared" si="110"/>
        <v>340.04</v>
      </c>
      <c r="Q1496" t="s">
        <v>35</v>
      </c>
      <c r="R1496">
        <v>1</v>
      </c>
      <c r="S1496" t="str">
        <f t="shared" si="111"/>
        <v>Very Poor</v>
      </c>
    </row>
    <row r="1497" spans="1:19" x14ac:dyDescent="0.25">
      <c r="A1497" t="s">
        <v>1916</v>
      </c>
      <c r="B1497">
        <v>69</v>
      </c>
      <c r="C1497" t="s">
        <v>29</v>
      </c>
      <c r="D1497" t="s">
        <v>2562</v>
      </c>
      <c r="E1497" t="s">
        <v>42</v>
      </c>
      <c r="F1497" t="s">
        <v>120</v>
      </c>
      <c r="G1497" t="s">
        <v>1043</v>
      </c>
      <c r="H1497" t="str">
        <f>TEXT(walmart[[#This Row],[Purchase_Date]],"DDD")</f>
        <v>Sun</v>
      </c>
      <c r="I1497" t="str">
        <f>TEXT(walmart[[#This Row],[Purchase_Date]],"MMM")</f>
        <v>Sep</v>
      </c>
      <c r="J1497" t="str">
        <f>TEXT(walmart[[#This Row],[Purchase_Date]],"YYY")</f>
        <v>2024</v>
      </c>
      <c r="K1497" s="3">
        <v>260.77999999999997</v>
      </c>
      <c r="L1497" t="str">
        <f t="shared" si="108"/>
        <v>5% off</v>
      </c>
      <c r="N1497" t="str">
        <f t="shared" si="109"/>
        <v>Yes</v>
      </c>
      <c r="O1497" t="s">
        <v>34</v>
      </c>
      <c r="P1497" s="3">
        <f t="shared" si="110"/>
        <v>260.77999999999997</v>
      </c>
      <c r="Q1497" t="s">
        <v>35</v>
      </c>
      <c r="R1497">
        <v>4</v>
      </c>
      <c r="S1497" t="str">
        <f t="shared" si="111"/>
        <v>Good</v>
      </c>
    </row>
    <row r="1498" spans="1:19" x14ac:dyDescent="0.25">
      <c r="A1498" t="s">
        <v>1917</v>
      </c>
      <c r="B1498">
        <v>70</v>
      </c>
      <c r="C1498" t="s">
        <v>29</v>
      </c>
      <c r="D1498" t="s">
        <v>2563</v>
      </c>
      <c r="E1498" t="s">
        <v>73</v>
      </c>
      <c r="F1498" t="s">
        <v>91</v>
      </c>
      <c r="G1498" t="s">
        <v>1021</v>
      </c>
      <c r="H1498" t="str">
        <f>TEXT(walmart[[#This Row],[Purchase_Date]],"DDD")</f>
        <v>Wed</v>
      </c>
      <c r="I1498" t="str">
        <f>TEXT(walmart[[#This Row],[Purchase_Date]],"MMM")</f>
        <v>Apr</v>
      </c>
      <c r="J1498" t="str">
        <f>TEXT(walmart[[#This Row],[Purchase_Date]],"YYY")</f>
        <v>2024</v>
      </c>
      <c r="K1498" s="3">
        <v>418.55</v>
      </c>
      <c r="L1498" t="str">
        <f t="shared" si="108"/>
        <v>5% off</v>
      </c>
      <c r="N1498" t="str">
        <f t="shared" si="109"/>
        <v>Yes</v>
      </c>
      <c r="O1498" t="s">
        <v>21</v>
      </c>
      <c r="P1498" s="3">
        <f t="shared" si="110"/>
        <v>418.55</v>
      </c>
      <c r="Q1498" t="s">
        <v>35</v>
      </c>
      <c r="R1498">
        <v>1</v>
      </c>
      <c r="S1498" t="str">
        <f t="shared" si="111"/>
        <v>Very Poor</v>
      </c>
    </row>
    <row r="1499" spans="1:19" x14ac:dyDescent="0.25">
      <c r="A1499" t="s">
        <v>1918</v>
      </c>
      <c r="B1499">
        <v>69</v>
      </c>
      <c r="C1499" t="s">
        <v>16</v>
      </c>
      <c r="D1499" t="s">
        <v>2564</v>
      </c>
      <c r="E1499" t="s">
        <v>24</v>
      </c>
      <c r="F1499" t="s">
        <v>186</v>
      </c>
      <c r="G1499" t="s">
        <v>694</v>
      </c>
      <c r="H1499" t="str">
        <f>TEXT(walmart[[#This Row],[Purchase_Date]],"DDD")</f>
        <v>Thu</v>
      </c>
      <c r="I1499" t="str">
        <f>TEXT(walmart[[#This Row],[Purchase_Date]],"MMM")</f>
        <v>Dec</v>
      </c>
      <c r="J1499" t="str">
        <f>TEXT(walmart[[#This Row],[Purchase_Date]],"YYY")</f>
        <v>2024</v>
      </c>
      <c r="K1499" s="3">
        <v>527.16999999999996</v>
      </c>
      <c r="L1499" t="str">
        <f t="shared" si="108"/>
        <v>10% off</v>
      </c>
      <c r="N1499" t="str">
        <f t="shared" si="109"/>
        <v>Yes</v>
      </c>
      <c r="O1499" t="s">
        <v>34</v>
      </c>
      <c r="P1499" s="3">
        <f t="shared" si="110"/>
        <v>527.16999999999996</v>
      </c>
      <c r="Q1499" t="s">
        <v>35</v>
      </c>
      <c r="R1499">
        <v>4</v>
      </c>
      <c r="S1499" t="str">
        <f t="shared" si="111"/>
        <v>Good</v>
      </c>
    </row>
    <row r="1500" spans="1:19" x14ac:dyDescent="0.25">
      <c r="A1500" t="s">
        <v>1919</v>
      </c>
      <c r="B1500">
        <v>32</v>
      </c>
      <c r="C1500" t="s">
        <v>29</v>
      </c>
      <c r="D1500" t="s">
        <v>2565</v>
      </c>
      <c r="E1500" t="s">
        <v>24</v>
      </c>
      <c r="F1500" t="s">
        <v>25</v>
      </c>
      <c r="G1500" t="s">
        <v>207</v>
      </c>
      <c r="H1500" t="str">
        <f>TEXT(walmart[[#This Row],[Purchase_Date]],"DDD")</f>
        <v>Wed</v>
      </c>
      <c r="I1500" t="str">
        <f>TEXT(walmart[[#This Row],[Purchase_Date]],"MMM")</f>
        <v>Aug</v>
      </c>
      <c r="J1500" t="str">
        <f>TEXT(walmart[[#This Row],[Purchase_Date]],"YYY")</f>
        <v>2024</v>
      </c>
      <c r="K1500" s="3">
        <v>67.040000000000006</v>
      </c>
      <c r="L1500" t="str">
        <f t="shared" si="108"/>
        <v>0% off</v>
      </c>
      <c r="N1500" t="str">
        <f t="shared" si="109"/>
        <v>No</v>
      </c>
      <c r="O1500" t="s">
        <v>34</v>
      </c>
      <c r="P1500" s="3">
        <f t="shared" si="110"/>
        <v>67.040000000000006</v>
      </c>
      <c r="Q1500" t="s">
        <v>27</v>
      </c>
      <c r="R1500">
        <v>3</v>
      </c>
      <c r="S1500" t="str">
        <f t="shared" si="111"/>
        <v>Average</v>
      </c>
    </row>
    <row r="1501" spans="1:19" x14ac:dyDescent="0.25">
      <c r="A1501" t="s">
        <v>1920</v>
      </c>
      <c r="B1501">
        <v>21</v>
      </c>
      <c r="C1501" t="s">
        <v>29</v>
      </c>
      <c r="D1501" t="s">
        <v>2566</v>
      </c>
      <c r="E1501" t="s">
        <v>42</v>
      </c>
      <c r="F1501" t="s">
        <v>43</v>
      </c>
      <c r="G1501" t="s">
        <v>44</v>
      </c>
      <c r="H1501" t="str">
        <f>TEXT(walmart[[#This Row],[Purchase_Date]],"DDD")</f>
        <v>Fri</v>
      </c>
      <c r="I1501" t="str">
        <f>TEXT(walmart[[#This Row],[Purchase_Date]],"MMM")</f>
        <v>Aug</v>
      </c>
      <c r="J1501" t="str">
        <f>TEXT(walmart[[#This Row],[Purchase_Date]],"YYY")</f>
        <v>2024</v>
      </c>
      <c r="K1501" s="3">
        <v>512.94000000000005</v>
      </c>
      <c r="L1501" t="str">
        <f t="shared" si="108"/>
        <v>10% off</v>
      </c>
      <c r="N1501" t="str">
        <f t="shared" si="109"/>
        <v>Yes</v>
      </c>
      <c r="O1501" t="s">
        <v>34</v>
      </c>
      <c r="P1501" s="3">
        <f t="shared" si="110"/>
        <v>512.94000000000005</v>
      </c>
      <c r="Q1501" t="s">
        <v>47</v>
      </c>
      <c r="R1501">
        <v>2</v>
      </c>
      <c r="S1501" t="str">
        <f t="shared" si="111"/>
        <v>Poor</v>
      </c>
    </row>
    <row r="1502" spans="1:19" x14ac:dyDescent="0.25">
      <c r="A1502" t="s">
        <v>1921</v>
      </c>
      <c r="B1502">
        <v>55</v>
      </c>
      <c r="C1502" t="s">
        <v>29</v>
      </c>
      <c r="D1502" t="s">
        <v>2433</v>
      </c>
      <c r="E1502" t="s">
        <v>73</v>
      </c>
      <c r="F1502" t="s">
        <v>94</v>
      </c>
      <c r="G1502" t="s">
        <v>361</v>
      </c>
      <c r="H1502" t="str">
        <f>TEXT(walmart[[#This Row],[Purchase_Date]],"DDD")</f>
        <v>Sat</v>
      </c>
      <c r="I1502" t="str">
        <f>TEXT(walmart[[#This Row],[Purchase_Date]],"MMM")</f>
        <v>Jul</v>
      </c>
      <c r="J1502" t="str">
        <f>TEXT(walmart[[#This Row],[Purchase_Date]],"YYY")</f>
        <v>2024</v>
      </c>
      <c r="K1502" s="3">
        <v>965.09</v>
      </c>
      <c r="L1502" t="str">
        <f t="shared" si="108"/>
        <v>20% off</v>
      </c>
      <c r="N1502" t="str">
        <f t="shared" si="109"/>
        <v>Yes</v>
      </c>
      <c r="O1502" t="s">
        <v>21</v>
      </c>
      <c r="P1502" s="3">
        <f t="shared" si="110"/>
        <v>965.09</v>
      </c>
      <c r="Q1502" t="s">
        <v>27</v>
      </c>
      <c r="R1502">
        <v>3</v>
      </c>
      <c r="S1502" t="str">
        <f t="shared" si="111"/>
        <v>Average</v>
      </c>
    </row>
    <row r="1503" spans="1:19" x14ac:dyDescent="0.25">
      <c r="A1503" t="s">
        <v>1922</v>
      </c>
      <c r="B1503">
        <v>48</v>
      </c>
      <c r="C1503" t="s">
        <v>29</v>
      </c>
      <c r="D1503" t="s">
        <v>49</v>
      </c>
      <c r="E1503" t="s">
        <v>24</v>
      </c>
      <c r="F1503" t="s">
        <v>25</v>
      </c>
      <c r="G1503" t="s">
        <v>805</v>
      </c>
      <c r="H1503" t="str">
        <f>TEXT(walmart[[#This Row],[Purchase_Date]],"DDD")</f>
        <v>Thu</v>
      </c>
      <c r="I1503" t="str">
        <f>TEXT(walmart[[#This Row],[Purchase_Date]],"MMM")</f>
        <v>Apr</v>
      </c>
      <c r="J1503" t="str">
        <f>TEXT(walmart[[#This Row],[Purchase_Date]],"YYY")</f>
        <v>2024</v>
      </c>
      <c r="K1503" s="3">
        <v>67.040000000000006</v>
      </c>
      <c r="L1503" t="str">
        <f t="shared" si="108"/>
        <v>0% off</v>
      </c>
      <c r="N1503" t="str">
        <f t="shared" si="109"/>
        <v>No</v>
      </c>
      <c r="O1503" t="s">
        <v>21</v>
      </c>
      <c r="P1503" s="3">
        <f t="shared" si="110"/>
        <v>67.040000000000006</v>
      </c>
      <c r="Q1503" t="s">
        <v>35</v>
      </c>
      <c r="R1503">
        <v>2</v>
      </c>
      <c r="S1503" t="str">
        <f t="shared" si="111"/>
        <v>Poor</v>
      </c>
    </row>
    <row r="1504" spans="1:19" x14ac:dyDescent="0.25">
      <c r="A1504" t="s">
        <v>1923</v>
      </c>
      <c r="B1504">
        <v>44</v>
      </c>
      <c r="C1504" t="s">
        <v>16</v>
      </c>
      <c r="D1504" t="s">
        <v>30</v>
      </c>
      <c r="E1504" t="s">
        <v>73</v>
      </c>
      <c r="F1504" t="s">
        <v>94</v>
      </c>
      <c r="G1504" t="s">
        <v>434</v>
      </c>
      <c r="H1504" t="str">
        <f>TEXT(walmart[[#This Row],[Purchase_Date]],"DDD")</f>
        <v>Sat</v>
      </c>
      <c r="I1504" t="str">
        <f>TEXT(walmart[[#This Row],[Purchase_Date]],"MMM")</f>
        <v>Apr</v>
      </c>
      <c r="J1504" t="str">
        <f>TEXT(walmart[[#This Row],[Purchase_Date]],"YYY")</f>
        <v>2024</v>
      </c>
      <c r="K1504" s="3">
        <v>965.09</v>
      </c>
      <c r="L1504" t="str">
        <f t="shared" si="108"/>
        <v>20% off</v>
      </c>
      <c r="N1504" t="str">
        <f t="shared" si="109"/>
        <v>Yes</v>
      </c>
      <c r="O1504" t="s">
        <v>21</v>
      </c>
      <c r="P1504" s="3">
        <f t="shared" si="110"/>
        <v>965.09</v>
      </c>
      <c r="Q1504" t="s">
        <v>27</v>
      </c>
      <c r="R1504">
        <v>3</v>
      </c>
      <c r="S1504" t="str">
        <f t="shared" si="111"/>
        <v>Average</v>
      </c>
    </row>
    <row r="1505" spans="1:19" x14ac:dyDescent="0.25">
      <c r="A1505" t="s">
        <v>1924</v>
      </c>
      <c r="B1505">
        <v>42</v>
      </c>
      <c r="C1505" t="s">
        <v>29</v>
      </c>
      <c r="D1505" t="s">
        <v>41</v>
      </c>
      <c r="E1505" t="s">
        <v>37</v>
      </c>
      <c r="F1505" t="s">
        <v>38</v>
      </c>
      <c r="G1505" t="s">
        <v>538</v>
      </c>
      <c r="H1505" t="str">
        <f>TEXT(walmart[[#This Row],[Purchase_Date]],"DDD")</f>
        <v>Mon</v>
      </c>
      <c r="I1505" t="str">
        <f>TEXT(walmart[[#This Row],[Purchase_Date]],"MMM")</f>
        <v>May</v>
      </c>
      <c r="J1505" t="str">
        <f>TEXT(walmart[[#This Row],[Purchase_Date]],"YYY")</f>
        <v>2024</v>
      </c>
      <c r="K1505" s="3">
        <v>211.46</v>
      </c>
      <c r="L1505" t="str">
        <f t="shared" si="108"/>
        <v>5% off</v>
      </c>
      <c r="N1505" t="str">
        <f t="shared" si="109"/>
        <v>Yes</v>
      </c>
      <c r="O1505" t="s">
        <v>34</v>
      </c>
      <c r="P1505" s="3">
        <f t="shared" si="110"/>
        <v>211.46</v>
      </c>
      <c r="Q1505" t="s">
        <v>35</v>
      </c>
      <c r="R1505">
        <v>1</v>
      </c>
      <c r="S1505" t="str">
        <f t="shared" si="111"/>
        <v>Very Poor</v>
      </c>
    </row>
    <row r="1506" spans="1:19" x14ac:dyDescent="0.25">
      <c r="A1506" t="s">
        <v>1925</v>
      </c>
      <c r="B1506">
        <v>28</v>
      </c>
      <c r="C1506" t="s">
        <v>29</v>
      </c>
      <c r="D1506" t="s">
        <v>2434</v>
      </c>
      <c r="E1506" t="s">
        <v>18</v>
      </c>
      <c r="F1506" t="s">
        <v>59</v>
      </c>
      <c r="G1506" t="s">
        <v>378</v>
      </c>
      <c r="H1506" t="str">
        <f>TEXT(walmart[[#This Row],[Purchase_Date]],"DDD")</f>
        <v>Sat</v>
      </c>
      <c r="I1506" t="str">
        <f>TEXT(walmart[[#This Row],[Purchase_Date]],"MMM")</f>
        <v>Jun</v>
      </c>
      <c r="J1506" t="str">
        <f>TEXT(walmart[[#This Row],[Purchase_Date]],"YYY")</f>
        <v>2024</v>
      </c>
      <c r="K1506" s="3">
        <v>78.349999999999994</v>
      </c>
      <c r="L1506" t="str">
        <f t="shared" si="108"/>
        <v>0% off</v>
      </c>
      <c r="N1506" t="str">
        <f t="shared" si="109"/>
        <v>No</v>
      </c>
      <c r="O1506" t="s">
        <v>34</v>
      </c>
      <c r="P1506" s="3">
        <f t="shared" si="110"/>
        <v>78.349999999999994</v>
      </c>
      <c r="Q1506" t="s">
        <v>47</v>
      </c>
      <c r="R1506">
        <v>5</v>
      </c>
      <c r="S1506" t="str">
        <f t="shared" si="111"/>
        <v>Excellent</v>
      </c>
    </row>
    <row r="1507" spans="1:19" x14ac:dyDescent="0.25">
      <c r="A1507" t="s">
        <v>1926</v>
      </c>
      <c r="B1507">
        <v>31</v>
      </c>
      <c r="C1507" t="s">
        <v>16</v>
      </c>
      <c r="D1507" t="s">
        <v>2435</v>
      </c>
      <c r="E1507" t="s">
        <v>24</v>
      </c>
      <c r="F1507" t="s">
        <v>162</v>
      </c>
      <c r="G1507" t="s">
        <v>909</v>
      </c>
      <c r="H1507" t="str">
        <f>TEXT(walmart[[#This Row],[Purchase_Date]],"DDD")</f>
        <v>Mon</v>
      </c>
      <c r="I1507" t="str">
        <f>TEXT(walmart[[#This Row],[Purchase_Date]],"MMM")</f>
        <v>Jan</v>
      </c>
      <c r="J1507" t="str">
        <f>TEXT(walmart[[#This Row],[Purchase_Date]],"YYY")</f>
        <v>2025</v>
      </c>
      <c r="K1507" s="3">
        <v>362.55</v>
      </c>
      <c r="L1507" t="str">
        <f t="shared" si="108"/>
        <v>5% off</v>
      </c>
      <c r="N1507" t="str">
        <f t="shared" si="109"/>
        <v>Yes</v>
      </c>
      <c r="O1507" t="s">
        <v>21</v>
      </c>
      <c r="P1507" s="3">
        <f t="shared" si="110"/>
        <v>362.55</v>
      </c>
      <c r="Q1507" t="s">
        <v>35</v>
      </c>
      <c r="R1507">
        <v>1</v>
      </c>
      <c r="S1507" t="str">
        <f t="shared" si="111"/>
        <v>Very Poor</v>
      </c>
    </row>
    <row r="1508" spans="1:19" x14ac:dyDescent="0.25">
      <c r="A1508" t="s">
        <v>1927</v>
      </c>
      <c r="B1508">
        <v>28</v>
      </c>
      <c r="C1508" t="s">
        <v>16</v>
      </c>
      <c r="D1508" t="s">
        <v>2436</v>
      </c>
      <c r="E1508" t="s">
        <v>18</v>
      </c>
      <c r="F1508" t="s">
        <v>77</v>
      </c>
      <c r="G1508" t="s">
        <v>371</v>
      </c>
      <c r="H1508" t="str">
        <f>TEXT(walmart[[#This Row],[Purchase_Date]],"DDD")</f>
        <v>Mon</v>
      </c>
      <c r="I1508" t="str">
        <f>TEXT(walmart[[#This Row],[Purchase_Date]],"MMM")</f>
        <v>Jul</v>
      </c>
      <c r="J1508" t="str">
        <f>TEXT(walmart[[#This Row],[Purchase_Date]],"YYY")</f>
        <v>2024</v>
      </c>
      <c r="K1508" s="3">
        <v>116.78</v>
      </c>
      <c r="L1508" t="str">
        <f t="shared" si="108"/>
        <v>0% off</v>
      </c>
      <c r="N1508" t="str">
        <f t="shared" si="109"/>
        <v>No</v>
      </c>
      <c r="O1508" t="s">
        <v>21</v>
      </c>
      <c r="P1508" s="3">
        <f t="shared" si="110"/>
        <v>116.78</v>
      </c>
      <c r="Q1508" t="s">
        <v>47</v>
      </c>
      <c r="R1508">
        <v>5</v>
      </c>
      <c r="S1508" t="str">
        <f t="shared" si="111"/>
        <v>Excellent</v>
      </c>
    </row>
    <row r="1509" spans="1:19" x14ac:dyDescent="0.25">
      <c r="A1509" t="s">
        <v>1928</v>
      </c>
      <c r="B1509">
        <v>19</v>
      </c>
      <c r="C1509" t="s">
        <v>16</v>
      </c>
      <c r="D1509" t="s">
        <v>2437</v>
      </c>
      <c r="E1509" t="s">
        <v>55</v>
      </c>
      <c r="F1509" t="s">
        <v>67</v>
      </c>
      <c r="G1509" t="s">
        <v>167</v>
      </c>
      <c r="H1509" t="str">
        <f>TEXT(walmart[[#This Row],[Purchase_Date]],"DDD")</f>
        <v>Mon</v>
      </c>
      <c r="I1509" t="str">
        <f>TEXT(walmart[[#This Row],[Purchase_Date]],"MMM")</f>
        <v>Jan</v>
      </c>
      <c r="J1509" t="str">
        <f>TEXT(walmart[[#This Row],[Purchase_Date]],"YYY")</f>
        <v>2025</v>
      </c>
      <c r="K1509" s="3">
        <v>452.97</v>
      </c>
      <c r="L1509" t="str">
        <f t="shared" si="108"/>
        <v>5% off</v>
      </c>
      <c r="N1509" t="str">
        <f t="shared" si="109"/>
        <v>Yes</v>
      </c>
      <c r="O1509" t="s">
        <v>21</v>
      </c>
      <c r="P1509" s="3">
        <f t="shared" si="110"/>
        <v>452.97</v>
      </c>
      <c r="Q1509" t="s">
        <v>22</v>
      </c>
      <c r="R1509">
        <v>1</v>
      </c>
      <c r="S1509" t="str">
        <f t="shared" si="111"/>
        <v>Very Poor</v>
      </c>
    </row>
    <row r="1510" spans="1:19" x14ac:dyDescent="0.25">
      <c r="A1510" t="s">
        <v>1929</v>
      </c>
      <c r="B1510">
        <v>33</v>
      </c>
      <c r="C1510" t="s">
        <v>16</v>
      </c>
      <c r="D1510" t="s">
        <v>2438</v>
      </c>
      <c r="E1510" t="s">
        <v>18</v>
      </c>
      <c r="F1510" t="s">
        <v>19</v>
      </c>
      <c r="G1510" t="s">
        <v>101</v>
      </c>
      <c r="H1510" t="str">
        <f>TEXT(walmart[[#This Row],[Purchase_Date]],"DDD")</f>
        <v>Mon</v>
      </c>
      <c r="I1510" t="str">
        <f>TEXT(walmart[[#This Row],[Purchase_Date]],"MMM")</f>
        <v>Feb</v>
      </c>
      <c r="J1510" t="str">
        <f>TEXT(walmart[[#This Row],[Purchase_Date]],"YYY")</f>
        <v>2025</v>
      </c>
      <c r="K1510" s="3">
        <v>697.86</v>
      </c>
      <c r="L1510" t="str">
        <f t="shared" si="108"/>
        <v>10% off</v>
      </c>
      <c r="N1510" t="str">
        <f t="shared" si="109"/>
        <v>Yes</v>
      </c>
      <c r="O1510" t="s">
        <v>21</v>
      </c>
      <c r="P1510" s="3">
        <f t="shared" si="110"/>
        <v>697.86</v>
      </c>
      <c r="Q1510" t="s">
        <v>47</v>
      </c>
      <c r="R1510">
        <v>4</v>
      </c>
      <c r="S1510" t="str">
        <f t="shared" si="111"/>
        <v>Good</v>
      </c>
    </row>
    <row r="1511" spans="1:19" x14ac:dyDescent="0.25">
      <c r="A1511" t="s">
        <v>1930</v>
      </c>
      <c r="B1511">
        <v>31</v>
      </c>
      <c r="C1511" t="s">
        <v>16</v>
      </c>
      <c r="D1511" t="s">
        <v>2439</v>
      </c>
      <c r="E1511" t="s">
        <v>37</v>
      </c>
      <c r="F1511" t="s">
        <v>117</v>
      </c>
      <c r="G1511" t="s">
        <v>397</v>
      </c>
      <c r="H1511" t="str">
        <f>TEXT(walmart[[#This Row],[Purchase_Date]],"DDD")</f>
        <v>Wed</v>
      </c>
      <c r="I1511" t="str">
        <f>TEXT(walmart[[#This Row],[Purchase_Date]],"MMM")</f>
        <v>May</v>
      </c>
      <c r="J1511" t="str">
        <f>TEXT(walmart[[#This Row],[Purchase_Date]],"YYY")</f>
        <v>2024</v>
      </c>
      <c r="K1511" s="3">
        <v>165.68</v>
      </c>
      <c r="L1511" t="str">
        <f t="shared" si="108"/>
        <v>5% off</v>
      </c>
      <c r="N1511" t="str">
        <f t="shared" si="109"/>
        <v>Yes</v>
      </c>
      <c r="O1511" t="s">
        <v>34</v>
      </c>
      <c r="P1511" s="3">
        <f t="shared" si="110"/>
        <v>165.68</v>
      </c>
      <c r="Q1511" t="s">
        <v>35</v>
      </c>
      <c r="R1511">
        <v>2</v>
      </c>
      <c r="S1511" t="str">
        <f t="shared" si="111"/>
        <v>Poor</v>
      </c>
    </row>
    <row r="1512" spans="1:19" x14ac:dyDescent="0.25">
      <c r="A1512" t="s">
        <v>1931</v>
      </c>
      <c r="B1512">
        <v>52</v>
      </c>
      <c r="C1512" t="s">
        <v>16</v>
      </c>
      <c r="D1512" t="s">
        <v>2440</v>
      </c>
      <c r="E1512" t="s">
        <v>73</v>
      </c>
      <c r="F1512" t="s">
        <v>94</v>
      </c>
      <c r="G1512" t="s">
        <v>272</v>
      </c>
      <c r="H1512" t="str">
        <f>TEXT(walmart[[#This Row],[Purchase_Date]],"DDD")</f>
        <v>Mon</v>
      </c>
      <c r="I1512" t="str">
        <f>TEXT(walmart[[#This Row],[Purchase_Date]],"MMM")</f>
        <v>Jan</v>
      </c>
      <c r="J1512" t="str">
        <f>TEXT(walmart[[#This Row],[Purchase_Date]],"YYY")</f>
        <v>2025</v>
      </c>
      <c r="K1512" s="3">
        <v>965.09</v>
      </c>
      <c r="L1512" t="str">
        <f t="shared" si="108"/>
        <v>20% off</v>
      </c>
      <c r="N1512" t="str">
        <f t="shared" si="109"/>
        <v>Yes</v>
      </c>
      <c r="O1512" t="s">
        <v>21</v>
      </c>
      <c r="P1512" s="3">
        <f t="shared" si="110"/>
        <v>965.09</v>
      </c>
      <c r="Q1512" t="s">
        <v>22</v>
      </c>
      <c r="R1512">
        <v>4</v>
      </c>
      <c r="S1512" t="str">
        <f t="shared" si="111"/>
        <v>Good</v>
      </c>
    </row>
    <row r="1513" spans="1:19" x14ac:dyDescent="0.25">
      <c r="A1513" t="s">
        <v>1932</v>
      </c>
      <c r="B1513">
        <v>51</v>
      </c>
      <c r="C1513" t="s">
        <v>29</v>
      </c>
      <c r="D1513" t="s">
        <v>2441</v>
      </c>
      <c r="E1513" t="s">
        <v>31</v>
      </c>
      <c r="F1513" t="s">
        <v>300</v>
      </c>
      <c r="G1513" t="s">
        <v>167</v>
      </c>
      <c r="H1513" t="str">
        <f>TEXT(walmart[[#This Row],[Purchase_Date]],"DDD")</f>
        <v>Mon</v>
      </c>
      <c r="I1513" t="str">
        <f>TEXT(walmart[[#This Row],[Purchase_Date]],"MMM")</f>
        <v>Jan</v>
      </c>
      <c r="J1513" t="str">
        <f>TEXT(walmart[[#This Row],[Purchase_Date]],"YYY")</f>
        <v>2025</v>
      </c>
      <c r="K1513" s="3">
        <v>340.04</v>
      </c>
      <c r="L1513" t="str">
        <f t="shared" si="108"/>
        <v>5% off</v>
      </c>
      <c r="N1513" t="str">
        <f t="shared" si="109"/>
        <v>Yes</v>
      </c>
      <c r="O1513" t="s">
        <v>21</v>
      </c>
      <c r="P1513" s="3">
        <f t="shared" si="110"/>
        <v>340.04</v>
      </c>
      <c r="Q1513" t="s">
        <v>35</v>
      </c>
      <c r="R1513">
        <v>1</v>
      </c>
      <c r="S1513" t="str">
        <f t="shared" si="111"/>
        <v>Very Poor</v>
      </c>
    </row>
    <row r="1514" spans="1:19" x14ac:dyDescent="0.25">
      <c r="A1514" t="s">
        <v>1933</v>
      </c>
      <c r="B1514">
        <v>53</v>
      </c>
      <c r="C1514" t="s">
        <v>29</v>
      </c>
      <c r="D1514" t="s">
        <v>17</v>
      </c>
      <c r="E1514" t="s">
        <v>55</v>
      </c>
      <c r="F1514" t="s">
        <v>56</v>
      </c>
      <c r="G1514" t="s">
        <v>71</v>
      </c>
      <c r="H1514" t="str">
        <f>TEXT(walmart[[#This Row],[Purchase_Date]],"DDD")</f>
        <v>Wed</v>
      </c>
      <c r="I1514" t="str">
        <f>TEXT(walmart[[#This Row],[Purchase_Date]],"MMM")</f>
        <v>Jul</v>
      </c>
      <c r="J1514" t="str">
        <f>TEXT(walmart[[#This Row],[Purchase_Date]],"YYY")</f>
        <v>2024</v>
      </c>
      <c r="K1514" s="3">
        <v>76.81</v>
      </c>
      <c r="L1514" t="str">
        <f t="shared" si="108"/>
        <v>0% off</v>
      </c>
      <c r="N1514" t="str">
        <f t="shared" si="109"/>
        <v>No</v>
      </c>
      <c r="O1514" t="s">
        <v>21</v>
      </c>
      <c r="P1514" s="3">
        <f t="shared" si="110"/>
        <v>76.81</v>
      </c>
      <c r="Q1514" t="s">
        <v>35</v>
      </c>
      <c r="R1514">
        <v>1</v>
      </c>
      <c r="S1514" t="str">
        <f t="shared" si="111"/>
        <v>Very Poor</v>
      </c>
    </row>
    <row r="1515" spans="1:19" x14ac:dyDescent="0.25">
      <c r="A1515" t="s">
        <v>1934</v>
      </c>
      <c r="B1515">
        <v>28</v>
      </c>
      <c r="C1515" t="s">
        <v>16</v>
      </c>
      <c r="D1515" t="s">
        <v>2442</v>
      </c>
      <c r="E1515" t="s">
        <v>24</v>
      </c>
      <c r="F1515" t="s">
        <v>25</v>
      </c>
      <c r="G1515" t="s">
        <v>1143</v>
      </c>
      <c r="H1515" t="str">
        <f>TEXT(walmart[[#This Row],[Purchase_Date]],"DDD")</f>
        <v>Sat</v>
      </c>
      <c r="I1515" t="str">
        <f>TEXT(walmart[[#This Row],[Purchase_Date]],"MMM")</f>
        <v>Nov</v>
      </c>
      <c r="J1515" t="str">
        <f>TEXT(walmart[[#This Row],[Purchase_Date]],"YYY")</f>
        <v>2024</v>
      </c>
      <c r="K1515" s="3">
        <v>67.040000000000006</v>
      </c>
      <c r="L1515" t="str">
        <f t="shared" si="108"/>
        <v>0% off</v>
      </c>
      <c r="N1515" t="str">
        <f t="shared" si="109"/>
        <v>No</v>
      </c>
      <c r="O1515" t="s">
        <v>21</v>
      </c>
      <c r="P1515" s="3">
        <f t="shared" si="110"/>
        <v>67.040000000000006</v>
      </c>
      <c r="Q1515" t="s">
        <v>35</v>
      </c>
      <c r="R1515">
        <v>4</v>
      </c>
      <c r="S1515" t="str">
        <f t="shared" si="111"/>
        <v>Good</v>
      </c>
    </row>
    <row r="1516" spans="1:19" x14ac:dyDescent="0.25">
      <c r="A1516" t="s">
        <v>1935</v>
      </c>
      <c r="B1516">
        <v>37</v>
      </c>
      <c r="C1516" t="s">
        <v>29</v>
      </c>
      <c r="D1516" t="s">
        <v>2443</v>
      </c>
      <c r="E1516" t="s">
        <v>24</v>
      </c>
      <c r="F1516" t="s">
        <v>186</v>
      </c>
      <c r="G1516" t="s">
        <v>950</v>
      </c>
      <c r="H1516" t="str">
        <f>TEXT(walmart[[#This Row],[Purchase_Date]],"DDD")</f>
        <v>Tue</v>
      </c>
      <c r="I1516" t="str">
        <f>TEXT(walmart[[#This Row],[Purchase_Date]],"MMM")</f>
        <v>May</v>
      </c>
      <c r="J1516" t="str">
        <f>TEXT(walmart[[#This Row],[Purchase_Date]],"YYY")</f>
        <v>2024</v>
      </c>
      <c r="K1516" s="3">
        <v>527.16999999999996</v>
      </c>
      <c r="L1516" t="str">
        <f t="shared" si="108"/>
        <v>10% off</v>
      </c>
      <c r="N1516" t="str">
        <f t="shared" si="109"/>
        <v>Yes</v>
      </c>
      <c r="O1516" t="s">
        <v>34</v>
      </c>
      <c r="P1516" s="3">
        <f t="shared" si="110"/>
        <v>527.16999999999996</v>
      </c>
      <c r="Q1516" t="s">
        <v>47</v>
      </c>
      <c r="R1516">
        <v>1</v>
      </c>
      <c r="S1516" t="str">
        <f t="shared" si="111"/>
        <v>Very Poor</v>
      </c>
    </row>
    <row r="1517" spans="1:19" x14ac:dyDescent="0.25">
      <c r="A1517" t="s">
        <v>1936</v>
      </c>
      <c r="B1517">
        <v>48</v>
      </c>
      <c r="C1517" t="s">
        <v>16</v>
      </c>
      <c r="D1517" t="s">
        <v>2444</v>
      </c>
      <c r="E1517" t="s">
        <v>18</v>
      </c>
      <c r="F1517" t="s">
        <v>59</v>
      </c>
      <c r="G1517" t="s">
        <v>909</v>
      </c>
      <c r="H1517" t="str">
        <f>TEXT(walmart[[#This Row],[Purchase_Date]],"DDD")</f>
        <v>Mon</v>
      </c>
      <c r="I1517" t="str">
        <f>TEXT(walmart[[#This Row],[Purchase_Date]],"MMM")</f>
        <v>Jan</v>
      </c>
      <c r="J1517" t="str">
        <f>TEXT(walmart[[#This Row],[Purchase_Date]],"YYY")</f>
        <v>2025</v>
      </c>
      <c r="K1517" s="3">
        <v>78.349999999999994</v>
      </c>
      <c r="L1517" t="str">
        <f t="shared" si="108"/>
        <v>0% off</v>
      </c>
      <c r="N1517" t="str">
        <f t="shared" si="109"/>
        <v>No</v>
      </c>
      <c r="O1517" t="s">
        <v>34</v>
      </c>
      <c r="P1517" s="3">
        <f t="shared" si="110"/>
        <v>78.349999999999994</v>
      </c>
      <c r="Q1517" t="s">
        <v>47</v>
      </c>
      <c r="R1517">
        <v>2</v>
      </c>
      <c r="S1517" t="str">
        <f t="shared" si="111"/>
        <v>Poor</v>
      </c>
    </row>
    <row r="1518" spans="1:19" x14ac:dyDescent="0.25">
      <c r="A1518" t="s">
        <v>1937</v>
      </c>
      <c r="B1518">
        <v>62</v>
      </c>
      <c r="C1518" t="s">
        <v>16</v>
      </c>
      <c r="D1518" t="s">
        <v>2445</v>
      </c>
      <c r="E1518" t="s">
        <v>31</v>
      </c>
      <c r="F1518" t="s">
        <v>32</v>
      </c>
      <c r="G1518" t="s">
        <v>134</v>
      </c>
      <c r="H1518" t="str">
        <f>TEXT(walmart[[#This Row],[Purchase_Date]],"DDD")</f>
        <v>Sun</v>
      </c>
      <c r="I1518" t="str">
        <f>TEXT(walmart[[#This Row],[Purchase_Date]],"MMM")</f>
        <v>May</v>
      </c>
      <c r="J1518" t="str">
        <f>TEXT(walmart[[#This Row],[Purchase_Date]],"YYY")</f>
        <v>2024</v>
      </c>
      <c r="K1518" s="3">
        <v>493.96</v>
      </c>
      <c r="L1518" t="str">
        <f t="shared" si="108"/>
        <v>5% off</v>
      </c>
      <c r="N1518" t="str">
        <f t="shared" si="109"/>
        <v>Yes</v>
      </c>
      <c r="O1518" t="s">
        <v>21</v>
      </c>
      <c r="P1518" s="3">
        <f t="shared" si="110"/>
        <v>493.96</v>
      </c>
      <c r="Q1518" t="s">
        <v>27</v>
      </c>
      <c r="R1518">
        <v>2</v>
      </c>
      <c r="S1518" t="str">
        <f t="shared" si="111"/>
        <v>Poor</v>
      </c>
    </row>
    <row r="1519" spans="1:19" x14ac:dyDescent="0.25">
      <c r="A1519" t="s">
        <v>1938</v>
      </c>
      <c r="B1519">
        <v>22</v>
      </c>
      <c r="C1519" t="s">
        <v>16</v>
      </c>
      <c r="D1519" t="s">
        <v>2446</v>
      </c>
      <c r="E1519" t="s">
        <v>37</v>
      </c>
      <c r="F1519" t="s">
        <v>82</v>
      </c>
      <c r="G1519" t="s">
        <v>1038</v>
      </c>
      <c r="H1519" t="str">
        <f>TEXT(walmart[[#This Row],[Purchase_Date]],"DDD")</f>
        <v>Sun</v>
      </c>
      <c r="I1519" t="str">
        <f>TEXT(walmart[[#This Row],[Purchase_Date]],"MMM")</f>
        <v>Jan</v>
      </c>
      <c r="J1519" t="str">
        <f>TEXT(walmart[[#This Row],[Purchase_Date]],"YYY")</f>
        <v>2025</v>
      </c>
      <c r="K1519" s="3">
        <v>270.41000000000003</v>
      </c>
      <c r="L1519" t="str">
        <f t="shared" si="108"/>
        <v>5% off</v>
      </c>
      <c r="N1519" t="str">
        <f t="shared" si="109"/>
        <v>Yes</v>
      </c>
      <c r="O1519" t="s">
        <v>21</v>
      </c>
      <c r="P1519" s="3">
        <f t="shared" si="110"/>
        <v>270.41000000000003</v>
      </c>
      <c r="Q1519" t="s">
        <v>27</v>
      </c>
      <c r="R1519">
        <v>3</v>
      </c>
      <c r="S1519" t="str">
        <f t="shared" si="111"/>
        <v>Average</v>
      </c>
    </row>
    <row r="1520" spans="1:19" x14ac:dyDescent="0.25">
      <c r="A1520" t="s">
        <v>1939</v>
      </c>
      <c r="B1520">
        <v>49</v>
      </c>
      <c r="C1520" t="s">
        <v>16</v>
      </c>
      <c r="D1520" t="s">
        <v>2447</v>
      </c>
      <c r="E1520" t="s">
        <v>31</v>
      </c>
      <c r="F1520" t="s">
        <v>169</v>
      </c>
      <c r="G1520" t="s">
        <v>193</v>
      </c>
      <c r="H1520" t="str">
        <f>TEXT(walmart[[#This Row],[Purchase_Date]],"DDD")</f>
        <v>Thu</v>
      </c>
      <c r="I1520" t="str">
        <f>TEXT(walmart[[#This Row],[Purchase_Date]],"MMM")</f>
        <v>May</v>
      </c>
      <c r="J1520" t="str">
        <f>TEXT(walmart[[#This Row],[Purchase_Date]],"YYY")</f>
        <v>2024</v>
      </c>
      <c r="K1520" s="3">
        <v>52.44</v>
      </c>
      <c r="L1520" t="str">
        <f t="shared" si="108"/>
        <v>0% off</v>
      </c>
      <c r="N1520" t="str">
        <f t="shared" si="109"/>
        <v>No</v>
      </c>
      <c r="O1520" t="s">
        <v>34</v>
      </c>
      <c r="P1520" s="3">
        <f t="shared" si="110"/>
        <v>52.44</v>
      </c>
      <c r="Q1520" t="s">
        <v>47</v>
      </c>
      <c r="R1520">
        <v>2</v>
      </c>
      <c r="S1520" t="str">
        <f t="shared" si="111"/>
        <v>Poor</v>
      </c>
    </row>
    <row r="1521" spans="1:19" x14ac:dyDescent="0.25">
      <c r="A1521" t="s">
        <v>1940</v>
      </c>
      <c r="B1521">
        <v>60</v>
      </c>
      <c r="C1521" t="s">
        <v>16</v>
      </c>
      <c r="D1521" t="s">
        <v>2448</v>
      </c>
      <c r="E1521" t="s">
        <v>37</v>
      </c>
      <c r="F1521" t="s">
        <v>117</v>
      </c>
      <c r="G1521" t="s">
        <v>1807</v>
      </c>
      <c r="H1521" t="str">
        <f>TEXT(walmart[[#This Row],[Purchase_Date]],"DDD")</f>
        <v>Mon</v>
      </c>
      <c r="I1521" t="str">
        <f>TEXT(walmart[[#This Row],[Purchase_Date]],"MMM")</f>
        <v>Mar</v>
      </c>
      <c r="J1521" t="str">
        <f>TEXT(walmart[[#This Row],[Purchase_Date]],"YYY")</f>
        <v>2025</v>
      </c>
      <c r="K1521" s="3">
        <v>165.68</v>
      </c>
      <c r="L1521" t="str">
        <f t="shared" si="108"/>
        <v>5% off</v>
      </c>
      <c r="N1521" t="str">
        <f t="shared" si="109"/>
        <v>Yes</v>
      </c>
      <c r="O1521" t="s">
        <v>34</v>
      </c>
      <c r="P1521" s="3">
        <f t="shared" si="110"/>
        <v>165.68</v>
      </c>
      <c r="Q1521" t="s">
        <v>27</v>
      </c>
      <c r="R1521">
        <v>1</v>
      </c>
      <c r="S1521" t="str">
        <f t="shared" si="111"/>
        <v>Very Poor</v>
      </c>
    </row>
    <row r="1522" spans="1:19" x14ac:dyDescent="0.25">
      <c r="A1522" t="s">
        <v>1941</v>
      </c>
      <c r="B1522">
        <v>69</v>
      </c>
      <c r="C1522" t="s">
        <v>16</v>
      </c>
      <c r="D1522" t="s">
        <v>2449</v>
      </c>
      <c r="E1522" t="s">
        <v>42</v>
      </c>
      <c r="F1522" t="s">
        <v>120</v>
      </c>
      <c r="G1522" t="s">
        <v>639</v>
      </c>
      <c r="H1522" t="str">
        <f>TEXT(walmart[[#This Row],[Purchase_Date]],"DDD")</f>
        <v>Fri</v>
      </c>
      <c r="I1522" t="str">
        <f>TEXT(walmart[[#This Row],[Purchase_Date]],"MMM")</f>
        <v>Jun</v>
      </c>
      <c r="J1522" t="str">
        <f>TEXT(walmart[[#This Row],[Purchase_Date]],"YYY")</f>
        <v>2024</v>
      </c>
      <c r="K1522" s="3">
        <v>260.77999999999997</v>
      </c>
      <c r="L1522" t="str">
        <f t="shared" si="108"/>
        <v>5% off</v>
      </c>
      <c r="N1522" t="str">
        <f t="shared" si="109"/>
        <v>Yes</v>
      </c>
      <c r="O1522" t="s">
        <v>21</v>
      </c>
      <c r="P1522" s="3">
        <f t="shared" si="110"/>
        <v>260.77999999999997</v>
      </c>
      <c r="Q1522" t="s">
        <v>35</v>
      </c>
      <c r="R1522">
        <v>5</v>
      </c>
      <c r="S1522" t="str">
        <f t="shared" si="111"/>
        <v>Excellent</v>
      </c>
    </row>
    <row r="1523" spans="1:19" x14ac:dyDescent="0.25">
      <c r="A1523" t="s">
        <v>1942</v>
      </c>
      <c r="B1523">
        <v>47</v>
      </c>
      <c r="C1523" t="s">
        <v>16</v>
      </c>
      <c r="D1523" t="s">
        <v>2450</v>
      </c>
      <c r="E1523" t="s">
        <v>73</v>
      </c>
      <c r="F1523" t="s">
        <v>74</v>
      </c>
      <c r="G1523" t="s">
        <v>373</v>
      </c>
      <c r="H1523" t="str">
        <f>TEXT(walmart[[#This Row],[Purchase_Date]],"DDD")</f>
        <v>Sat</v>
      </c>
      <c r="I1523" t="str">
        <f>TEXT(walmart[[#This Row],[Purchase_Date]],"MMM")</f>
        <v>Dec</v>
      </c>
      <c r="J1523" t="str">
        <f>TEXT(walmart[[#This Row],[Purchase_Date]],"YYY")</f>
        <v>2024</v>
      </c>
      <c r="K1523" s="3">
        <v>782.29</v>
      </c>
      <c r="L1523" t="str">
        <f t="shared" si="108"/>
        <v>15% off</v>
      </c>
      <c r="N1523" t="str">
        <f t="shared" si="109"/>
        <v>Yes</v>
      </c>
      <c r="O1523" t="s">
        <v>21</v>
      </c>
      <c r="P1523" s="3">
        <f t="shared" si="110"/>
        <v>782.29</v>
      </c>
      <c r="Q1523" t="s">
        <v>35</v>
      </c>
      <c r="R1523">
        <v>1</v>
      </c>
      <c r="S1523" t="str">
        <f t="shared" si="111"/>
        <v>Very Poor</v>
      </c>
    </row>
    <row r="1524" spans="1:19" x14ac:dyDescent="0.25">
      <c r="A1524" t="s">
        <v>1943</v>
      </c>
      <c r="B1524">
        <v>36</v>
      </c>
      <c r="C1524" t="s">
        <v>16</v>
      </c>
      <c r="D1524" t="s">
        <v>2451</v>
      </c>
      <c r="E1524" t="s">
        <v>73</v>
      </c>
      <c r="F1524" t="s">
        <v>74</v>
      </c>
      <c r="G1524" t="s">
        <v>785</v>
      </c>
      <c r="H1524" t="str">
        <f>TEXT(walmart[[#This Row],[Purchase_Date]],"DDD")</f>
        <v>Sat</v>
      </c>
      <c r="I1524" t="str">
        <f>TEXT(walmart[[#This Row],[Purchase_Date]],"MMM")</f>
        <v>Apr</v>
      </c>
      <c r="J1524" t="str">
        <f>TEXT(walmart[[#This Row],[Purchase_Date]],"YYY")</f>
        <v>2024</v>
      </c>
      <c r="K1524" s="3">
        <v>782.29</v>
      </c>
      <c r="L1524" t="str">
        <f t="shared" si="108"/>
        <v>15% off</v>
      </c>
      <c r="N1524" t="str">
        <f t="shared" si="109"/>
        <v>Yes</v>
      </c>
      <c r="O1524" t="s">
        <v>34</v>
      </c>
      <c r="P1524" s="3">
        <f t="shared" si="110"/>
        <v>782.29</v>
      </c>
      <c r="Q1524" t="s">
        <v>22</v>
      </c>
      <c r="R1524">
        <v>5</v>
      </c>
      <c r="S1524" t="str">
        <f t="shared" si="111"/>
        <v>Excellent</v>
      </c>
    </row>
    <row r="1525" spans="1:19" x14ac:dyDescent="0.25">
      <c r="A1525" t="s">
        <v>1944</v>
      </c>
      <c r="B1525">
        <v>27</v>
      </c>
      <c r="C1525" t="s">
        <v>16</v>
      </c>
      <c r="D1525" t="s">
        <v>2452</v>
      </c>
      <c r="E1525" t="s">
        <v>37</v>
      </c>
      <c r="F1525" t="s">
        <v>82</v>
      </c>
      <c r="G1525" t="s">
        <v>459</v>
      </c>
      <c r="H1525" t="str">
        <f>TEXT(walmart[[#This Row],[Purchase_Date]],"DDD")</f>
        <v>Tue</v>
      </c>
      <c r="I1525" t="str">
        <f>TEXT(walmart[[#This Row],[Purchase_Date]],"MMM")</f>
        <v>Aug</v>
      </c>
      <c r="J1525" t="str">
        <f>TEXT(walmart[[#This Row],[Purchase_Date]],"YYY")</f>
        <v>2024</v>
      </c>
      <c r="K1525" s="3">
        <v>270.41000000000003</v>
      </c>
      <c r="L1525" t="str">
        <f t="shared" si="108"/>
        <v>5% off</v>
      </c>
      <c r="N1525" t="str">
        <f t="shared" si="109"/>
        <v>Yes</v>
      </c>
      <c r="O1525" t="s">
        <v>34</v>
      </c>
      <c r="P1525" s="3">
        <f t="shared" si="110"/>
        <v>270.41000000000003</v>
      </c>
      <c r="Q1525" t="s">
        <v>47</v>
      </c>
      <c r="R1525">
        <v>3</v>
      </c>
      <c r="S1525" t="str">
        <f t="shared" si="111"/>
        <v>Average</v>
      </c>
    </row>
    <row r="1526" spans="1:19" x14ac:dyDescent="0.25">
      <c r="A1526" t="s">
        <v>1945</v>
      </c>
      <c r="B1526">
        <v>68</v>
      </c>
      <c r="C1526" t="s">
        <v>29</v>
      </c>
      <c r="D1526" t="s">
        <v>2453</v>
      </c>
      <c r="E1526" t="s">
        <v>31</v>
      </c>
      <c r="F1526" t="s">
        <v>112</v>
      </c>
      <c r="G1526" t="s">
        <v>558</v>
      </c>
      <c r="H1526" t="str">
        <f>TEXT(walmart[[#This Row],[Purchase_Date]],"DDD")</f>
        <v>Tue</v>
      </c>
      <c r="I1526" t="str">
        <f>TEXT(walmart[[#This Row],[Purchase_Date]],"MMM")</f>
        <v>Dec</v>
      </c>
      <c r="J1526" t="str">
        <f>TEXT(walmart[[#This Row],[Purchase_Date]],"YYY")</f>
        <v>2024</v>
      </c>
      <c r="K1526" s="3">
        <v>492.1</v>
      </c>
      <c r="L1526" t="str">
        <f t="shared" si="108"/>
        <v>5% off</v>
      </c>
      <c r="N1526" t="str">
        <f t="shared" si="109"/>
        <v>Yes</v>
      </c>
      <c r="O1526" t="s">
        <v>34</v>
      </c>
      <c r="P1526" s="3">
        <f t="shared" si="110"/>
        <v>492.1</v>
      </c>
      <c r="Q1526" t="s">
        <v>47</v>
      </c>
      <c r="R1526">
        <v>4</v>
      </c>
      <c r="S1526" t="str">
        <f t="shared" si="111"/>
        <v>Good</v>
      </c>
    </row>
    <row r="1527" spans="1:19" x14ac:dyDescent="0.25">
      <c r="A1527" t="s">
        <v>1946</v>
      </c>
      <c r="B1527">
        <v>26</v>
      </c>
      <c r="C1527" t="s">
        <v>29</v>
      </c>
      <c r="D1527" t="s">
        <v>2454</v>
      </c>
      <c r="E1527" t="s">
        <v>55</v>
      </c>
      <c r="F1527" t="s">
        <v>56</v>
      </c>
      <c r="G1527" t="s">
        <v>794</v>
      </c>
      <c r="H1527" t="str">
        <f>TEXT(walmart[[#This Row],[Purchase_Date]],"DDD")</f>
        <v>Wed</v>
      </c>
      <c r="I1527" t="str">
        <f>TEXT(walmart[[#This Row],[Purchase_Date]],"MMM")</f>
        <v>Jan</v>
      </c>
      <c r="J1527" t="str">
        <f>TEXT(walmart[[#This Row],[Purchase_Date]],"YYY")</f>
        <v>2025</v>
      </c>
      <c r="K1527" s="3">
        <v>76.81</v>
      </c>
      <c r="L1527" t="str">
        <f t="shared" si="108"/>
        <v>0% off</v>
      </c>
      <c r="N1527" t="str">
        <f t="shared" si="109"/>
        <v>No</v>
      </c>
      <c r="O1527" t="s">
        <v>21</v>
      </c>
      <c r="P1527" s="3">
        <f t="shared" si="110"/>
        <v>76.81</v>
      </c>
      <c r="Q1527" t="s">
        <v>35</v>
      </c>
      <c r="R1527">
        <v>4</v>
      </c>
      <c r="S1527" t="str">
        <f t="shared" si="111"/>
        <v>Good</v>
      </c>
    </row>
    <row r="1528" spans="1:19" x14ac:dyDescent="0.25">
      <c r="A1528" t="s">
        <v>1947</v>
      </c>
      <c r="B1528">
        <v>19</v>
      </c>
      <c r="C1528" t="s">
        <v>29</v>
      </c>
      <c r="D1528" t="s">
        <v>2455</v>
      </c>
      <c r="E1528" t="s">
        <v>55</v>
      </c>
      <c r="F1528" t="s">
        <v>67</v>
      </c>
      <c r="G1528" t="s">
        <v>383</v>
      </c>
      <c r="H1528" t="str">
        <f>TEXT(walmart[[#This Row],[Purchase_Date]],"DDD")</f>
        <v>Mon</v>
      </c>
      <c r="I1528" t="str">
        <f>TEXT(walmart[[#This Row],[Purchase_Date]],"MMM")</f>
        <v>Jun</v>
      </c>
      <c r="J1528" t="str">
        <f>TEXT(walmart[[#This Row],[Purchase_Date]],"YYY")</f>
        <v>2024</v>
      </c>
      <c r="K1528" s="3">
        <v>452.97</v>
      </c>
      <c r="L1528" t="str">
        <f t="shared" si="108"/>
        <v>5% off</v>
      </c>
      <c r="N1528" t="str">
        <f t="shared" si="109"/>
        <v>Yes</v>
      </c>
      <c r="O1528" t="s">
        <v>21</v>
      </c>
      <c r="P1528" s="3">
        <f t="shared" si="110"/>
        <v>452.97</v>
      </c>
      <c r="Q1528" t="s">
        <v>27</v>
      </c>
      <c r="R1528">
        <v>3</v>
      </c>
      <c r="S1528" t="str">
        <f t="shared" si="111"/>
        <v>Average</v>
      </c>
    </row>
    <row r="1529" spans="1:19" x14ac:dyDescent="0.25">
      <c r="A1529" t="s">
        <v>1948</v>
      </c>
      <c r="B1529">
        <v>51</v>
      </c>
      <c r="C1529" t="s">
        <v>29</v>
      </c>
      <c r="D1529" t="s">
        <v>2456</v>
      </c>
      <c r="E1529" t="s">
        <v>18</v>
      </c>
      <c r="F1529" t="s">
        <v>59</v>
      </c>
      <c r="G1529" t="s">
        <v>293</v>
      </c>
      <c r="H1529" t="str">
        <f>TEXT(walmart[[#This Row],[Purchase_Date]],"DDD")</f>
        <v>Wed</v>
      </c>
      <c r="I1529" t="str">
        <f>TEXT(walmart[[#This Row],[Purchase_Date]],"MMM")</f>
        <v>May</v>
      </c>
      <c r="J1529" t="str">
        <f>TEXT(walmart[[#This Row],[Purchase_Date]],"YYY")</f>
        <v>2024</v>
      </c>
      <c r="K1529" s="3">
        <v>78.349999999999994</v>
      </c>
      <c r="L1529" t="str">
        <f t="shared" si="108"/>
        <v>0% off</v>
      </c>
      <c r="N1529" t="str">
        <f t="shared" si="109"/>
        <v>No</v>
      </c>
      <c r="O1529" t="s">
        <v>34</v>
      </c>
      <c r="P1529" s="3">
        <f t="shared" si="110"/>
        <v>78.349999999999994</v>
      </c>
      <c r="Q1529" t="s">
        <v>35</v>
      </c>
      <c r="R1529">
        <v>4</v>
      </c>
      <c r="S1529" t="str">
        <f t="shared" si="111"/>
        <v>Good</v>
      </c>
    </row>
    <row r="1530" spans="1:19" x14ac:dyDescent="0.25">
      <c r="A1530" t="s">
        <v>1949</v>
      </c>
      <c r="B1530">
        <v>25</v>
      </c>
      <c r="C1530" t="s">
        <v>29</v>
      </c>
      <c r="D1530" t="s">
        <v>2457</v>
      </c>
      <c r="E1530" t="s">
        <v>24</v>
      </c>
      <c r="F1530" t="s">
        <v>25</v>
      </c>
      <c r="G1530" t="s">
        <v>1266</v>
      </c>
      <c r="H1530" t="str">
        <f>TEXT(walmart[[#This Row],[Purchase_Date]],"DDD")</f>
        <v>Fri</v>
      </c>
      <c r="I1530" t="str">
        <f>TEXT(walmart[[#This Row],[Purchase_Date]],"MMM")</f>
        <v>Feb</v>
      </c>
      <c r="J1530" t="str">
        <f>TEXT(walmart[[#This Row],[Purchase_Date]],"YYY")</f>
        <v>2025</v>
      </c>
      <c r="K1530" s="3">
        <v>67.040000000000006</v>
      </c>
      <c r="L1530" t="str">
        <f t="shared" si="108"/>
        <v>0% off</v>
      </c>
      <c r="N1530" t="str">
        <f t="shared" si="109"/>
        <v>No</v>
      </c>
      <c r="O1530" t="s">
        <v>34</v>
      </c>
      <c r="P1530" s="3">
        <f t="shared" si="110"/>
        <v>67.040000000000006</v>
      </c>
      <c r="Q1530" t="s">
        <v>35</v>
      </c>
      <c r="R1530">
        <v>2</v>
      </c>
      <c r="S1530" t="str">
        <f t="shared" si="111"/>
        <v>Poor</v>
      </c>
    </row>
    <row r="1531" spans="1:19" x14ac:dyDescent="0.25">
      <c r="A1531" t="s">
        <v>1950</v>
      </c>
      <c r="B1531">
        <v>51</v>
      </c>
      <c r="C1531" t="s">
        <v>16</v>
      </c>
      <c r="D1531" t="s">
        <v>2458</v>
      </c>
      <c r="E1531" t="s">
        <v>42</v>
      </c>
      <c r="F1531" t="s">
        <v>103</v>
      </c>
      <c r="G1531" t="s">
        <v>151</v>
      </c>
      <c r="H1531" t="str">
        <f>TEXT(walmart[[#This Row],[Purchase_Date]],"DDD")</f>
        <v>Mon</v>
      </c>
      <c r="I1531" t="str">
        <f>TEXT(walmart[[#This Row],[Purchase_Date]],"MMM")</f>
        <v>May</v>
      </c>
      <c r="J1531" t="str">
        <f>TEXT(walmart[[#This Row],[Purchase_Date]],"YYY")</f>
        <v>2024</v>
      </c>
      <c r="K1531" s="3">
        <v>315.56</v>
      </c>
      <c r="L1531" t="str">
        <f t="shared" si="108"/>
        <v>5% off</v>
      </c>
      <c r="N1531" t="str">
        <f t="shared" si="109"/>
        <v>Yes</v>
      </c>
      <c r="O1531" t="s">
        <v>21</v>
      </c>
      <c r="P1531" s="3">
        <f t="shared" si="110"/>
        <v>315.56</v>
      </c>
      <c r="Q1531" t="s">
        <v>47</v>
      </c>
      <c r="R1531">
        <v>5</v>
      </c>
      <c r="S1531" t="str">
        <f t="shared" si="111"/>
        <v>Excellent</v>
      </c>
    </row>
    <row r="1532" spans="1:19" x14ac:dyDescent="0.25">
      <c r="A1532" t="s">
        <v>1951</v>
      </c>
      <c r="B1532">
        <v>20</v>
      </c>
      <c r="C1532" t="s">
        <v>29</v>
      </c>
      <c r="D1532" t="s">
        <v>2459</v>
      </c>
      <c r="E1532" t="s">
        <v>31</v>
      </c>
      <c r="F1532" t="s">
        <v>169</v>
      </c>
      <c r="G1532" t="s">
        <v>363</v>
      </c>
      <c r="H1532" t="str">
        <f>TEXT(walmart[[#This Row],[Purchase_Date]],"DDD")</f>
        <v>Tue</v>
      </c>
      <c r="I1532" t="str">
        <f>TEXT(walmart[[#This Row],[Purchase_Date]],"MMM")</f>
        <v>Aug</v>
      </c>
      <c r="J1532" t="str">
        <f>TEXT(walmart[[#This Row],[Purchase_Date]],"YYY")</f>
        <v>2024</v>
      </c>
      <c r="K1532" s="3">
        <v>52.44</v>
      </c>
      <c r="L1532" t="str">
        <f t="shared" si="108"/>
        <v>0% off</v>
      </c>
      <c r="N1532" t="str">
        <f t="shared" si="109"/>
        <v>No</v>
      </c>
      <c r="O1532" t="s">
        <v>21</v>
      </c>
      <c r="P1532" s="3">
        <f t="shared" si="110"/>
        <v>52.44</v>
      </c>
      <c r="Q1532" t="s">
        <v>22</v>
      </c>
      <c r="R1532">
        <v>2</v>
      </c>
      <c r="S1532" t="str">
        <f t="shared" si="111"/>
        <v>Poor</v>
      </c>
    </row>
    <row r="1533" spans="1:19" x14ac:dyDescent="0.25">
      <c r="A1533" t="s">
        <v>1952</v>
      </c>
      <c r="B1533">
        <v>34</v>
      </c>
      <c r="C1533" t="s">
        <v>29</v>
      </c>
      <c r="D1533" t="s">
        <v>2460</v>
      </c>
      <c r="E1533" t="s">
        <v>31</v>
      </c>
      <c r="F1533" t="s">
        <v>300</v>
      </c>
      <c r="G1533" t="s">
        <v>287</v>
      </c>
      <c r="H1533" t="str">
        <f>TEXT(walmart[[#This Row],[Purchase_Date]],"DDD")</f>
        <v>Sun</v>
      </c>
      <c r="I1533" t="str">
        <f>TEXT(walmart[[#This Row],[Purchase_Date]],"MMM")</f>
        <v>Jul</v>
      </c>
      <c r="J1533" t="str">
        <f>TEXT(walmart[[#This Row],[Purchase_Date]],"YYY")</f>
        <v>2024</v>
      </c>
      <c r="K1533" s="3">
        <v>340.04</v>
      </c>
      <c r="L1533" t="str">
        <f t="shared" si="108"/>
        <v>5% off</v>
      </c>
      <c r="N1533" t="str">
        <f t="shared" si="109"/>
        <v>Yes</v>
      </c>
      <c r="O1533" t="s">
        <v>34</v>
      </c>
      <c r="P1533" s="3">
        <f t="shared" si="110"/>
        <v>340.04</v>
      </c>
      <c r="Q1533" t="s">
        <v>35</v>
      </c>
      <c r="R1533">
        <v>2</v>
      </c>
      <c r="S1533" t="str">
        <f t="shared" si="111"/>
        <v>Poor</v>
      </c>
    </row>
    <row r="1534" spans="1:19" x14ac:dyDescent="0.25">
      <c r="A1534" t="s">
        <v>1953</v>
      </c>
      <c r="B1534">
        <v>48</v>
      </c>
      <c r="C1534" t="s">
        <v>16</v>
      </c>
      <c r="D1534" t="s">
        <v>2461</v>
      </c>
      <c r="E1534" t="s">
        <v>42</v>
      </c>
      <c r="F1534" t="s">
        <v>120</v>
      </c>
      <c r="G1534" t="s">
        <v>1077</v>
      </c>
      <c r="H1534" t="str">
        <f>TEXT(walmart[[#This Row],[Purchase_Date]],"DDD")</f>
        <v>Mon</v>
      </c>
      <c r="I1534" t="str">
        <f>TEXT(walmart[[#This Row],[Purchase_Date]],"MMM")</f>
        <v>May</v>
      </c>
      <c r="J1534" t="str">
        <f>TEXT(walmart[[#This Row],[Purchase_Date]],"YYY")</f>
        <v>2024</v>
      </c>
      <c r="K1534" s="3">
        <v>260.77999999999997</v>
      </c>
      <c r="L1534" t="str">
        <f t="shared" si="108"/>
        <v>5% off</v>
      </c>
      <c r="N1534" t="str">
        <f t="shared" si="109"/>
        <v>Yes</v>
      </c>
      <c r="O1534" t="s">
        <v>21</v>
      </c>
      <c r="P1534" s="3">
        <f t="shared" si="110"/>
        <v>260.77999999999997</v>
      </c>
      <c r="Q1534" t="s">
        <v>27</v>
      </c>
      <c r="R1534">
        <v>1</v>
      </c>
      <c r="S1534" t="str">
        <f t="shared" si="111"/>
        <v>Very Poor</v>
      </c>
    </row>
    <row r="1535" spans="1:19" x14ac:dyDescent="0.25">
      <c r="A1535" t="s">
        <v>1954</v>
      </c>
      <c r="B1535">
        <v>20</v>
      </c>
      <c r="C1535" t="s">
        <v>29</v>
      </c>
      <c r="D1535" t="s">
        <v>2462</v>
      </c>
      <c r="E1535" t="s">
        <v>73</v>
      </c>
      <c r="F1535" t="s">
        <v>74</v>
      </c>
      <c r="G1535" t="s">
        <v>482</v>
      </c>
      <c r="H1535" t="str">
        <f>TEXT(walmart[[#This Row],[Purchase_Date]],"DDD")</f>
        <v>Fri</v>
      </c>
      <c r="I1535" t="str">
        <f>TEXT(walmart[[#This Row],[Purchase_Date]],"MMM")</f>
        <v>May</v>
      </c>
      <c r="J1535" t="str">
        <f>TEXT(walmart[[#This Row],[Purchase_Date]],"YYY")</f>
        <v>2024</v>
      </c>
      <c r="K1535" s="3">
        <v>782.29</v>
      </c>
      <c r="L1535" t="str">
        <f t="shared" si="108"/>
        <v>15% off</v>
      </c>
      <c r="N1535" t="str">
        <f t="shared" si="109"/>
        <v>Yes</v>
      </c>
      <c r="O1535" t="s">
        <v>21</v>
      </c>
      <c r="P1535" s="3">
        <f t="shared" si="110"/>
        <v>782.29</v>
      </c>
      <c r="Q1535" t="s">
        <v>35</v>
      </c>
      <c r="R1535">
        <v>1</v>
      </c>
      <c r="S1535" t="str">
        <f t="shared" si="111"/>
        <v>Very Poor</v>
      </c>
    </row>
    <row r="1536" spans="1:19" x14ac:dyDescent="0.25">
      <c r="A1536" t="s">
        <v>1955</v>
      </c>
      <c r="B1536">
        <v>65</v>
      </c>
      <c r="C1536" t="s">
        <v>29</v>
      </c>
      <c r="D1536" t="s">
        <v>2463</v>
      </c>
      <c r="E1536" t="s">
        <v>31</v>
      </c>
      <c r="F1536" t="s">
        <v>112</v>
      </c>
      <c r="G1536" t="s">
        <v>62</v>
      </c>
      <c r="H1536" t="str">
        <f>TEXT(walmart[[#This Row],[Purchase_Date]],"DDD")</f>
        <v>Sun</v>
      </c>
      <c r="I1536" t="str">
        <f>TEXT(walmart[[#This Row],[Purchase_Date]],"MMM")</f>
        <v>Aug</v>
      </c>
      <c r="J1536" t="str">
        <f>TEXT(walmart[[#This Row],[Purchase_Date]],"YYY")</f>
        <v>2024</v>
      </c>
      <c r="K1536" s="3">
        <v>492.1</v>
      </c>
      <c r="L1536" t="str">
        <f t="shared" si="108"/>
        <v>5% off</v>
      </c>
      <c r="N1536" t="str">
        <f t="shared" si="109"/>
        <v>Yes</v>
      </c>
      <c r="O1536" t="s">
        <v>34</v>
      </c>
      <c r="P1536" s="3">
        <f t="shared" si="110"/>
        <v>492.1</v>
      </c>
      <c r="Q1536" t="s">
        <v>35</v>
      </c>
      <c r="R1536">
        <v>2</v>
      </c>
      <c r="S1536" t="str">
        <f t="shared" si="111"/>
        <v>Poor</v>
      </c>
    </row>
    <row r="1537" spans="1:19" x14ac:dyDescent="0.25">
      <c r="A1537" t="s">
        <v>1956</v>
      </c>
      <c r="B1537">
        <v>40</v>
      </c>
      <c r="C1537" t="s">
        <v>29</v>
      </c>
      <c r="D1537" t="s">
        <v>2464</v>
      </c>
      <c r="E1537" t="s">
        <v>73</v>
      </c>
      <c r="F1537" t="s">
        <v>91</v>
      </c>
      <c r="G1537" t="s">
        <v>1077</v>
      </c>
      <c r="H1537" t="str">
        <f>TEXT(walmart[[#This Row],[Purchase_Date]],"DDD")</f>
        <v>Mon</v>
      </c>
      <c r="I1537" t="str">
        <f>TEXT(walmart[[#This Row],[Purchase_Date]],"MMM")</f>
        <v>May</v>
      </c>
      <c r="J1537" t="str">
        <f>TEXT(walmart[[#This Row],[Purchase_Date]],"YYY")</f>
        <v>2024</v>
      </c>
      <c r="K1537" s="3">
        <v>418.55</v>
      </c>
      <c r="L1537" t="str">
        <f t="shared" si="108"/>
        <v>5% off</v>
      </c>
      <c r="N1537" t="str">
        <f t="shared" si="109"/>
        <v>Yes</v>
      </c>
      <c r="O1537" t="s">
        <v>34</v>
      </c>
      <c r="P1537" s="3">
        <f t="shared" si="110"/>
        <v>418.55</v>
      </c>
      <c r="Q1537" t="s">
        <v>27</v>
      </c>
      <c r="R1537">
        <v>2</v>
      </c>
      <c r="S1537" t="str">
        <f t="shared" si="111"/>
        <v>Poor</v>
      </c>
    </row>
    <row r="1538" spans="1:19" x14ac:dyDescent="0.25">
      <c r="A1538" t="s">
        <v>1957</v>
      </c>
      <c r="B1538">
        <v>46</v>
      </c>
      <c r="C1538" t="s">
        <v>16</v>
      </c>
      <c r="D1538" t="s">
        <v>2465</v>
      </c>
      <c r="E1538" t="s">
        <v>73</v>
      </c>
      <c r="F1538" t="s">
        <v>74</v>
      </c>
      <c r="G1538" t="s">
        <v>746</v>
      </c>
      <c r="H1538" t="str">
        <f>TEXT(walmart[[#This Row],[Purchase_Date]],"DDD")</f>
        <v>Tue</v>
      </c>
      <c r="I1538" t="str">
        <f>TEXT(walmart[[#This Row],[Purchase_Date]],"MMM")</f>
        <v>Dec</v>
      </c>
      <c r="J1538" t="str">
        <f>TEXT(walmart[[#This Row],[Purchase_Date]],"YYY")</f>
        <v>2024</v>
      </c>
      <c r="K1538" s="3">
        <v>782.29</v>
      </c>
      <c r="L1538" t="str">
        <f t="shared" si="108"/>
        <v>15% off</v>
      </c>
      <c r="N1538" t="str">
        <f t="shared" si="109"/>
        <v>Yes</v>
      </c>
      <c r="O1538" t="s">
        <v>21</v>
      </c>
      <c r="P1538" s="3">
        <f t="shared" si="110"/>
        <v>782.29</v>
      </c>
      <c r="Q1538" t="s">
        <v>47</v>
      </c>
      <c r="R1538">
        <v>1</v>
      </c>
      <c r="S1538" t="str">
        <f t="shared" si="111"/>
        <v>Very Poor</v>
      </c>
    </row>
    <row r="1539" spans="1:19" x14ac:dyDescent="0.25">
      <c r="A1539" t="s">
        <v>1958</v>
      </c>
      <c r="B1539">
        <v>59</v>
      </c>
      <c r="C1539" t="s">
        <v>16</v>
      </c>
      <c r="D1539" t="s">
        <v>2466</v>
      </c>
      <c r="E1539" t="s">
        <v>42</v>
      </c>
      <c r="F1539" t="s">
        <v>103</v>
      </c>
      <c r="G1539" t="s">
        <v>1502</v>
      </c>
      <c r="H1539" t="str">
        <f>TEXT(walmart[[#This Row],[Purchase_Date]],"DDD")</f>
        <v>Thu</v>
      </c>
      <c r="I1539" t="str">
        <f>TEXT(walmart[[#This Row],[Purchase_Date]],"MMM")</f>
        <v>Jul</v>
      </c>
      <c r="J1539" t="str">
        <f>TEXT(walmart[[#This Row],[Purchase_Date]],"YYY")</f>
        <v>2024</v>
      </c>
      <c r="K1539" s="3">
        <v>315.56</v>
      </c>
      <c r="L1539" t="str">
        <f t="shared" ref="L1539:L1602" si="112">IF(K1539&lt;150,"0% off",IF(K1539&lt;500,"5% off",IF(K1539&lt;700,"10% off",IF(K1539&lt;900,"15% off","20% off"))))</f>
        <v>5% off</v>
      </c>
      <c r="N1539" t="str">
        <f t="shared" ref="N1539:N1602" si="113">IF(L1539="0% off", "No", "Yes")</f>
        <v>Yes</v>
      </c>
      <c r="O1539" t="s">
        <v>34</v>
      </c>
      <c r="P1539" s="3">
        <f t="shared" ref="P1539:P1602" si="114">K1539-M1539</f>
        <v>315.56</v>
      </c>
      <c r="Q1539" t="s">
        <v>27</v>
      </c>
      <c r="R1539">
        <v>3</v>
      </c>
      <c r="S1539" t="str">
        <f t="shared" ref="S1539:S1602" si="115">IF(R1539=5, "Excellent", IF(R1539=4, "Good", IF(R1539=3, "Average", IF(R1539=2, "Poor", IF(R1539=1, "Very Poor", "Invalid Rating")))))</f>
        <v>Average</v>
      </c>
    </row>
    <row r="1540" spans="1:19" x14ac:dyDescent="0.25">
      <c r="A1540" t="s">
        <v>1959</v>
      </c>
      <c r="B1540">
        <v>40</v>
      </c>
      <c r="C1540" t="s">
        <v>16</v>
      </c>
      <c r="D1540" t="s">
        <v>2467</v>
      </c>
      <c r="E1540" t="s">
        <v>18</v>
      </c>
      <c r="F1540" t="s">
        <v>77</v>
      </c>
      <c r="G1540" t="s">
        <v>692</v>
      </c>
      <c r="H1540" t="str">
        <f>TEXT(walmart[[#This Row],[Purchase_Date]],"DDD")</f>
        <v>Sun</v>
      </c>
      <c r="I1540" t="str">
        <f>TEXT(walmart[[#This Row],[Purchase_Date]],"MMM")</f>
        <v>Mar</v>
      </c>
      <c r="J1540" t="str">
        <f>TEXT(walmart[[#This Row],[Purchase_Date]],"YYY")</f>
        <v>2024</v>
      </c>
      <c r="K1540" s="3">
        <v>116.78</v>
      </c>
      <c r="L1540" t="str">
        <f t="shared" si="112"/>
        <v>0% off</v>
      </c>
      <c r="N1540" t="str">
        <f t="shared" si="113"/>
        <v>No</v>
      </c>
      <c r="O1540" t="s">
        <v>21</v>
      </c>
      <c r="P1540" s="3">
        <f t="shared" si="114"/>
        <v>116.78</v>
      </c>
      <c r="Q1540" t="s">
        <v>27</v>
      </c>
      <c r="R1540">
        <v>2</v>
      </c>
      <c r="S1540" t="str">
        <f t="shared" si="115"/>
        <v>Poor</v>
      </c>
    </row>
    <row r="1541" spans="1:19" x14ac:dyDescent="0.25">
      <c r="A1541" t="s">
        <v>1960</v>
      </c>
      <c r="B1541">
        <v>32</v>
      </c>
      <c r="C1541" t="s">
        <v>29</v>
      </c>
      <c r="D1541" t="s">
        <v>2468</v>
      </c>
      <c r="E1541" t="s">
        <v>24</v>
      </c>
      <c r="F1541" t="s">
        <v>162</v>
      </c>
      <c r="G1541" t="s">
        <v>1432</v>
      </c>
      <c r="H1541" t="str">
        <f>TEXT(walmart[[#This Row],[Purchase_Date]],"DDD")</f>
        <v>Wed</v>
      </c>
      <c r="I1541" t="str">
        <f>TEXT(walmart[[#This Row],[Purchase_Date]],"MMM")</f>
        <v>Jan</v>
      </c>
      <c r="J1541" t="str">
        <f>TEXT(walmart[[#This Row],[Purchase_Date]],"YYY")</f>
        <v>2025</v>
      </c>
      <c r="K1541" s="3">
        <v>362.55</v>
      </c>
      <c r="L1541" t="str">
        <f t="shared" si="112"/>
        <v>5% off</v>
      </c>
      <c r="N1541" t="str">
        <f t="shared" si="113"/>
        <v>Yes</v>
      </c>
      <c r="O1541" t="s">
        <v>34</v>
      </c>
      <c r="P1541" s="3">
        <f t="shared" si="114"/>
        <v>362.55</v>
      </c>
      <c r="Q1541" t="s">
        <v>35</v>
      </c>
      <c r="R1541">
        <v>1</v>
      </c>
      <c r="S1541" t="str">
        <f t="shared" si="115"/>
        <v>Very Poor</v>
      </c>
    </row>
    <row r="1542" spans="1:19" x14ac:dyDescent="0.25">
      <c r="A1542" t="s">
        <v>1961</v>
      </c>
      <c r="B1542">
        <v>49</v>
      </c>
      <c r="C1542" t="s">
        <v>16</v>
      </c>
      <c r="D1542" t="s">
        <v>2469</v>
      </c>
      <c r="E1542" t="s">
        <v>18</v>
      </c>
      <c r="F1542" t="s">
        <v>77</v>
      </c>
      <c r="G1542" t="s">
        <v>1230</v>
      </c>
      <c r="H1542" t="str">
        <f>TEXT(walmart[[#This Row],[Purchase_Date]],"DDD")</f>
        <v>Sat</v>
      </c>
      <c r="I1542" t="str">
        <f>TEXT(walmart[[#This Row],[Purchase_Date]],"MMM")</f>
        <v>May</v>
      </c>
      <c r="J1542" t="str">
        <f>TEXT(walmart[[#This Row],[Purchase_Date]],"YYY")</f>
        <v>2024</v>
      </c>
      <c r="K1542" s="3">
        <v>116.78</v>
      </c>
      <c r="L1542" t="str">
        <f t="shared" si="112"/>
        <v>0% off</v>
      </c>
      <c r="N1542" t="str">
        <f t="shared" si="113"/>
        <v>No</v>
      </c>
      <c r="O1542" t="s">
        <v>34</v>
      </c>
      <c r="P1542" s="3">
        <f t="shared" si="114"/>
        <v>116.78</v>
      </c>
      <c r="Q1542" t="s">
        <v>22</v>
      </c>
      <c r="R1542">
        <v>3</v>
      </c>
      <c r="S1542" t="str">
        <f t="shared" si="115"/>
        <v>Average</v>
      </c>
    </row>
    <row r="1543" spans="1:19" x14ac:dyDescent="0.25">
      <c r="A1543" t="s">
        <v>1962</v>
      </c>
      <c r="B1543">
        <v>31</v>
      </c>
      <c r="C1543" t="s">
        <v>29</v>
      </c>
      <c r="D1543" t="s">
        <v>2470</v>
      </c>
      <c r="E1543" t="s">
        <v>31</v>
      </c>
      <c r="F1543" t="s">
        <v>300</v>
      </c>
      <c r="G1543" t="s">
        <v>658</v>
      </c>
      <c r="H1543" t="str">
        <f>TEXT(walmart[[#This Row],[Purchase_Date]],"DDD")</f>
        <v>Fri</v>
      </c>
      <c r="I1543" t="str">
        <f>TEXT(walmart[[#This Row],[Purchase_Date]],"MMM")</f>
        <v>Jun</v>
      </c>
      <c r="J1543" t="str">
        <f>TEXT(walmart[[#This Row],[Purchase_Date]],"YYY")</f>
        <v>2024</v>
      </c>
      <c r="K1543" s="3">
        <v>340.04</v>
      </c>
      <c r="L1543" t="str">
        <f t="shared" si="112"/>
        <v>5% off</v>
      </c>
      <c r="N1543" t="str">
        <f t="shared" si="113"/>
        <v>Yes</v>
      </c>
      <c r="O1543" t="s">
        <v>34</v>
      </c>
      <c r="P1543" s="3">
        <f t="shared" si="114"/>
        <v>340.04</v>
      </c>
      <c r="Q1543" t="s">
        <v>22</v>
      </c>
      <c r="R1543">
        <v>1</v>
      </c>
      <c r="S1543" t="str">
        <f t="shared" si="115"/>
        <v>Very Poor</v>
      </c>
    </row>
    <row r="1544" spans="1:19" x14ac:dyDescent="0.25">
      <c r="A1544" t="s">
        <v>1963</v>
      </c>
      <c r="B1544">
        <v>31</v>
      </c>
      <c r="C1544" t="s">
        <v>29</v>
      </c>
      <c r="D1544" t="s">
        <v>2471</v>
      </c>
      <c r="E1544" t="s">
        <v>73</v>
      </c>
      <c r="F1544" t="s">
        <v>74</v>
      </c>
      <c r="G1544" t="s">
        <v>174</v>
      </c>
      <c r="H1544" t="str">
        <f>TEXT(walmart[[#This Row],[Purchase_Date]],"DDD")</f>
        <v>Sun</v>
      </c>
      <c r="I1544" t="str">
        <f>TEXT(walmart[[#This Row],[Purchase_Date]],"MMM")</f>
        <v>Dec</v>
      </c>
      <c r="J1544" t="str">
        <f>TEXT(walmart[[#This Row],[Purchase_Date]],"YYY")</f>
        <v>2024</v>
      </c>
      <c r="K1544" s="3">
        <v>782.29</v>
      </c>
      <c r="L1544" t="str">
        <f t="shared" si="112"/>
        <v>15% off</v>
      </c>
      <c r="N1544" t="str">
        <f t="shared" si="113"/>
        <v>Yes</v>
      </c>
      <c r="O1544" t="s">
        <v>21</v>
      </c>
      <c r="P1544" s="3">
        <f t="shared" si="114"/>
        <v>782.29</v>
      </c>
      <c r="Q1544" t="s">
        <v>27</v>
      </c>
      <c r="R1544">
        <v>3</v>
      </c>
      <c r="S1544" t="str">
        <f t="shared" si="115"/>
        <v>Average</v>
      </c>
    </row>
    <row r="1545" spans="1:19" x14ac:dyDescent="0.25">
      <c r="A1545" t="s">
        <v>1964</v>
      </c>
      <c r="B1545">
        <v>35</v>
      </c>
      <c r="C1545" t="s">
        <v>16</v>
      </c>
      <c r="D1545" t="s">
        <v>2472</v>
      </c>
      <c r="E1545" t="s">
        <v>73</v>
      </c>
      <c r="F1545" t="s">
        <v>91</v>
      </c>
      <c r="G1545" t="s">
        <v>92</v>
      </c>
      <c r="H1545" t="str">
        <f>TEXT(walmart[[#This Row],[Purchase_Date]],"DDD")</f>
        <v>Sun</v>
      </c>
      <c r="I1545" t="str">
        <f>TEXT(walmart[[#This Row],[Purchase_Date]],"MMM")</f>
        <v>May</v>
      </c>
      <c r="J1545" t="str">
        <f>TEXT(walmart[[#This Row],[Purchase_Date]],"YYY")</f>
        <v>2024</v>
      </c>
      <c r="K1545" s="3">
        <v>418.55</v>
      </c>
      <c r="L1545" t="str">
        <f t="shared" si="112"/>
        <v>5% off</v>
      </c>
      <c r="N1545" t="str">
        <f t="shared" si="113"/>
        <v>Yes</v>
      </c>
      <c r="O1545" t="s">
        <v>21</v>
      </c>
      <c r="P1545" s="3">
        <f t="shared" si="114"/>
        <v>418.55</v>
      </c>
      <c r="Q1545" t="s">
        <v>22</v>
      </c>
      <c r="R1545">
        <v>4</v>
      </c>
      <c r="S1545" t="str">
        <f t="shared" si="115"/>
        <v>Good</v>
      </c>
    </row>
    <row r="1546" spans="1:19" x14ac:dyDescent="0.25">
      <c r="A1546" t="s">
        <v>1965</v>
      </c>
      <c r="B1546">
        <v>68</v>
      </c>
      <c r="C1546" t="s">
        <v>29</v>
      </c>
      <c r="D1546" t="s">
        <v>2473</v>
      </c>
      <c r="E1546" t="s">
        <v>55</v>
      </c>
      <c r="F1546" t="s">
        <v>100</v>
      </c>
      <c r="G1546" t="s">
        <v>361</v>
      </c>
      <c r="H1546" t="str">
        <f>TEXT(walmart[[#This Row],[Purchase_Date]],"DDD")</f>
        <v>Sat</v>
      </c>
      <c r="I1546" t="str">
        <f>TEXT(walmart[[#This Row],[Purchase_Date]],"MMM")</f>
        <v>Jul</v>
      </c>
      <c r="J1546" t="str">
        <f>TEXT(walmart[[#This Row],[Purchase_Date]],"YYY")</f>
        <v>2024</v>
      </c>
      <c r="K1546" s="3">
        <v>592.26</v>
      </c>
      <c r="L1546" t="str">
        <f t="shared" si="112"/>
        <v>10% off</v>
      </c>
      <c r="N1546" t="str">
        <f t="shared" si="113"/>
        <v>Yes</v>
      </c>
      <c r="O1546" t="s">
        <v>34</v>
      </c>
      <c r="P1546" s="3">
        <f t="shared" si="114"/>
        <v>592.26</v>
      </c>
      <c r="Q1546" t="s">
        <v>47</v>
      </c>
      <c r="R1546">
        <v>4</v>
      </c>
      <c r="S1546" t="str">
        <f t="shared" si="115"/>
        <v>Good</v>
      </c>
    </row>
    <row r="1547" spans="1:19" x14ac:dyDescent="0.25">
      <c r="A1547" t="s">
        <v>1966</v>
      </c>
      <c r="B1547">
        <v>25</v>
      </c>
      <c r="C1547" t="s">
        <v>29</v>
      </c>
      <c r="D1547" t="s">
        <v>2474</v>
      </c>
      <c r="E1547" t="s">
        <v>73</v>
      </c>
      <c r="F1547" t="s">
        <v>74</v>
      </c>
      <c r="G1547" t="s">
        <v>258</v>
      </c>
      <c r="H1547" t="str">
        <f>TEXT(walmart[[#This Row],[Purchase_Date]],"DDD")</f>
        <v>Fri</v>
      </c>
      <c r="I1547" t="str">
        <f>TEXT(walmart[[#This Row],[Purchase_Date]],"MMM")</f>
        <v>Oct</v>
      </c>
      <c r="J1547" t="str">
        <f>TEXT(walmart[[#This Row],[Purchase_Date]],"YYY")</f>
        <v>2024</v>
      </c>
      <c r="K1547" s="3">
        <v>782.29</v>
      </c>
      <c r="L1547" t="str">
        <f t="shared" si="112"/>
        <v>15% off</v>
      </c>
      <c r="N1547" t="str">
        <f t="shared" si="113"/>
        <v>Yes</v>
      </c>
      <c r="O1547" t="s">
        <v>34</v>
      </c>
      <c r="P1547" s="3">
        <f t="shared" si="114"/>
        <v>782.29</v>
      </c>
      <c r="Q1547" t="s">
        <v>27</v>
      </c>
      <c r="R1547">
        <v>1</v>
      </c>
      <c r="S1547" t="str">
        <f t="shared" si="115"/>
        <v>Very Poor</v>
      </c>
    </row>
    <row r="1548" spans="1:19" x14ac:dyDescent="0.25">
      <c r="A1548" t="s">
        <v>1967</v>
      </c>
      <c r="B1548">
        <v>58</v>
      </c>
      <c r="C1548" t="s">
        <v>29</v>
      </c>
      <c r="D1548" t="s">
        <v>2475</v>
      </c>
      <c r="E1548" t="s">
        <v>31</v>
      </c>
      <c r="F1548" t="s">
        <v>169</v>
      </c>
      <c r="G1548" t="s">
        <v>449</v>
      </c>
      <c r="H1548" t="str">
        <f>TEXT(walmart[[#This Row],[Purchase_Date]],"DDD")</f>
        <v>Tue</v>
      </c>
      <c r="I1548" t="str">
        <f>TEXT(walmart[[#This Row],[Purchase_Date]],"MMM")</f>
        <v>Aug</v>
      </c>
      <c r="J1548" t="str">
        <f>TEXT(walmart[[#This Row],[Purchase_Date]],"YYY")</f>
        <v>2024</v>
      </c>
      <c r="K1548" s="3">
        <v>52.44</v>
      </c>
      <c r="L1548" t="str">
        <f t="shared" si="112"/>
        <v>0% off</v>
      </c>
      <c r="N1548" t="str">
        <f t="shared" si="113"/>
        <v>No</v>
      </c>
      <c r="O1548" t="s">
        <v>34</v>
      </c>
      <c r="P1548" s="3">
        <f t="shared" si="114"/>
        <v>52.44</v>
      </c>
      <c r="Q1548" t="s">
        <v>22</v>
      </c>
      <c r="R1548">
        <v>5</v>
      </c>
      <c r="S1548" t="str">
        <f t="shared" si="115"/>
        <v>Excellent</v>
      </c>
    </row>
    <row r="1549" spans="1:19" x14ac:dyDescent="0.25">
      <c r="A1549" t="s">
        <v>1968</v>
      </c>
      <c r="B1549">
        <v>27</v>
      </c>
      <c r="C1549" t="s">
        <v>29</v>
      </c>
      <c r="D1549" t="s">
        <v>2476</v>
      </c>
      <c r="E1549" t="s">
        <v>31</v>
      </c>
      <c r="F1549" t="s">
        <v>32</v>
      </c>
      <c r="G1549" t="s">
        <v>855</v>
      </c>
      <c r="H1549" t="str">
        <f>TEXT(walmart[[#This Row],[Purchase_Date]],"DDD")</f>
        <v>Thu</v>
      </c>
      <c r="I1549" t="str">
        <f>TEXT(walmart[[#This Row],[Purchase_Date]],"MMM")</f>
        <v>Nov</v>
      </c>
      <c r="J1549" t="str">
        <f>TEXT(walmart[[#This Row],[Purchase_Date]],"YYY")</f>
        <v>2024</v>
      </c>
      <c r="K1549" s="3">
        <v>493.96</v>
      </c>
      <c r="L1549" t="str">
        <f t="shared" si="112"/>
        <v>5% off</v>
      </c>
      <c r="N1549" t="str">
        <f t="shared" si="113"/>
        <v>Yes</v>
      </c>
      <c r="O1549" t="s">
        <v>34</v>
      </c>
      <c r="P1549" s="3">
        <f t="shared" si="114"/>
        <v>493.96</v>
      </c>
      <c r="Q1549" t="s">
        <v>47</v>
      </c>
      <c r="R1549">
        <v>5</v>
      </c>
      <c r="S1549" t="str">
        <f t="shared" si="115"/>
        <v>Excellent</v>
      </c>
    </row>
    <row r="1550" spans="1:19" x14ac:dyDescent="0.25">
      <c r="A1550" t="s">
        <v>1969</v>
      </c>
      <c r="B1550">
        <v>48</v>
      </c>
      <c r="C1550" t="s">
        <v>16</v>
      </c>
      <c r="D1550" t="s">
        <v>2477</v>
      </c>
      <c r="E1550" t="s">
        <v>37</v>
      </c>
      <c r="F1550" t="s">
        <v>82</v>
      </c>
      <c r="G1550" t="s">
        <v>704</v>
      </c>
      <c r="H1550" t="str">
        <f>TEXT(walmart[[#This Row],[Purchase_Date]],"DDD")</f>
        <v>Wed</v>
      </c>
      <c r="I1550" t="str">
        <f>TEXT(walmart[[#This Row],[Purchase_Date]],"MMM")</f>
        <v>Jul</v>
      </c>
      <c r="J1550" t="str">
        <f>TEXT(walmart[[#This Row],[Purchase_Date]],"YYY")</f>
        <v>2024</v>
      </c>
      <c r="K1550" s="3">
        <v>270.41000000000003</v>
      </c>
      <c r="L1550" t="str">
        <f t="shared" si="112"/>
        <v>5% off</v>
      </c>
      <c r="N1550" t="str">
        <f t="shared" si="113"/>
        <v>Yes</v>
      </c>
      <c r="O1550" t="s">
        <v>34</v>
      </c>
      <c r="P1550" s="3">
        <f t="shared" si="114"/>
        <v>270.41000000000003</v>
      </c>
      <c r="Q1550" t="s">
        <v>22</v>
      </c>
      <c r="R1550">
        <v>4</v>
      </c>
      <c r="S1550" t="str">
        <f t="shared" si="115"/>
        <v>Good</v>
      </c>
    </row>
    <row r="1551" spans="1:19" x14ac:dyDescent="0.25">
      <c r="A1551" t="s">
        <v>1970</v>
      </c>
      <c r="B1551">
        <v>65</v>
      </c>
      <c r="C1551" t="s">
        <v>16</v>
      </c>
      <c r="D1551" t="s">
        <v>2478</v>
      </c>
      <c r="E1551" t="s">
        <v>55</v>
      </c>
      <c r="F1551" t="s">
        <v>67</v>
      </c>
      <c r="G1551" t="s">
        <v>641</v>
      </c>
      <c r="H1551" t="str">
        <f>TEXT(walmart[[#This Row],[Purchase_Date]],"DDD")</f>
        <v>Sun</v>
      </c>
      <c r="I1551" t="str">
        <f>TEXT(walmart[[#This Row],[Purchase_Date]],"MMM")</f>
        <v>Nov</v>
      </c>
      <c r="J1551" t="str">
        <f>TEXT(walmart[[#This Row],[Purchase_Date]],"YYY")</f>
        <v>2024</v>
      </c>
      <c r="K1551" s="3">
        <v>452.97</v>
      </c>
      <c r="L1551" t="str">
        <f t="shared" si="112"/>
        <v>5% off</v>
      </c>
      <c r="N1551" t="str">
        <f t="shared" si="113"/>
        <v>Yes</v>
      </c>
      <c r="O1551" t="s">
        <v>21</v>
      </c>
      <c r="P1551" s="3">
        <f t="shared" si="114"/>
        <v>452.97</v>
      </c>
      <c r="Q1551" t="s">
        <v>35</v>
      </c>
      <c r="R1551">
        <v>3</v>
      </c>
      <c r="S1551" t="str">
        <f t="shared" si="115"/>
        <v>Average</v>
      </c>
    </row>
    <row r="1552" spans="1:19" x14ac:dyDescent="0.25">
      <c r="A1552" t="s">
        <v>1971</v>
      </c>
      <c r="B1552">
        <v>65</v>
      </c>
      <c r="C1552" t="s">
        <v>16</v>
      </c>
      <c r="D1552" t="s">
        <v>2479</v>
      </c>
      <c r="E1552" t="s">
        <v>42</v>
      </c>
      <c r="F1552" t="s">
        <v>120</v>
      </c>
      <c r="G1552" t="s">
        <v>983</v>
      </c>
      <c r="H1552" t="str">
        <f>TEXT(walmart[[#This Row],[Purchase_Date]],"DDD")</f>
        <v>Wed</v>
      </c>
      <c r="I1552" t="str">
        <f>TEXT(walmart[[#This Row],[Purchase_Date]],"MMM")</f>
        <v>Jan</v>
      </c>
      <c r="J1552" t="str">
        <f>TEXT(walmart[[#This Row],[Purchase_Date]],"YYY")</f>
        <v>2025</v>
      </c>
      <c r="K1552" s="3">
        <v>260.77999999999997</v>
      </c>
      <c r="L1552" t="str">
        <f t="shared" si="112"/>
        <v>5% off</v>
      </c>
      <c r="N1552" t="str">
        <f t="shared" si="113"/>
        <v>Yes</v>
      </c>
      <c r="O1552" t="s">
        <v>21</v>
      </c>
      <c r="P1552" s="3">
        <f t="shared" si="114"/>
        <v>260.77999999999997</v>
      </c>
      <c r="Q1552" t="s">
        <v>22</v>
      </c>
      <c r="R1552">
        <v>2</v>
      </c>
      <c r="S1552" t="str">
        <f t="shared" si="115"/>
        <v>Poor</v>
      </c>
    </row>
    <row r="1553" spans="1:19" x14ac:dyDescent="0.25">
      <c r="A1553" t="s">
        <v>1972</v>
      </c>
      <c r="B1553">
        <v>34</v>
      </c>
      <c r="C1553" t="s">
        <v>29</v>
      </c>
      <c r="D1553" t="s">
        <v>2480</v>
      </c>
      <c r="E1553" t="s">
        <v>31</v>
      </c>
      <c r="F1553" t="s">
        <v>32</v>
      </c>
      <c r="G1553" t="s">
        <v>746</v>
      </c>
      <c r="H1553" t="str">
        <f>TEXT(walmart[[#This Row],[Purchase_Date]],"DDD")</f>
        <v>Tue</v>
      </c>
      <c r="I1553" t="str">
        <f>TEXT(walmart[[#This Row],[Purchase_Date]],"MMM")</f>
        <v>Dec</v>
      </c>
      <c r="J1553" t="str">
        <f>TEXT(walmart[[#This Row],[Purchase_Date]],"YYY")</f>
        <v>2024</v>
      </c>
      <c r="K1553" s="3">
        <v>493.96</v>
      </c>
      <c r="L1553" t="str">
        <f t="shared" si="112"/>
        <v>5% off</v>
      </c>
      <c r="N1553" t="str">
        <f t="shared" si="113"/>
        <v>Yes</v>
      </c>
      <c r="O1553" t="s">
        <v>21</v>
      </c>
      <c r="P1553" s="3">
        <f t="shared" si="114"/>
        <v>493.96</v>
      </c>
      <c r="Q1553" t="s">
        <v>35</v>
      </c>
      <c r="R1553">
        <v>5</v>
      </c>
      <c r="S1553" t="str">
        <f t="shared" si="115"/>
        <v>Excellent</v>
      </c>
    </row>
    <row r="1554" spans="1:19" x14ac:dyDescent="0.25">
      <c r="A1554" t="s">
        <v>1973</v>
      </c>
      <c r="B1554">
        <v>54</v>
      </c>
      <c r="C1554" t="s">
        <v>29</v>
      </c>
      <c r="D1554" t="s">
        <v>2481</v>
      </c>
      <c r="E1554" t="s">
        <v>73</v>
      </c>
      <c r="F1554" t="s">
        <v>138</v>
      </c>
      <c r="G1554" t="s">
        <v>461</v>
      </c>
      <c r="H1554" t="str">
        <f>TEXT(walmart[[#This Row],[Purchase_Date]],"DDD")</f>
        <v>Thu</v>
      </c>
      <c r="I1554" t="str">
        <f>TEXT(walmart[[#This Row],[Purchase_Date]],"MMM")</f>
        <v>Mar</v>
      </c>
      <c r="J1554" t="str">
        <f>TEXT(walmart[[#This Row],[Purchase_Date]],"YYY")</f>
        <v>2025</v>
      </c>
      <c r="K1554" s="3">
        <v>461.81</v>
      </c>
      <c r="L1554" t="str">
        <f t="shared" si="112"/>
        <v>5% off</v>
      </c>
      <c r="N1554" t="str">
        <f t="shared" si="113"/>
        <v>Yes</v>
      </c>
      <c r="O1554" t="s">
        <v>34</v>
      </c>
      <c r="P1554" s="3">
        <f t="shared" si="114"/>
        <v>461.81</v>
      </c>
      <c r="Q1554" t="s">
        <v>27</v>
      </c>
      <c r="R1554">
        <v>1</v>
      </c>
      <c r="S1554" t="str">
        <f t="shared" si="115"/>
        <v>Very Poor</v>
      </c>
    </row>
    <row r="1555" spans="1:19" x14ac:dyDescent="0.25">
      <c r="A1555" t="s">
        <v>1974</v>
      </c>
      <c r="B1555">
        <v>57</v>
      </c>
      <c r="C1555" t="s">
        <v>16</v>
      </c>
      <c r="D1555" t="s">
        <v>2482</v>
      </c>
      <c r="E1555" t="s">
        <v>24</v>
      </c>
      <c r="F1555" t="s">
        <v>186</v>
      </c>
      <c r="G1555" t="s">
        <v>101</v>
      </c>
      <c r="H1555" t="str">
        <f>TEXT(walmart[[#This Row],[Purchase_Date]],"DDD")</f>
        <v>Mon</v>
      </c>
      <c r="I1555" t="str">
        <f>TEXT(walmart[[#This Row],[Purchase_Date]],"MMM")</f>
        <v>Feb</v>
      </c>
      <c r="J1555" t="str">
        <f>TEXT(walmart[[#This Row],[Purchase_Date]],"YYY")</f>
        <v>2025</v>
      </c>
      <c r="K1555" s="3">
        <v>527.16999999999996</v>
      </c>
      <c r="L1555" t="str">
        <f t="shared" si="112"/>
        <v>10% off</v>
      </c>
      <c r="N1555" t="str">
        <f t="shared" si="113"/>
        <v>Yes</v>
      </c>
      <c r="O1555" t="s">
        <v>34</v>
      </c>
      <c r="P1555" s="3">
        <f t="shared" si="114"/>
        <v>527.16999999999996</v>
      </c>
      <c r="Q1555" t="s">
        <v>22</v>
      </c>
      <c r="R1555">
        <v>2</v>
      </c>
      <c r="S1555" t="str">
        <f t="shared" si="115"/>
        <v>Poor</v>
      </c>
    </row>
    <row r="1556" spans="1:19" x14ac:dyDescent="0.25">
      <c r="A1556" t="s">
        <v>1975</v>
      </c>
      <c r="B1556">
        <v>18</v>
      </c>
      <c r="C1556" t="s">
        <v>16</v>
      </c>
      <c r="D1556" t="s">
        <v>2462</v>
      </c>
      <c r="E1556" t="s">
        <v>37</v>
      </c>
      <c r="F1556" t="s">
        <v>82</v>
      </c>
      <c r="G1556" t="s">
        <v>1131</v>
      </c>
      <c r="H1556" t="str">
        <f>TEXT(walmart[[#This Row],[Purchase_Date]],"DDD")</f>
        <v>Sat</v>
      </c>
      <c r="I1556" t="str">
        <f>TEXT(walmart[[#This Row],[Purchase_Date]],"MMM")</f>
        <v>Jan</v>
      </c>
      <c r="J1556" t="str">
        <f>TEXT(walmart[[#This Row],[Purchase_Date]],"YYY")</f>
        <v>2025</v>
      </c>
      <c r="K1556" s="3">
        <v>270.41000000000003</v>
      </c>
      <c r="L1556" t="str">
        <f t="shared" si="112"/>
        <v>5% off</v>
      </c>
      <c r="N1556" t="str">
        <f t="shared" si="113"/>
        <v>Yes</v>
      </c>
      <c r="O1556" t="s">
        <v>34</v>
      </c>
      <c r="P1556" s="3">
        <f t="shared" si="114"/>
        <v>270.41000000000003</v>
      </c>
      <c r="Q1556" t="s">
        <v>47</v>
      </c>
      <c r="R1556">
        <v>5</v>
      </c>
      <c r="S1556" t="str">
        <f t="shared" si="115"/>
        <v>Excellent</v>
      </c>
    </row>
    <row r="1557" spans="1:19" x14ac:dyDescent="0.25">
      <c r="A1557" t="s">
        <v>1976</v>
      </c>
      <c r="B1557">
        <v>56</v>
      </c>
      <c r="C1557" t="s">
        <v>16</v>
      </c>
      <c r="D1557" t="s">
        <v>2483</v>
      </c>
      <c r="E1557" t="s">
        <v>42</v>
      </c>
      <c r="F1557" t="s">
        <v>103</v>
      </c>
      <c r="G1557" t="s">
        <v>827</v>
      </c>
      <c r="H1557" t="str">
        <f>TEXT(walmart[[#This Row],[Purchase_Date]],"DDD")</f>
        <v>Mon</v>
      </c>
      <c r="I1557" t="str">
        <f>TEXT(walmart[[#This Row],[Purchase_Date]],"MMM")</f>
        <v>Dec</v>
      </c>
      <c r="J1557" t="str">
        <f>TEXT(walmart[[#This Row],[Purchase_Date]],"YYY")</f>
        <v>2024</v>
      </c>
      <c r="K1557" s="3">
        <v>315.56</v>
      </c>
      <c r="L1557" t="str">
        <f t="shared" si="112"/>
        <v>5% off</v>
      </c>
      <c r="N1557" t="str">
        <f t="shared" si="113"/>
        <v>Yes</v>
      </c>
      <c r="O1557" t="s">
        <v>21</v>
      </c>
      <c r="P1557" s="3">
        <f t="shared" si="114"/>
        <v>315.56</v>
      </c>
      <c r="Q1557" t="s">
        <v>47</v>
      </c>
      <c r="R1557">
        <v>2</v>
      </c>
      <c r="S1557" t="str">
        <f t="shared" si="115"/>
        <v>Poor</v>
      </c>
    </row>
    <row r="1558" spans="1:19" x14ac:dyDescent="0.25">
      <c r="A1558" t="s">
        <v>1977</v>
      </c>
      <c r="B1558">
        <v>49</v>
      </c>
      <c r="C1558" t="s">
        <v>29</v>
      </c>
      <c r="D1558" t="s">
        <v>2484</v>
      </c>
      <c r="E1558" t="s">
        <v>55</v>
      </c>
      <c r="F1558" t="s">
        <v>100</v>
      </c>
      <c r="G1558" t="s">
        <v>805</v>
      </c>
      <c r="H1558" t="str">
        <f>TEXT(walmart[[#This Row],[Purchase_Date]],"DDD")</f>
        <v>Thu</v>
      </c>
      <c r="I1558" t="str">
        <f>TEXT(walmart[[#This Row],[Purchase_Date]],"MMM")</f>
        <v>Apr</v>
      </c>
      <c r="J1558" t="str">
        <f>TEXT(walmart[[#This Row],[Purchase_Date]],"YYY")</f>
        <v>2024</v>
      </c>
      <c r="K1558" s="3">
        <v>592.26</v>
      </c>
      <c r="L1558" t="str">
        <f t="shared" si="112"/>
        <v>10% off</v>
      </c>
      <c r="N1558" t="str">
        <f t="shared" si="113"/>
        <v>Yes</v>
      </c>
      <c r="O1558" t="s">
        <v>34</v>
      </c>
      <c r="P1558" s="3">
        <f t="shared" si="114"/>
        <v>592.26</v>
      </c>
      <c r="Q1558" t="s">
        <v>47</v>
      </c>
      <c r="R1558">
        <v>2</v>
      </c>
      <c r="S1558" t="str">
        <f t="shared" si="115"/>
        <v>Poor</v>
      </c>
    </row>
    <row r="1559" spans="1:19" x14ac:dyDescent="0.25">
      <c r="A1559" t="s">
        <v>1978</v>
      </c>
      <c r="B1559">
        <v>63</v>
      </c>
      <c r="C1559" t="s">
        <v>29</v>
      </c>
      <c r="D1559" t="s">
        <v>2485</v>
      </c>
      <c r="E1559" t="s">
        <v>24</v>
      </c>
      <c r="F1559" t="s">
        <v>162</v>
      </c>
      <c r="G1559" t="s">
        <v>733</v>
      </c>
      <c r="H1559" t="str">
        <f>TEXT(walmart[[#This Row],[Purchase_Date]],"DDD")</f>
        <v>Fri</v>
      </c>
      <c r="I1559" t="str">
        <f>TEXT(walmart[[#This Row],[Purchase_Date]],"MMM")</f>
        <v>Dec</v>
      </c>
      <c r="J1559" t="str">
        <f>TEXT(walmart[[#This Row],[Purchase_Date]],"YYY")</f>
        <v>2024</v>
      </c>
      <c r="K1559" s="3">
        <v>362.55</v>
      </c>
      <c r="L1559" t="str">
        <f t="shared" si="112"/>
        <v>5% off</v>
      </c>
      <c r="N1559" t="str">
        <f t="shared" si="113"/>
        <v>Yes</v>
      </c>
      <c r="O1559" t="s">
        <v>21</v>
      </c>
      <c r="P1559" s="3">
        <f t="shared" si="114"/>
        <v>362.55</v>
      </c>
      <c r="Q1559" t="s">
        <v>22</v>
      </c>
      <c r="R1559">
        <v>5</v>
      </c>
      <c r="S1559" t="str">
        <f t="shared" si="115"/>
        <v>Excellent</v>
      </c>
    </row>
    <row r="1560" spans="1:19" x14ac:dyDescent="0.25">
      <c r="A1560" t="s">
        <v>1979</v>
      </c>
      <c r="B1560">
        <v>63</v>
      </c>
      <c r="C1560" t="s">
        <v>16</v>
      </c>
      <c r="D1560" t="s">
        <v>2486</v>
      </c>
      <c r="E1560" t="s">
        <v>24</v>
      </c>
      <c r="F1560" t="s">
        <v>162</v>
      </c>
      <c r="G1560" t="s">
        <v>746</v>
      </c>
      <c r="H1560" t="str">
        <f>TEXT(walmart[[#This Row],[Purchase_Date]],"DDD")</f>
        <v>Tue</v>
      </c>
      <c r="I1560" t="str">
        <f>TEXT(walmart[[#This Row],[Purchase_Date]],"MMM")</f>
        <v>Dec</v>
      </c>
      <c r="J1560" t="str">
        <f>TEXT(walmart[[#This Row],[Purchase_Date]],"YYY")</f>
        <v>2024</v>
      </c>
      <c r="K1560" s="3">
        <v>362.55</v>
      </c>
      <c r="L1560" t="str">
        <f t="shared" si="112"/>
        <v>5% off</v>
      </c>
      <c r="N1560" t="str">
        <f t="shared" si="113"/>
        <v>Yes</v>
      </c>
      <c r="O1560" t="s">
        <v>21</v>
      </c>
      <c r="P1560" s="3">
        <f t="shared" si="114"/>
        <v>362.55</v>
      </c>
      <c r="Q1560" t="s">
        <v>27</v>
      </c>
      <c r="R1560">
        <v>3</v>
      </c>
      <c r="S1560" t="str">
        <f t="shared" si="115"/>
        <v>Average</v>
      </c>
    </row>
    <row r="1561" spans="1:19" x14ac:dyDescent="0.25">
      <c r="A1561" t="s">
        <v>1980</v>
      </c>
      <c r="B1561">
        <v>53</v>
      </c>
      <c r="C1561" t="s">
        <v>29</v>
      </c>
      <c r="D1561" t="s">
        <v>2487</v>
      </c>
      <c r="E1561" t="s">
        <v>24</v>
      </c>
      <c r="F1561" t="s">
        <v>25</v>
      </c>
      <c r="G1561" t="s">
        <v>236</v>
      </c>
      <c r="H1561" t="str">
        <f>TEXT(walmart[[#This Row],[Purchase_Date]],"DDD")</f>
        <v>Wed</v>
      </c>
      <c r="I1561" t="str">
        <f>TEXT(walmart[[#This Row],[Purchase_Date]],"MMM")</f>
        <v>Dec</v>
      </c>
      <c r="J1561" t="str">
        <f>TEXT(walmart[[#This Row],[Purchase_Date]],"YYY")</f>
        <v>2024</v>
      </c>
      <c r="K1561" s="3">
        <v>67.040000000000006</v>
      </c>
      <c r="L1561" t="str">
        <f t="shared" si="112"/>
        <v>0% off</v>
      </c>
      <c r="N1561" t="str">
        <f t="shared" si="113"/>
        <v>No</v>
      </c>
      <c r="O1561" t="s">
        <v>34</v>
      </c>
      <c r="P1561" s="3">
        <f t="shared" si="114"/>
        <v>67.040000000000006</v>
      </c>
      <c r="Q1561" t="s">
        <v>47</v>
      </c>
      <c r="R1561">
        <v>4</v>
      </c>
      <c r="S1561" t="str">
        <f t="shared" si="115"/>
        <v>Good</v>
      </c>
    </row>
    <row r="1562" spans="1:19" x14ac:dyDescent="0.25">
      <c r="A1562" t="s">
        <v>1981</v>
      </c>
      <c r="B1562">
        <v>42</v>
      </c>
      <c r="C1562" t="s">
        <v>29</v>
      </c>
      <c r="D1562" t="s">
        <v>2488</v>
      </c>
      <c r="E1562" t="s">
        <v>73</v>
      </c>
      <c r="F1562" t="s">
        <v>138</v>
      </c>
      <c r="G1562" t="s">
        <v>609</v>
      </c>
      <c r="H1562" t="str">
        <f>TEXT(walmart[[#This Row],[Purchase_Date]],"DDD")</f>
        <v>Sat</v>
      </c>
      <c r="I1562" t="str">
        <f>TEXT(walmart[[#This Row],[Purchase_Date]],"MMM")</f>
        <v>Sep</v>
      </c>
      <c r="J1562" t="str">
        <f>TEXT(walmart[[#This Row],[Purchase_Date]],"YYY")</f>
        <v>2024</v>
      </c>
      <c r="K1562" s="3">
        <v>461.81</v>
      </c>
      <c r="L1562" t="str">
        <f t="shared" si="112"/>
        <v>5% off</v>
      </c>
      <c r="N1562" t="str">
        <f t="shared" si="113"/>
        <v>Yes</v>
      </c>
      <c r="O1562" t="s">
        <v>21</v>
      </c>
      <c r="P1562" s="3">
        <f t="shared" si="114"/>
        <v>461.81</v>
      </c>
      <c r="Q1562" t="s">
        <v>35</v>
      </c>
      <c r="R1562">
        <v>4</v>
      </c>
      <c r="S1562" t="str">
        <f t="shared" si="115"/>
        <v>Good</v>
      </c>
    </row>
    <row r="1563" spans="1:19" x14ac:dyDescent="0.25">
      <c r="A1563" t="s">
        <v>1982</v>
      </c>
      <c r="B1563">
        <v>34</v>
      </c>
      <c r="C1563" t="s">
        <v>29</v>
      </c>
      <c r="D1563" t="s">
        <v>2489</v>
      </c>
      <c r="E1563" t="s">
        <v>73</v>
      </c>
      <c r="F1563" t="s">
        <v>138</v>
      </c>
      <c r="G1563" t="s">
        <v>1365</v>
      </c>
      <c r="H1563" t="str">
        <f>TEXT(walmart[[#This Row],[Purchase_Date]],"DDD")</f>
        <v>Thu</v>
      </c>
      <c r="I1563" t="str">
        <f>TEXT(walmart[[#This Row],[Purchase_Date]],"MMM")</f>
        <v>Jan</v>
      </c>
      <c r="J1563" t="str">
        <f>TEXT(walmart[[#This Row],[Purchase_Date]],"YYY")</f>
        <v>2025</v>
      </c>
      <c r="K1563" s="3">
        <v>461.81</v>
      </c>
      <c r="L1563" t="str">
        <f t="shared" si="112"/>
        <v>5% off</v>
      </c>
      <c r="N1563" t="str">
        <f t="shared" si="113"/>
        <v>Yes</v>
      </c>
      <c r="O1563" t="s">
        <v>21</v>
      </c>
      <c r="P1563" s="3">
        <f t="shared" si="114"/>
        <v>461.81</v>
      </c>
      <c r="Q1563" t="s">
        <v>27</v>
      </c>
      <c r="R1563">
        <v>1</v>
      </c>
      <c r="S1563" t="str">
        <f t="shared" si="115"/>
        <v>Very Poor</v>
      </c>
    </row>
    <row r="1564" spans="1:19" x14ac:dyDescent="0.25">
      <c r="A1564" t="s">
        <v>1983</v>
      </c>
      <c r="B1564">
        <v>46</v>
      </c>
      <c r="C1564" t="s">
        <v>16</v>
      </c>
      <c r="D1564" t="s">
        <v>2490</v>
      </c>
      <c r="E1564" t="s">
        <v>42</v>
      </c>
      <c r="F1564" t="s">
        <v>103</v>
      </c>
      <c r="G1564" t="s">
        <v>1668</v>
      </c>
      <c r="H1564" t="str">
        <f>TEXT(walmart[[#This Row],[Purchase_Date]],"DDD")</f>
        <v>Sun</v>
      </c>
      <c r="I1564" t="str">
        <f>TEXT(walmart[[#This Row],[Purchase_Date]],"MMM")</f>
        <v>Jan</v>
      </c>
      <c r="J1564" t="str">
        <f>TEXT(walmart[[#This Row],[Purchase_Date]],"YYY")</f>
        <v>2025</v>
      </c>
      <c r="K1564" s="3">
        <v>315.56</v>
      </c>
      <c r="L1564" t="str">
        <f t="shared" si="112"/>
        <v>5% off</v>
      </c>
      <c r="N1564" t="str">
        <f t="shared" si="113"/>
        <v>Yes</v>
      </c>
      <c r="O1564" t="s">
        <v>21</v>
      </c>
      <c r="P1564" s="3">
        <f t="shared" si="114"/>
        <v>315.56</v>
      </c>
      <c r="Q1564" t="s">
        <v>27</v>
      </c>
      <c r="R1564">
        <v>5</v>
      </c>
      <c r="S1564" t="str">
        <f t="shared" si="115"/>
        <v>Excellent</v>
      </c>
    </row>
    <row r="1565" spans="1:19" x14ac:dyDescent="0.25">
      <c r="A1565" t="s">
        <v>1984</v>
      </c>
      <c r="B1565">
        <v>39</v>
      </c>
      <c r="C1565" t="s">
        <v>16</v>
      </c>
      <c r="D1565" t="s">
        <v>2471</v>
      </c>
      <c r="E1565" t="s">
        <v>37</v>
      </c>
      <c r="F1565" t="s">
        <v>117</v>
      </c>
      <c r="G1565" t="s">
        <v>662</v>
      </c>
      <c r="H1565" t="str">
        <f>TEXT(walmart[[#This Row],[Purchase_Date]],"DDD")</f>
        <v>Sat</v>
      </c>
      <c r="I1565" t="str">
        <f>TEXT(walmart[[#This Row],[Purchase_Date]],"MMM")</f>
        <v>May</v>
      </c>
      <c r="J1565" t="str">
        <f>TEXT(walmart[[#This Row],[Purchase_Date]],"YYY")</f>
        <v>2024</v>
      </c>
      <c r="K1565" s="3">
        <v>165.68</v>
      </c>
      <c r="L1565" t="str">
        <f t="shared" si="112"/>
        <v>5% off</v>
      </c>
      <c r="N1565" t="str">
        <f t="shared" si="113"/>
        <v>Yes</v>
      </c>
      <c r="O1565" t="s">
        <v>34</v>
      </c>
      <c r="P1565" s="3">
        <f t="shared" si="114"/>
        <v>165.68</v>
      </c>
      <c r="Q1565" t="s">
        <v>27</v>
      </c>
      <c r="R1565">
        <v>1</v>
      </c>
      <c r="S1565" t="str">
        <f t="shared" si="115"/>
        <v>Very Poor</v>
      </c>
    </row>
    <row r="1566" spans="1:19" x14ac:dyDescent="0.25">
      <c r="A1566" t="s">
        <v>1985</v>
      </c>
      <c r="B1566">
        <v>21</v>
      </c>
      <c r="C1566" t="s">
        <v>29</v>
      </c>
      <c r="D1566" t="s">
        <v>2491</v>
      </c>
      <c r="E1566" t="s">
        <v>73</v>
      </c>
      <c r="F1566" t="s">
        <v>91</v>
      </c>
      <c r="G1566" t="s">
        <v>250</v>
      </c>
      <c r="H1566" t="str">
        <f>TEXT(walmart[[#This Row],[Purchase_Date]],"DDD")</f>
        <v>Sun</v>
      </c>
      <c r="I1566" t="str">
        <f>TEXT(walmart[[#This Row],[Purchase_Date]],"MMM")</f>
        <v>Jul</v>
      </c>
      <c r="J1566" t="str">
        <f>TEXT(walmart[[#This Row],[Purchase_Date]],"YYY")</f>
        <v>2024</v>
      </c>
      <c r="K1566" s="3">
        <v>418.55</v>
      </c>
      <c r="L1566" t="str">
        <f t="shared" si="112"/>
        <v>5% off</v>
      </c>
      <c r="N1566" t="str">
        <f t="shared" si="113"/>
        <v>Yes</v>
      </c>
      <c r="O1566" t="s">
        <v>21</v>
      </c>
      <c r="P1566" s="3">
        <f t="shared" si="114"/>
        <v>418.55</v>
      </c>
      <c r="Q1566" t="s">
        <v>35</v>
      </c>
      <c r="R1566">
        <v>4</v>
      </c>
      <c r="S1566" t="str">
        <f t="shared" si="115"/>
        <v>Good</v>
      </c>
    </row>
    <row r="1567" spans="1:19" x14ac:dyDescent="0.25">
      <c r="A1567" t="s">
        <v>1986</v>
      </c>
      <c r="B1567">
        <v>57</v>
      </c>
      <c r="C1567" t="s">
        <v>29</v>
      </c>
      <c r="D1567" t="s">
        <v>2492</v>
      </c>
      <c r="E1567" t="s">
        <v>24</v>
      </c>
      <c r="F1567" t="s">
        <v>209</v>
      </c>
      <c r="G1567" t="s">
        <v>1400</v>
      </c>
      <c r="H1567" t="str">
        <f>TEXT(walmart[[#This Row],[Purchase_Date]],"DDD")</f>
        <v>Sun</v>
      </c>
      <c r="I1567" t="str">
        <f>TEXT(walmart[[#This Row],[Purchase_Date]],"MMM")</f>
        <v>Sep</v>
      </c>
      <c r="J1567" t="str">
        <f>TEXT(walmart[[#This Row],[Purchase_Date]],"YYY")</f>
        <v>2024</v>
      </c>
      <c r="K1567" s="3">
        <v>775.75</v>
      </c>
      <c r="L1567" t="str">
        <f t="shared" si="112"/>
        <v>15% off</v>
      </c>
      <c r="N1567" t="str">
        <f t="shared" si="113"/>
        <v>Yes</v>
      </c>
      <c r="O1567" t="s">
        <v>21</v>
      </c>
      <c r="P1567" s="3">
        <f t="shared" si="114"/>
        <v>775.75</v>
      </c>
      <c r="Q1567" t="s">
        <v>47</v>
      </c>
      <c r="R1567">
        <v>2</v>
      </c>
      <c r="S1567" t="str">
        <f t="shared" si="115"/>
        <v>Poor</v>
      </c>
    </row>
    <row r="1568" spans="1:19" x14ac:dyDescent="0.25">
      <c r="A1568" t="s">
        <v>1987</v>
      </c>
      <c r="B1568">
        <v>33</v>
      </c>
      <c r="C1568" t="s">
        <v>29</v>
      </c>
      <c r="D1568" t="s">
        <v>2493</v>
      </c>
      <c r="E1568" t="s">
        <v>24</v>
      </c>
      <c r="F1568" t="s">
        <v>162</v>
      </c>
      <c r="G1568" t="s">
        <v>126</v>
      </c>
      <c r="H1568" t="str">
        <f>TEXT(walmart[[#This Row],[Purchase_Date]],"DDD")</f>
        <v>Sat</v>
      </c>
      <c r="I1568" t="str">
        <f>TEXT(walmart[[#This Row],[Purchase_Date]],"MMM")</f>
        <v>Oct</v>
      </c>
      <c r="J1568" t="str">
        <f>TEXT(walmart[[#This Row],[Purchase_Date]],"YYY")</f>
        <v>2024</v>
      </c>
      <c r="K1568" s="3">
        <v>362.55</v>
      </c>
      <c r="L1568" t="str">
        <f t="shared" si="112"/>
        <v>5% off</v>
      </c>
      <c r="N1568" t="str">
        <f t="shared" si="113"/>
        <v>Yes</v>
      </c>
      <c r="O1568" t="s">
        <v>34</v>
      </c>
      <c r="P1568" s="3">
        <f t="shared" si="114"/>
        <v>362.55</v>
      </c>
      <c r="Q1568" t="s">
        <v>47</v>
      </c>
      <c r="R1568">
        <v>2</v>
      </c>
      <c r="S1568" t="str">
        <f t="shared" si="115"/>
        <v>Poor</v>
      </c>
    </row>
    <row r="1569" spans="1:19" x14ac:dyDescent="0.25">
      <c r="A1569" t="s">
        <v>1988</v>
      </c>
      <c r="B1569">
        <v>37</v>
      </c>
      <c r="C1569" t="s">
        <v>16</v>
      </c>
      <c r="D1569" t="s">
        <v>2494</v>
      </c>
      <c r="E1569" t="s">
        <v>73</v>
      </c>
      <c r="F1569" t="s">
        <v>94</v>
      </c>
      <c r="G1569" t="s">
        <v>1230</v>
      </c>
      <c r="H1569" t="str">
        <f>TEXT(walmart[[#This Row],[Purchase_Date]],"DDD")</f>
        <v>Sat</v>
      </c>
      <c r="I1569" t="str">
        <f>TEXT(walmart[[#This Row],[Purchase_Date]],"MMM")</f>
        <v>May</v>
      </c>
      <c r="J1569" t="str">
        <f>TEXT(walmart[[#This Row],[Purchase_Date]],"YYY")</f>
        <v>2024</v>
      </c>
      <c r="K1569" s="3">
        <v>965.09</v>
      </c>
      <c r="L1569" t="str">
        <f t="shared" si="112"/>
        <v>20% off</v>
      </c>
      <c r="N1569" t="str">
        <f t="shared" si="113"/>
        <v>Yes</v>
      </c>
      <c r="O1569" t="s">
        <v>21</v>
      </c>
      <c r="P1569" s="3">
        <f t="shared" si="114"/>
        <v>965.09</v>
      </c>
      <c r="Q1569" t="s">
        <v>47</v>
      </c>
      <c r="R1569">
        <v>1</v>
      </c>
      <c r="S1569" t="str">
        <f t="shared" si="115"/>
        <v>Very Poor</v>
      </c>
    </row>
    <row r="1570" spans="1:19" x14ac:dyDescent="0.25">
      <c r="A1570" t="s">
        <v>1989</v>
      </c>
      <c r="B1570">
        <v>23</v>
      </c>
      <c r="C1570" t="s">
        <v>29</v>
      </c>
      <c r="D1570" t="s">
        <v>2495</v>
      </c>
      <c r="E1570" t="s">
        <v>31</v>
      </c>
      <c r="F1570" t="s">
        <v>112</v>
      </c>
      <c r="G1570" t="s">
        <v>287</v>
      </c>
      <c r="H1570" t="str">
        <f>TEXT(walmart[[#This Row],[Purchase_Date]],"DDD")</f>
        <v>Sun</v>
      </c>
      <c r="I1570" t="str">
        <f>TEXT(walmart[[#This Row],[Purchase_Date]],"MMM")</f>
        <v>Jul</v>
      </c>
      <c r="J1570" t="str">
        <f>TEXT(walmart[[#This Row],[Purchase_Date]],"YYY")</f>
        <v>2024</v>
      </c>
      <c r="K1570" s="3">
        <v>492.1</v>
      </c>
      <c r="L1570" t="str">
        <f t="shared" si="112"/>
        <v>5% off</v>
      </c>
      <c r="N1570" t="str">
        <f t="shared" si="113"/>
        <v>Yes</v>
      </c>
      <c r="O1570" t="s">
        <v>21</v>
      </c>
      <c r="P1570" s="3">
        <f t="shared" si="114"/>
        <v>492.1</v>
      </c>
      <c r="Q1570" t="s">
        <v>22</v>
      </c>
      <c r="R1570">
        <v>2</v>
      </c>
      <c r="S1570" t="str">
        <f t="shared" si="115"/>
        <v>Poor</v>
      </c>
    </row>
    <row r="1571" spans="1:19" x14ac:dyDescent="0.25">
      <c r="A1571" t="s">
        <v>1990</v>
      </c>
      <c r="B1571">
        <v>47</v>
      </c>
      <c r="C1571" t="s">
        <v>16</v>
      </c>
      <c r="D1571" t="s">
        <v>2496</v>
      </c>
      <c r="E1571" t="s">
        <v>24</v>
      </c>
      <c r="F1571" t="s">
        <v>25</v>
      </c>
      <c r="G1571" t="s">
        <v>167</v>
      </c>
      <c r="H1571" t="str">
        <f>TEXT(walmart[[#This Row],[Purchase_Date]],"DDD")</f>
        <v>Mon</v>
      </c>
      <c r="I1571" t="str">
        <f>TEXT(walmart[[#This Row],[Purchase_Date]],"MMM")</f>
        <v>Jan</v>
      </c>
      <c r="J1571" t="str">
        <f>TEXT(walmart[[#This Row],[Purchase_Date]],"YYY")</f>
        <v>2025</v>
      </c>
      <c r="K1571" s="3">
        <v>67.040000000000006</v>
      </c>
      <c r="L1571" t="str">
        <f t="shared" si="112"/>
        <v>0% off</v>
      </c>
      <c r="N1571" t="str">
        <f t="shared" si="113"/>
        <v>No</v>
      </c>
      <c r="O1571" t="s">
        <v>21</v>
      </c>
      <c r="P1571" s="3">
        <f t="shared" si="114"/>
        <v>67.040000000000006</v>
      </c>
      <c r="Q1571" t="s">
        <v>35</v>
      </c>
      <c r="R1571">
        <v>4</v>
      </c>
      <c r="S1571" t="str">
        <f t="shared" si="115"/>
        <v>Good</v>
      </c>
    </row>
    <row r="1572" spans="1:19" x14ac:dyDescent="0.25">
      <c r="A1572" t="s">
        <v>1991</v>
      </c>
      <c r="B1572">
        <v>28</v>
      </c>
      <c r="C1572" t="s">
        <v>29</v>
      </c>
      <c r="D1572" t="s">
        <v>2497</v>
      </c>
      <c r="E1572" t="s">
        <v>55</v>
      </c>
      <c r="F1572" t="s">
        <v>67</v>
      </c>
      <c r="G1572" t="s">
        <v>1067</v>
      </c>
      <c r="H1572" t="str">
        <f>TEXT(walmart[[#This Row],[Purchase_Date]],"DDD")</f>
        <v>Fri</v>
      </c>
      <c r="I1572" t="str">
        <f>TEXT(walmart[[#This Row],[Purchase_Date]],"MMM")</f>
        <v>Feb</v>
      </c>
      <c r="J1572" t="str">
        <f>TEXT(walmart[[#This Row],[Purchase_Date]],"YYY")</f>
        <v>2025</v>
      </c>
      <c r="K1572" s="3">
        <v>452.97</v>
      </c>
      <c r="L1572" t="str">
        <f t="shared" si="112"/>
        <v>5% off</v>
      </c>
      <c r="N1572" t="str">
        <f t="shared" si="113"/>
        <v>Yes</v>
      </c>
      <c r="O1572" t="s">
        <v>21</v>
      </c>
      <c r="P1572" s="3">
        <f t="shared" si="114"/>
        <v>452.97</v>
      </c>
      <c r="Q1572" t="s">
        <v>22</v>
      </c>
      <c r="R1572">
        <v>2</v>
      </c>
      <c r="S1572" t="str">
        <f t="shared" si="115"/>
        <v>Poor</v>
      </c>
    </row>
    <row r="1573" spans="1:19" x14ac:dyDescent="0.25">
      <c r="A1573" t="s">
        <v>1992</v>
      </c>
      <c r="B1573">
        <v>50</v>
      </c>
      <c r="C1573" t="s">
        <v>16</v>
      </c>
      <c r="D1573" t="s">
        <v>2498</v>
      </c>
      <c r="E1573" t="s">
        <v>18</v>
      </c>
      <c r="F1573" t="s">
        <v>19</v>
      </c>
      <c r="G1573" t="s">
        <v>1175</v>
      </c>
      <c r="H1573" t="str">
        <f>TEXT(walmart[[#This Row],[Purchase_Date]],"DDD")</f>
        <v>Mon</v>
      </c>
      <c r="I1573" t="str">
        <f>TEXT(walmart[[#This Row],[Purchase_Date]],"MMM")</f>
        <v>Jun</v>
      </c>
      <c r="J1573" t="str">
        <f>TEXT(walmart[[#This Row],[Purchase_Date]],"YYY")</f>
        <v>2024</v>
      </c>
      <c r="K1573" s="3">
        <v>697.86</v>
      </c>
      <c r="L1573" t="str">
        <f t="shared" si="112"/>
        <v>10% off</v>
      </c>
      <c r="N1573" t="str">
        <f t="shared" si="113"/>
        <v>Yes</v>
      </c>
      <c r="O1573" t="s">
        <v>34</v>
      </c>
      <c r="P1573" s="3">
        <f t="shared" si="114"/>
        <v>697.86</v>
      </c>
      <c r="Q1573" t="s">
        <v>47</v>
      </c>
      <c r="R1573">
        <v>3</v>
      </c>
      <c r="S1573" t="str">
        <f t="shared" si="115"/>
        <v>Average</v>
      </c>
    </row>
    <row r="1574" spans="1:19" x14ac:dyDescent="0.25">
      <c r="A1574" t="s">
        <v>1993</v>
      </c>
      <c r="B1574">
        <v>21</v>
      </c>
      <c r="C1574" t="s">
        <v>16</v>
      </c>
      <c r="D1574" t="s">
        <v>2499</v>
      </c>
      <c r="E1574" t="s">
        <v>18</v>
      </c>
      <c r="F1574" t="s">
        <v>19</v>
      </c>
      <c r="G1574" t="s">
        <v>1293</v>
      </c>
      <c r="H1574" t="str">
        <f>TEXT(walmart[[#This Row],[Purchase_Date]],"DDD")</f>
        <v>Sun</v>
      </c>
      <c r="I1574" t="str">
        <f>TEXT(walmart[[#This Row],[Purchase_Date]],"MMM")</f>
        <v>Nov</v>
      </c>
      <c r="J1574" t="str">
        <f>TEXT(walmart[[#This Row],[Purchase_Date]],"YYY")</f>
        <v>2024</v>
      </c>
      <c r="K1574" s="3">
        <v>697.86</v>
      </c>
      <c r="L1574" t="str">
        <f t="shared" si="112"/>
        <v>10% off</v>
      </c>
      <c r="N1574" t="str">
        <f t="shared" si="113"/>
        <v>Yes</v>
      </c>
      <c r="O1574" t="s">
        <v>34</v>
      </c>
      <c r="P1574" s="3">
        <f t="shared" si="114"/>
        <v>697.86</v>
      </c>
      <c r="Q1574" t="s">
        <v>47</v>
      </c>
      <c r="R1574">
        <v>1</v>
      </c>
      <c r="S1574" t="str">
        <f t="shared" si="115"/>
        <v>Very Poor</v>
      </c>
    </row>
    <row r="1575" spans="1:19" x14ac:dyDescent="0.25">
      <c r="A1575" t="s">
        <v>1994</v>
      </c>
      <c r="B1575">
        <v>20</v>
      </c>
      <c r="C1575" t="s">
        <v>16</v>
      </c>
      <c r="D1575" t="s">
        <v>2500</v>
      </c>
      <c r="E1575" t="s">
        <v>37</v>
      </c>
      <c r="F1575" t="s">
        <v>97</v>
      </c>
      <c r="G1575" t="s">
        <v>1995</v>
      </c>
      <c r="H1575" t="str">
        <f>TEXT(walmart[[#This Row],[Purchase_Date]],"DDD")</f>
        <v>Tue</v>
      </c>
      <c r="I1575" t="str">
        <f>TEXT(walmart[[#This Row],[Purchase_Date]],"MMM")</f>
        <v>Mar</v>
      </c>
      <c r="J1575" t="str">
        <f>TEXT(walmart[[#This Row],[Purchase_Date]],"YYY")</f>
        <v>2025</v>
      </c>
      <c r="K1575" s="3">
        <v>855.21</v>
      </c>
      <c r="L1575" t="str">
        <f t="shared" si="112"/>
        <v>15% off</v>
      </c>
      <c r="N1575" t="str">
        <f t="shared" si="113"/>
        <v>Yes</v>
      </c>
      <c r="O1575" t="s">
        <v>34</v>
      </c>
      <c r="P1575" s="3">
        <f t="shared" si="114"/>
        <v>855.21</v>
      </c>
      <c r="Q1575" t="s">
        <v>47</v>
      </c>
      <c r="R1575">
        <v>1</v>
      </c>
      <c r="S1575" t="str">
        <f t="shared" si="115"/>
        <v>Very Poor</v>
      </c>
    </row>
    <row r="1576" spans="1:19" x14ac:dyDescent="0.25">
      <c r="A1576" t="s">
        <v>1996</v>
      </c>
      <c r="B1576">
        <v>70</v>
      </c>
      <c r="C1576" t="s">
        <v>16</v>
      </c>
      <c r="D1576" t="s">
        <v>2501</v>
      </c>
      <c r="E1576" t="s">
        <v>18</v>
      </c>
      <c r="F1576" t="s">
        <v>19</v>
      </c>
      <c r="G1576" t="s">
        <v>219</v>
      </c>
      <c r="H1576" t="str">
        <f>TEXT(walmart[[#This Row],[Purchase_Date]],"DDD")</f>
        <v>Thu</v>
      </c>
      <c r="I1576" t="str">
        <f>TEXT(walmart[[#This Row],[Purchase_Date]],"MMM")</f>
        <v>Aug</v>
      </c>
      <c r="J1576" t="str">
        <f>TEXT(walmart[[#This Row],[Purchase_Date]],"YYY")</f>
        <v>2024</v>
      </c>
      <c r="K1576" s="3">
        <v>697.86</v>
      </c>
      <c r="L1576" t="str">
        <f t="shared" si="112"/>
        <v>10% off</v>
      </c>
      <c r="N1576" t="str">
        <f t="shared" si="113"/>
        <v>Yes</v>
      </c>
      <c r="O1576" t="s">
        <v>34</v>
      </c>
      <c r="P1576" s="3">
        <f t="shared" si="114"/>
        <v>697.86</v>
      </c>
      <c r="Q1576" t="s">
        <v>35</v>
      </c>
      <c r="R1576">
        <v>1</v>
      </c>
      <c r="S1576" t="str">
        <f t="shared" si="115"/>
        <v>Very Poor</v>
      </c>
    </row>
    <row r="1577" spans="1:19" x14ac:dyDescent="0.25">
      <c r="A1577" t="s">
        <v>1997</v>
      </c>
      <c r="B1577">
        <v>33</v>
      </c>
      <c r="C1577" t="s">
        <v>29</v>
      </c>
      <c r="D1577" t="s">
        <v>2502</v>
      </c>
      <c r="E1577" t="s">
        <v>31</v>
      </c>
      <c r="F1577" t="s">
        <v>112</v>
      </c>
      <c r="G1577" t="s">
        <v>153</v>
      </c>
      <c r="H1577" t="str">
        <f>TEXT(walmart[[#This Row],[Purchase_Date]],"DDD")</f>
        <v>Thu</v>
      </c>
      <c r="I1577" t="str">
        <f>TEXT(walmart[[#This Row],[Purchase_Date]],"MMM")</f>
        <v>Dec</v>
      </c>
      <c r="J1577" t="str">
        <f>TEXT(walmart[[#This Row],[Purchase_Date]],"YYY")</f>
        <v>2024</v>
      </c>
      <c r="K1577" s="3">
        <v>492.1</v>
      </c>
      <c r="L1577" t="str">
        <f t="shared" si="112"/>
        <v>5% off</v>
      </c>
      <c r="N1577" t="str">
        <f t="shared" si="113"/>
        <v>Yes</v>
      </c>
      <c r="O1577" t="s">
        <v>34</v>
      </c>
      <c r="P1577" s="3">
        <f t="shared" si="114"/>
        <v>492.1</v>
      </c>
      <c r="Q1577" t="s">
        <v>47</v>
      </c>
      <c r="R1577">
        <v>2</v>
      </c>
      <c r="S1577" t="str">
        <f t="shared" si="115"/>
        <v>Poor</v>
      </c>
    </row>
    <row r="1578" spans="1:19" x14ac:dyDescent="0.25">
      <c r="A1578" t="s">
        <v>1998</v>
      </c>
      <c r="B1578">
        <v>23</v>
      </c>
      <c r="C1578" t="s">
        <v>29</v>
      </c>
      <c r="D1578" t="s">
        <v>2503</v>
      </c>
      <c r="E1578" t="s">
        <v>55</v>
      </c>
      <c r="F1578" t="s">
        <v>67</v>
      </c>
      <c r="G1578" t="s">
        <v>512</v>
      </c>
      <c r="H1578" t="str">
        <f>TEXT(walmart[[#This Row],[Purchase_Date]],"DDD")</f>
        <v>Wed</v>
      </c>
      <c r="I1578" t="str">
        <f>TEXT(walmart[[#This Row],[Purchase_Date]],"MMM")</f>
        <v>Aug</v>
      </c>
      <c r="J1578" t="str">
        <f>TEXT(walmart[[#This Row],[Purchase_Date]],"YYY")</f>
        <v>2024</v>
      </c>
      <c r="K1578" s="3">
        <v>452.97</v>
      </c>
      <c r="L1578" t="str">
        <f t="shared" si="112"/>
        <v>5% off</v>
      </c>
      <c r="N1578" t="str">
        <f t="shared" si="113"/>
        <v>Yes</v>
      </c>
      <c r="O1578" t="s">
        <v>34</v>
      </c>
      <c r="P1578" s="3">
        <f t="shared" si="114"/>
        <v>452.97</v>
      </c>
      <c r="Q1578" t="s">
        <v>35</v>
      </c>
      <c r="R1578">
        <v>4</v>
      </c>
      <c r="S1578" t="str">
        <f t="shared" si="115"/>
        <v>Good</v>
      </c>
    </row>
    <row r="1579" spans="1:19" x14ac:dyDescent="0.25">
      <c r="A1579" t="s">
        <v>1999</v>
      </c>
      <c r="B1579">
        <v>56</v>
      </c>
      <c r="C1579" t="s">
        <v>16</v>
      </c>
      <c r="D1579" t="s">
        <v>2504</v>
      </c>
      <c r="E1579" t="s">
        <v>37</v>
      </c>
      <c r="F1579" t="s">
        <v>38</v>
      </c>
      <c r="G1579" t="s">
        <v>248</v>
      </c>
      <c r="H1579" t="str">
        <f>TEXT(walmart[[#This Row],[Purchase_Date]],"DDD")</f>
        <v>Tue</v>
      </c>
      <c r="I1579" t="str">
        <f>TEXT(walmart[[#This Row],[Purchase_Date]],"MMM")</f>
        <v>Apr</v>
      </c>
      <c r="J1579" t="str">
        <f>TEXT(walmart[[#This Row],[Purchase_Date]],"YYY")</f>
        <v>2024</v>
      </c>
      <c r="K1579" s="3">
        <v>211.46</v>
      </c>
      <c r="L1579" t="str">
        <f t="shared" si="112"/>
        <v>5% off</v>
      </c>
      <c r="N1579" t="str">
        <f t="shared" si="113"/>
        <v>Yes</v>
      </c>
      <c r="O1579" t="s">
        <v>34</v>
      </c>
      <c r="P1579" s="3">
        <f t="shared" si="114"/>
        <v>211.46</v>
      </c>
      <c r="Q1579" t="s">
        <v>27</v>
      </c>
      <c r="R1579">
        <v>5</v>
      </c>
      <c r="S1579" t="str">
        <f t="shared" si="115"/>
        <v>Excellent</v>
      </c>
    </row>
    <row r="1580" spans="1:19" x14ac:dyDescent="0.25">
      <c r="A1580" t="s">
        <v>2000</v>
      </c>
      <c r="B1580">
        <v>44</v>
      </c>
      <c r="C1580" t="s">
        <v>29</v>
      </c>
      <c r="D1580" t="s">
        <v>2505</v>
      </c>
      <c r="E1580" t="s">
        <v>31</v>
      </c>
      <c r="F1580" t="s">
        <v>32</v>
      </c>
      <c r="G1580" t="s">
        <v>651</v>
      </c>
      <c r="H1580" t="str">
        <f>TEXT(walmart[[#This Row],[Purchase_Date]],"DDD")</f>
        <v>Mon</v>
      </c>
      <c r="I1580" t="str">
        <f>TEXT(walmart[[#This Row],[Purchase_Date]],"MMM")</f>
        <v>Nov</v>
      </c>
      <c r="J1580" t="str">
        <f>TEXT(walmart[[#This Row],[Purchase_Date]],"YYY")</f>
        <v>2024</v>
      </c>
      <c r="K1580" s="3">
        <v>493.96</v>
      </c>
      <c r="L1580" t="str">
        <f t="shared" si="112"/>
        <v>5% off</v>
      </c>
      <c r="N1580" t="str">
        <f t="shared" si="113"/>
        <v>Yes</v>
      </c>
      <c r="O1580" t="s">
        <v>21</v>
      </c>
      <c r="P1580" s="3">
        <f t="shared" si="114"/>
        <v>493.96</v>
      </c>
      <c r="Q1580" t="s">
        <v>27</v>
      </c>
      <c r="R1580">
        <v>4</v>
      </c>
      <c r="S1580" t="str">
        <f t="shared" si="115"/>
        <v>Good</v>
      </c>
    </row>
    <row r="1581" spans="1:19" x14ac:dyDescent="0.25">
      <c r="A1581" t="s">
        <v>2001</v>
      </c>
      <c r="B1581">
        <v>42</v>
      </c>
      <c r="C1581" t="s">
        <v>29</v>
      </c>
      <c r="D1581" t="s">
        <v>2506</v>
      </c>
      <c r="E1581" t="s">
        <v>31</v>
      </c>
      <c r="F1581" t="s">
        <v>169</v>
      </c>
      <c r="G1581" t="s">
        <v>423</v>
      </c>
      <c r="H1581" t="str">
        <f>TEXT(walmart[[#This Row],[Purchase_Date]],"DDD")</f>
        <v>Sun</v>
      </c>
      <c r="I1581" t="str">
        <f>TEXT(walmart[[#This Row],[Purchase_Date]],"MMM")</f>
        <v>Jun</v>
      </c>
      <c r="J1581" t="str">
        <f>TEXT(walmart[[#This Row],[Purchase_Date]],"YYY")</f>
        <v>2024</v>
      </c>
      <c r="K1581" s="3">
        <v>52.44</v>
      </c>
      <c r="L1581" t="str">
        <f t="shared" si="112"/>
        <v>0% off</v>
      </c>
      <c r="N1581" t="str">
        <f t="shared" si="113"/>
        <v>No</v>
      </c>
      <c r="O1581" t="s">
        <v>34</v>
      </c>
      <c r="P1581" s="3">
        <f t="shared" si="114"/>
        <v>52.44</v>
      </c>
      <c r="Q1581" t="s">
        <v>22</v>
      </c>
      <c r="R1581">
        <v>3</v>
      </c>
      <c r="S1581" t="str">
        <f t="shared" si="115"/>
        <v>Average</v>
      </c>
    </row>
    <row r="1582" spans="1:19" x14ac:dyDescent="0.25">
      <c r="A1582" t="s">
        <v>2002</v>
      </c>
      <c r="B1582">
        <v>20</v>
      </c>
      <c r="C1582" t="s">
        <v>29</v>
      </c>
      <c r="D1582" t="s">
        <v>2507</v>
      </c>
      <c r="E1582" t="s">
        <v>55</v>
      </c>
      <c r="F1582" t="s">
        <v>56</v>
      </c>
      <c r="G1582" t="s">
        <v>558</v>
      </c>
      <c r="H1582" t="str">
        <f>TEXT(walmart[[#This Row],[Purchase_Date]],"DDD")</f>
        <v>Tue</v>
      </c>
      <c r="I1582" t="str">
        <f>TEXT(walmart[[#This Row],[Purchase_Date]],"MMM")</f>
        <v>Dec</v>
      </c>
      <c r="J1582" t="str">
        <f>TEXT(walmart[[#This Row],[Purchase_Date]],"YYY")</f>
        <v>2024</v>
      </c>
      <c r="K1582" s="3">
        <v>76.81</v>
      </c>
      <c r="L1582" t="str">
        <f t="shared" si="112"/>
        <v>0% off</v>
      </c>
      <c r="N1582" t="str">
        <f t="shared" si="113"/>
        <v>No</v>
      </c>
      <c r="O1582" t="s">
        <v>34</v>
      </c>
      <c r="P1582" s="3">
        <f t="shared" si="114"/>
        <v>76.81</v>
      </c>
      <c r="Q1582" t="s">
        <v>22</v>
      </c>
      <c r="R1582">
        <v>3</v>
      </c>
      <c r="S1582" t="str">
        <f t="shared" si="115"/>
        <v>Average</v>
      </c>
    </row>
    <row r="1583" spans="1:19" x14ac:dyDescent="0.25">
      <c r="A1583" t="s">
        <v>2003</v>
      </c>
      <c r="B1583">
        <v>19</v>
      </c>
      <c r="C1583" t="s">
        <v>16</v>
      </c>
      <c r="D1583" t="s">
        <v>2508</v>
      </c>
      <c r="E1583" t="s">
        <v>24</v>
      </c>
      <c r="F1583" t="s">
        <v>186</v>
      </c>
      <c r="G1583" t="s">
        <v>325</v>
      </c>
      <c r="H1583" t="str">
        <f>TEXT(walmart[[#This Row],[Purchase_Date]],"DDD")</f>
        <v>Sat</v>
      </c>
      <c r="I1583" t="str">
        <f>TEXT(walmart[[#This Row],[Purchase_Date]],"MMM")</f>
        <v>Jun</v>
      </c>
      <c r="J1583" t="str">
        <f>TEXT(walmart[[#This Row],[Purchase_Date]],"YYY")</f>
        <v>2024</v>
      </c>
      <c r="K1583" s="3">
        <v>527.16999999999996</v>
      </c>
      <c r="L1583" t="str">
        <f t="shared" si="112"/>
        <v>10% off</v>
      </c>
      <c r="N1583" t="str">
        <f t="shared" si="113"/>
        <v>Yes</v>
      </c>
      <c r="O1583" t="s">
        <v>34</v>
      </c>
      <c r="P1583" s="3">
        <f t="shared" si="114"/>
        <v>527.16999999999996</v>
      </c>
      <c r="Q1583" t="s">
        <v>47</v>
      </c>
      <c r="R1583">
        <v>1</v>
      </c>
      <c r="S1583" t="str">
        <f t="shared" si="115"/>
        <v>Very Poor</v>
      </c>
    </row>
    <row r="1584" spans="1:19" x14ac:dyDescent="0.25">
      <c r="A1584" t="s">
        <v>2004</v>
      </c>
      <c r="B1584">
        <v>60</v>
      </c>
      <c r="C1584" t="s">
        <v>29</v>
      </c>
      <c r="D1584" t="s">
        <v>2509</v>
      </c>
      <c r="E1584" t="s">
        <v>73</v>
      </c>
      <c r="F1584" t="s">
        <v>138</v>
      </c>
      <c r="G1584" t="s">
        <v>423</v>
      </c>
      <c r="H1584" t="str">
        <f>TEXT(walmart[[#This Row],[Purchase_Date]],"DDD")</f>
        <v>Sun</v>
      </c>
      <c r="I1584" t="str">
        <f>TEXT(walmart[[#This Row],[Purchase_Date]],"MMM")</f>
        <v>Jun</v>
      </c>
      <c r="J1584" t="str">
        <f>TEXT(walmart[[#This Row],[Purchase_Date]],"YYY")</f>
        <v>2024</v>
      </c>
      <c r="K1584" s="3">
        <v>461.81</v>
      </c>
      <c r="L1584" t="str">
        <f t="shared" si="112"/>
        <v>5% off</v>
      </c>
      <c r="N1584" t="str">
        <f t="shared" si="113"/>
        <v>Yes</v>
      </c>
      <c r="O1584" t="s">
        <v>21</v>
      </c>
      <c r="P1584" s="3">
        <f t="shared" si="114"/>
        <v>461.81</v>
      </c>
      <c r="Q1584" t="s">
        <v>27</v>
      </c>
      <c r="R1584">
        <v>1</v>
      </c>
      <c r="S1584" t="str">
        <f t="shared" si="115"/>
        <v>Very Poor</v>
      </c>
    </row>
    <row r="1585" spans="1:19" x14ac:dyDescent="0.25">
      <c r="A1585" t="s">
        <v>2005</v>
      </c>
      <c r="B1585">
        <v>24</v>
      </c>
      <c r="C1585" t="s">
        <v>16</v>
      </c>
      <c r="D1585" t="s">
        <v>2510</v>
      </c>
      <c r="E1585" t="s">
        <v>55</v>
      </c>
      <c r="F1585" t="s">
        <v>64</v>
      </c>
      <c r="G1585" t="s">
        <v>523</v>
      </c>
      <c r="H1585" t="str">
        <f>TEXT(walmart[[#This Row],[Purchase_Date]],"DDD")</f>
        <v>Fri</v>
      </c>
      <c r="I1585" t="str">
        <f>TEXT(walmart[[#This Row],[Purchase_Date]],"MMM")</f>
        <v>Oct</v>
      </c>
      <c r="J1585" t="str">
        <f>TEXT(walmart[[#This Row],[Purchase_Date]],"YYY")</f>
        <v>2024</v>
      </c>
      <c r="K1585" s="3">
        <v>374.92</v>
      </c>
      <c r="L1585" t="str">
        <f t="shared" si="112"/>
        <v>5% off</v>
      </c>
      <c r="N1585" t="str">
        <f t="shared" si="113"/>
        <v>Yes</v>
      </c>
      <c r="O1585" t="s">
        <v>34</v>
      </c>
      <c r="P1585" s="3">
        <f t="shared" si="114"/>
        <v>374.92</v>
      </c>
      <c r="Q1585" t="s">
        <v>22</v>
      </c>
      <c r="R1585">
        <v>5</v>
      </c>
      <c r="S1585" t="str">
        <f t="shared" si="115"/>
        <v>Excellent</v>
      </c>
    </row>
    <row r="1586" spans="1:19" x14ac:dyDescent="0.25">
      <c r="A1586" t="s">
        <v>2006</v>
      </c>
      <c r="B1586">
        <v>24</v>
      </c>
      <c r="C1586" t="s">
        <v>16</v>
      </c>
      <c r="D1586" t="s">
        <v>2511</v>
      </c>
      <c r="E1586" t="s">
        <v>73</v>
      </c>
      <c r="F1586" t="s">
        <v>94</v>
      </c>
      <c r="G1586" t="s">
        <v>568</v>
      </c>
      <c r="H1586" t="str">
        <f>TEXT(walmart[[#This Row],[Purchase_Date]],"DDD")</f>
        <v>Sun</v>
      </c>
      <c r="I1586" t="str">
        <f>TEXT(walmart[[#This Row],[Purchase_Date]],"MMM")</f>
        <v>Oct</v>
      </c>
      <c r="J1586" t="str">
        <f>TEXT(walmart[[#This Row],[Purchase_Date]],"YYY")</f>
        <v>2024</v>
      </c>
      <c r="K1586" s="3">
        <v>965.09</v>
      </c>
      <c r="L1586" t="str">
        <f t="shared" si="112"/>
        <v>20% off</v>
      </c>
      <c r="N1586" t="str">
        <f t="shared" si="113"/>
        <v>Yes</v>
      </c>
      <c r="O1586" t="s">
        <v>21</v>
      </c>
      <c r="P1586" s="3">
        <f t="shared" si="114"/>
        <v>965.09</v>
      </c>
      <c r="Q1586" t="s">
        <v>47</v>
      </c>
      <c r="R1586">
        <v>1</v>
      </c>
      <c r="S1586" t="str">
        <f t="shared" si="115"/>
        <v>Very Poor</v>
      </c>
    </row>
    <row r="1587" spans="1:19" x14ac:dyDescent="0.25">
      <c r="A1587" t="s">
        <v>2007</v>
      </c>
      <c r="B1587">
        <v>56</v>
      </c>
      <c r="C1587" t="s">
        <v>29</v>
      </c>
      <c r="D1587" t="s">
        <v>2512</v>
      </c>
      <c r="E1587" t="s">
        <v>37</v>
      </c>
      <c r="F1587" t="s">
        <v>117</v>
      </c>
      <c r="G1587" t="s">
        <v>304</v>
      </c>
      <c r="H1587" t="str">
        <f>TEXT(walmart[[#This Row],[Purchase_Date]],"DDD")</f>
        <v>Wed</v>
      </c>
      <c r="I1587" t="str">
        <f>TEXT(walmart[[#This Row],[Purchase_Date]],"MMM")</f>
        <v>Aug</v>
      </c>
      <c r="J1587" t="str">
        <f>TEXT(walmart[[#This Row],[Purchase_Date]],"YYY")</f>
        <v>2024</v>
      </c>
      <c r="K1587" s="3">
        <v>165.68</v>
      </c>
      <c r="L1587" t="str">
        <f t="shared" si="112"/>
        <v>5% off</v>
      </c>
      <c r="N1587" t="str">
        <f t="shared" si="113"/>
        <v>Yes</v>
      </c>
      <c r="O1587" t="s">
        <v>34</v>
      </c>
      <c r="P1587" s="3">
        <f t="shared" si="114"/>
        <v>165.68</v>
      </c>
      <c r="Q1587" t="s">
        <v>35</v>
      </c>
      <c r="R1587">
        <v>4</v>
      </c>
      <c r="S1587" t="str">
        <f t="shared" si="115"/>
        <v>Good</v>
      </c>
    </row>
    <row r="1588" spans="1:19" x14ac:dyDescent="0.25">
      <c r="A1588" t="s">
        <v>2008</v>
      </c>
      <c r="B1588">
        <v>36</v>
      </c>
      <c r="C1588" t="s">
        <v>29</v>
      </c>
      <c r="D1588" t="s">
        <v>2513</v>
      </c>
      <c r="E1588" t="s">
        <v>24</v>
      </c>
      <c r="F1588" t="s">
        <v>186</v>
      </c>
      <c r="G1588" t="s">
        <v>617</v>
      </c>
      <c r="H1588" t="str">
        <f>TEXT(walmart[[#This Row],[Purchase_Date]],"DDD")</f>
        <v>Mon</v>
      </c>
      <c r="I1588" t="str">
        <f>TEXT(walmart[[#This Row],[Purchase_Date]],"MMM")</f>
        <v>Jul</v>
      </c>
      <c r="J1588" t="str">
        <f>TEXT(walmart[[#This Row],[Purchase_Date]],"YYY")</f>
        <v>2024</v>
      </c>
      <c r="K1588" s="3">
        <v>527.16999999999996</v>
      </c>
      <c r="L1588" t="str">
        <f t="shared" si="112"/>
        <v>10% off</v>
      </c>
      <c r="N1588" t="str">
        <f t="shared" si="113"/>
        <v>Yes</v>
      </c>
      <c r="O1588" t="s">
        <v>21</v>
      </c>
      <c r="P1588" s="3">
        <f t="shared" si="114"/>
        <v>527.16999999999996</v>
      </c>
      <c r="Q1588" t="s">
        <v>35</v>
      </c>
      <c r="R1588">
        <v>4</v>
      </c>
      <c r="S1588" t="str">
        <f t="shared" si="115"/>
        <v>Good</v>
      </c>
    </row>
    <row r="1589" spans="1:19" x14ac:dyDescent="0.25">
      <c r="A1589" t="s">
        <v>2009</v>
      </c>
      <c r="B1589">
        <v>55</v>
      </c>
      <c r="C1589" t="s">
        <v>16</v>
      </c>
      <c r="D1589" t="s">
        <v>2514</v>
      </c>
      <c r="E1589" t="s">
        <v>18</v>
      </c>
      <c r="F1589" t="s">
        <v>77</v>
      </c>
      <c r="G1589" t="s">
        <v>1668</v>
      </c>
      <c r="H1589" t="str">
        <f>TEXT(walmart[[#This Row],[Purchase_Date]],"DDD")</f>
        <v>Sun</v>
      </c>
      <c r="I1589" t="str">
        <f>TEXT(walmart[[#This Row],[Purchase_Date]],"MMM")</f>
        <v>Jan</v>
      </c>
      <c r="J1589" t="str">
        <f>TEXT(walmart[[#This Row],[Purchase_Date]],"YYY")</f>
        <v>2025</v>
      </c>
      <c r="K1589" s="3">
        <v>116.78</v>
      </c>
      <c r="L1589" t="str">
        <f t="shared" si="112"/>
        <v>0% off</v>
      </c>
      <c r="N1589" t="str">
        <f t="shared" si="113"/>
        <v>No</v>
      </c>
      <c r="O1589" t="s">
        <v>21</v>
      </c>
      <c r="P1589" s="3">
        <f t="shared" si="114"/>
        <v>116.78</v>
      </c>
      <c r="Q1589" t="s">
        <v>47</v>
      </c>
      <c r="R1589">
        <v>3</v>
      </c>
      <c r="S1589" t="str">
        <f t="shared" si="115"/>
        <v>Average</v>
      </c>
    </row>
    <row r="1590" spans="1:19" x14ac:dyDescent="0.25">
      <c r="A1590" t="s">
        <v>2010</v>
      </c>
      <c r="B1590">
        <v>27</v>
      </c>
      <c r="C1590" t="s">
        <v>29</v>
      </c>
      <c r="D1590" t="s">
        <v>2515</v>
      </c>
      <c r="E1590" t="s">
        <v>42</v>
      </c>
      <c r="F1590" t="s">
        <v>43</v>
      </c>
      <c r="G1590" t="s">
        <v>89</v>
      </c>
      <c r="H1590" t="str">
        <f>TEXT(walmart[[#This Row],[Purchase_Date]],"DDD")</f>
        <v>Wed</v>
      </c>
      <c r="I1590" t="str">
        <f>TEXT(walmart[[#This Row],[Purchase_Date]],"MMM")</f>
        <v>Jun</v>
      </c>
      <c r="J1590" t="str">
        <f>TEXT(walmart[[#This Row],[Purchase_Date]],"YYY")</f>
        <v>2024</v>
      </c>
      <c r="K1590" s="3">
        <v>512.94000000000005</v>
      </c>
      <c r="L1590" t="str">
        <f t="shared" si="112"/>
        <v>10% off</v>
      </c>
      <c r="N1590" t="str">
        <f t="shared" si="113"/>
        <v>Yes</v>
      </c>
      <c r="O1590" t="s">
        <v>34</v>
      </c>
      <c r="P1590" s="3">
        <f t="shared" si="114"/>
        <v>512.94000000000005</v>
      </c>
      <c r="Q1590" t="s">
        <v>27</v>
      </c>
      <c r="R1590">
        <v>1</v>
      </c>
      <c r="S1590" t="str">
        <f t="shared" si="115"/>
        <v>Very Poor</v>
      </c>
    </row>
    <row r="1591" spans="1:19" x14ac:dyDescent="0.25">
      <c r="A1591" t="s">
        <v>2011</v>
      </c>
      <c r="B1591">
        <v>53</v>
      </c>
      <c r="C1591" t="s">
        <v>16</v>
      </c>
      <c r="D1591" t="s">
        <v>2516</v>
      </c>
      <c r="E1591" t="s">
        <v>18</v>
      </c>
      <c r="F1591" t="s">
        <v>19</v>
      </c>
      <c r="G1591" t="s">
        <v>89</v>
      </c>
      <c r="H1591" t="str">
        <f>TEXT(walmart[[#This Row],[Purchase_Date]],"DDD")</f>
        <v>Wed</v>
      </c>
      <c r="I1591" t="str">
        <f>TEXT(walmart[[#This Row],[Purchase_Date]],"MMM")</f>
        <v>Jun</v>
      </c>
      <c r="J1591" t="str">
        <f>TEXT(walmart[[#This Row],[Purchase_Date]],"YYY")</f>
        <v>2024</v>
      </c>
      <c r="K1591" s="3">
        <v>697.86</v>
      </c>
      <c r="L1591" t="str">
        <f t="shared" si="112"/>
        <v>10% off</v>
      </c>
      <c r="N1591" t="str">
        <f t="shared" si="113"/>
        <v>Yes</v>
      </c>
      <c r="O1591" t="s">
        <v>21</v>
      </c>
      <c r="P1591" s="3">
        <f t="shared" si="114"/>
        <v>697.86</v>
      </c>
      <c r="Q1591" t="s">
        <v>35</v>
      </c>
      <c r="R1591">
        <v>1</v>
      </c>
      <c r="S1591" t="str">
        <f t="shared" si="115"/>
        <v>Very Poor</v>
      </c>
    </row>
    <row r="1592" spans="1:19" x14ac:dyDescent="0.25">
      <c r="A1592" t="s">
        <v>2012</v>
      </c>
      <c r="B1592">
        <v>22</v>
      </c>
      <c r="C1592" t="s">
        <v>29</v>
      </c>
      <c r="D1592" t="s">
        <v>2517</v>
      </c>
      <c r="E1592" t="s">
        <v>55</v>
      </c>
      <c r="F1592" t="s">
        <v>56</v>
      </c>
      <c r="G1592" t="s">
        <v>155</v>
      </c>
      <c r="H1592" t="str">
        <f>TEXT(walmart[[#This Row],[Purchase_Date]],"DDD")</f>
        <v>Sat</v>
      </c>
      <c r="I1592" t="str">
        <f>TEXT(walmart[[#This Row],[Purchase_Date]],"MMM")</f>
        <v>Sep</v>
      </c>
      <c r="J1592" t="str">
        <f>TEXT(walmart[[#This Row],[Purchase_Date]],"YYY")</f>
        <v>2024</v>
      </c>
      <c r="K1592" s="3">
        <v>76.81</v>
      </c>
      <c r="L1592" t="str">
        <f t="shared" si="112"/>
        <v>0% off</v>
      </c>
      <c r="N1592" t="str">
        <f t="shared" si="113"/>
        <v>No</v>
      </c>
      <c r="O1592" t="s">
        <v>21</v>
      </c>
      <c r="P1592" s="3">
        <f t="shared" si="114"/>
        <v>76.81</v>
      </c>
      <c r="Q1592" t="s">
        <v>27</v>
      </c>
      <c r="R1592">
        <v>1</v>
      </c>
      <c r="S1592" t="str">
        <f t="shared" si="115"/>
        <v>Very Poor</v>
      </c>
    </row>
    <row r="1593" spans="1:19" x14ac:dyDescent="0.25">
      <c r="A1593" t="s">
        <v>2013</v>
      </c>
      <c r="B1593">
        <v>59</v>
      </c>
      <c r="C1593" t="s">
        <v>16</v>
      </c>
      <c r="D1593" t="s">
        <v>2518</v>
      </c>
      <c r="E1593" t="s">
        <v>73</v>
      </c>
      <c r="F1593" t="s">
        <v>91</v>
      </c>
      <c r="G1593" t="s">
        <v>1789</v>
      </c>
      <c r="H1593" t="str">
        <f>TEXT(walmart[[#This Row],[Purchase_Date]],"DDD")</f>
        <v>Sun</v>
      </c>
      <c r="I1593" t="str">
        <f>TEXT(walmart[[#This Row],[Purchase_Date]],"MMM")</f>
        <v>Oct</v>
      </c>
      <c r="J1593" t="str">
        <f>TEXT(walmart[[#This Row],[Purchase_Date]],"YYY")</f>
        <v>2024</v>
      </c>
      <c r="K1593" s="3">
        <v>418.55</v>
      </c>
      <c r="L1593" t="str">
        <f t="shared" si="112"/>
        <v>5% off</v>
      </c>
      <c r="N1593" t="str">
        <f t="shared" si="113"/>
        <v>Yes</v>
      </c>
      <c r="O1593" t="s">
        <v>21</v>
      </c>
      <c r="P1593" s="3">
        <f t="shared" si="114"/>
        <v>418.55</v>
      </c>
      <c r="Q1593" t="s">
        <v>35</v>
      </c>
      <c r="R1593">
        <v>5</v>
      </c>
      <c r="S1593" t="str">
        <f t="shared" si="115"/>
        <v>Excellent</v>
      </c>
    </row>
    <row r="1594" spans="1:19" x14ac:dyDescent="0.25">
      <c r="A1594" t="s">
        <v>2014</v>
      </c>
      <c r="B1594">
        <v>59</v>
      </c>
      <c r="C1594" t="s">
        <v>29</v>
      </c>
      <c r="D1594" t="s">
        <v>2519</v>
      </c>
      <c r="E1594" t="s">
        <v>37</v>
      </c>
      <c r="F1594" t="s">
        <v>82</v>
      </c>
      <c r="G1594" t="s">
        <v>488</v>
      </c>
      <c r="H1594" t="str">
        <f>TEXT(walmart[[#This Row],[Purchase_Date]],"DDD")</f>
        <v>Wed</v>
      </c>
      <c r="I1594" t="str">
        <f>TEXT(walmart[[#This Row],[Purchase_Date]],"MMM")</f>
        <v>Mar</v>
      </c>
      <c r="J1594" t="str">
        <f>TEXT(walmart[[#This Row],[Purchase_Date]],"YYY")</f>
        <v>2025</v>
      </c>
      <c r="K1594" s="3">
        <v>270.41000000000003</v>
      </c>
      <c r="L1594" t="str">
        <f t="shared" si="112"/>
        <v>5% off</v>
      </c>
      <c r="N1594" t="str">
        <f t="shared" si="113"/>
        <v>Yes</v>
      </c>
      <c r="O1594" t="s">
        <v>34</v>
      </c>
      <c r="P1594" s="3">
        <f t="shared" si="114"/>
        <v>270.41000000000003</v>
      </c>
      <c r="Q1594" t="s">
        <v>35</v>
      </c>
      <c r="R1594">
        <v>4</v>
      </c>
      <c r="S1594" t="str">
        <f t="shared" si="115"/>
        <v>Good</v>
      </c>
    </row>
    <row r="1595" spans="1:19" x14ac:dyDescent="0.25">
      <c r="A1595" t="s">
        <v>2015</v>
      </c>
      <c r="B1595">
        <v>24</v>
      </c>
      <c r="C1595" t="s">
        <v>29</v>
      </c>
      <c r="D1595" t="s">
        <v>2520</v>
      </c>
      <c r="E1595" t="s">
        <v>73</v>
      </c>
      <c r="F1595" t="s">
        <v>138</v>
      </c>
      <c r="G1595" t="s">
        <v>529</v>
      </c>
      <c r="H1595" t="str">
        <f>TEXT(walmart[[#This Row],[Purchase_Date]],"DDD")</f>
        <v>Fri</v>
      </c>
      <c r="I1595" t="str">
        <f>TEXT(walmart[[#This Row],[Purchase_Date]],"MMM")</f>
        <v>Jan</v>
      </c>
      <c r="J1595" t="str">
        <f>TEXT(walmart[[#This Row],[Purchase_Date]],"YYY")</f>
        <v>2025</v>
      </c>
      <c r="K1595" s="3">
        <v>461.81</v>
      </c>
      <c r="L1595" t="str">
        <f t="shared" si="112"/>
        <v>5% off</v>
      </c>
      <c r="N1595" t="str">
        <f t="shared" si="113"/>
        <v>Yes</v>
      </c>
      <c r="O1595" t="s">
        <v>34</v>
      </c>
      <c r="P1595" s="3">
        <f t="shared" si="114"/>
        <v>461.81</v>
      </c>
      <c r="Q1595" t="s">
        <v>47</v>
      </c>
      <c r="R1595">
        <v>1</v>
      </c>
      <c r="S1595" t="str">
        <f t="shared" si="115"/>
        <v>Very Poor</v>
      </c>
    </row>
    <row r="1596" spans="1:19" x14ac:dyDescent="0.25">
      <c r="A1596" t="s">
        <v>2016</v>
      </c>
      <c r="B1596">
        <v>29</v>
      </c>
      <c r="C1596" t="s">
        <v>29</v>
      </c>
      <c r="D1596" t="s">
        <v>2521</v>
      </c>
      <c r="E1596" t="s">
        <v>73</v>
      </c>
      <c r="F1596" t="s">
        <v>91</v>
      </c>
      <c r="G1596" t="s">
        <v>78</v>
      </c>
      <c r="H1596" t="str">
        <f>TEXT(walmart[[#This Row],[Purchase_Date]],"DDD")</f>
        <v>Mon</v>
      </c>
      <c r="I1596" t="str">
        <f>TEXT(walmart[[#This Row],[Purchase_Date]],"MMM")</f>
        <v>Jul</v>
      </c>
      <c r="J1596" t="str">
        <f>TEXT(walmart[[#This Row],[Purchase_Date]],"YYY")</f>
        <v>2024</v>
      </c>
      <c r="K1596" s="3">
        <v>418.55</v>
      </c>
      <c r="L1596" t="str">
        <f t="shared" si="112"/>
        <v>5% off</v>
      </c>
      <c r="N1596" t="str">
        <f t="shared" si="113"/>
        <v>Yes</v>
      </c>
      <c r="O1596" t="s">
        <v>21</v>
      </c>
      <c r="P1596" s="3">
        <f t="shared" si="114"/>
        <v>418.55</v>
      </c>
      <c r="Q1596" t="s">
        <v>27</v>
      </c>
      <c r="R1596">
        <v>4</v>
      </c>
      <c r="S1596" t="str">
        <f t="shared" si="115"/>
        <v>Good</v>
      </c>
    </row>
    <row r="1597" spans="1:19" x14ac:dyDescent="0.25">
      <c r="A1597" t="s">
        <v>2017</v>
      </c>
      <c r="B1597">
        <v>20</v>
      </c>
      <c r="C1597" t="s">
        <v>29</v>
      </c>
      <c r="D1597" t="s">
        <v>2522</v>
      </c>
      <c r="E1597" t="s">
        <v>24</v>
      </c>
      <c r="F1597" t="s">
        <v>25</v>
      </c>
      <c r="G1597" t="s">
        <v>87</v>
      </c>
      <c r="H1597" t="str">
        <f>TEXT(walmart[[#This Row],[Purchase_Date]],"DDD")</f>
        <v>Thu</v>
      </c>
      <c r="I1597" t="str">
        <f>TEXT(walmart[[#This Row],[Purchase_Date]],"MMM")</f>
        <v>Sep</v>
      </c>
      <c r="J1597" t="str">
        <f>TEXT(walmart[[#This Row],[Purchase_Date]],"YYY")</f>
        <v>2024</v>
      </c>
      <c r="K1597" s="3">
        <v>67.040000000000006</v>
      </c>
      <c r="L1597" t="str">
        <f t="shared" si="112"/>
        <v>0% off</v>
      </c>
      <c r="N1597" t="str">
        <f t="shared" si="113"/>
        <v>No</v>
      </c>
      <c r="O1597" t="s">
        <v>34</v>
      </c>
      <c r="P1597" s="3">
        <f t="shared" si="114"/>
        <v>67.040000000000006</v>
      </c>
      <c r="Q1597" t="s">
        <v>27</v>
      </c>
      <c r="R1597">
        <v>1</v>
      </c>
      <c r="S1597" t="str">
        <f t="shared" si="115"/>
        <v>Very Poor</v>
      </c>
    </row>
    <row r="1598" spans="1:19" x14ac:dyDescent="0.25">
      <c r="A1598" t="s">
        <v>2018</v>
      </c>
      <c r="B1598">
        <v>25</v>
      </c>
      <c r="C1598" t="s">
        <v>16</v>
      </c>
      <c r="D1598" t="s">
        <v>2485</v>
      </c>
      <c r="E1598" t="s">
        <v>18</v>
      </c>
      <c r="F1598" t="s">
        <v>19</v>
      </c>
      <c r="G1598" t="s">
        <v>291</v>
      </c>
      <c r="H1598" t="str">
        <f>TEXT(walmart[[#This Row],[Purchase_Date]],"DDD")</f>
        <v>Fri</v>
      </c>
      <c r="I1598" t="str">
        <f>TEXT(walmart[[#This Row],[Purchase_Date]],"MMM")</f>
        <v>Sep</v>
      </c>
      <c r="J1598" t="str">
        <f>TEXT(walmart[[#This Row],[Purchase_Date]],"YYY")</f>
        <v>2024</v>
      </c>
      <c r="K1598" s="3">
        <v>697.86</v>
      </c>
      <c r="L1598" t="str">
        <f t="shared" si="112"/>
        <v>10% off</v>
      </c>
      <c r="N1598" t="str">
        <f t="shared" si="113"/>
        <v>Yes</v>
      </c>
      <c r="O1598" t="s">
        <v>34</v>
      </c>
      <c r="P1598" s="3">
        <f t="shared" si="114"/>
        <v>697.86</v>
      </c>
      <c r="Q1598" t="s">
        <v>35</v>
      </c>
      <c r="R1598">
        <v>5</v>
      </c>
      <c r="S1598" t="str">
        <f t="shared" si="115"/>
        <v>Excellent</v>
      </c>
    </row>
    <row r="1599" spans="1:19" x14ac:dyDescent="0.25">
      <c r="A1599" t="s">
        <v>2019</v>
      </c>
      <c r="B1599">
        <v>41</v>
      </c>
      <c r="C1599" t="s">
        <v>16</v>
      </c>
      <c r="D1599" t="s">
        <v>2523</v>
      </c>
      <c r="E1599" t="s">
        <v>18</v>
      </c>
      <c r="F1599" t="s">
        <v>59</v>
      </c>
      <c r="G1599" t="s">
        <v>1024</v>
      </c>
      <c r="H1599" t="str">
        <f>TEXT(walmart[[#This Row],[Purchase_Date]],"DDD")</f>
        <v>Wed</v>
      </c>
      <c r="I1599" t="str">
        <f>TEXT(walmart[[#This Row],[Purchase_Date]],"MMM")</f>
        <v>May</v>
      </c>
      <c r="J1599" t="str">
        <f>TEXT(walmart[[#This Row],[Purchase_Date]],"YYY")</f>
        <v>2024</v>
      </c>
      <c r="K1599" s="3">
        <v>78.349999999999994</v>
      </c>
      <c r="L1599" t="str">
        <f t="shared" si="112"/>
        <v>0% off</v>
      </c>
      <c r="N1599" t="str">
        <f t="shared" si="113"/>
        <v>No</v>
      </c>
      <c r="O1599" t="s">
        <v>34</v>
      </c>
      <c r="P1599" s="3">
        <f t="shared" si="114"/>
        <v>78.349999999999994</v>
      </c>
      <c r="Q1599" t="s">
        <v>22</v>
      </c>
      <c r="R1599">
        <v>3</v>
      </c>
      <c r="S1599" t="str">
        <f t="shared" si="115"/>
        <v>Average</v>
      </c>
    </row>
    <row r="1600" spans="1:19" x14ac:dyDescent="0.25">
      <c r="A1600" t="s">
        <v>2020</v>
      </c>
      <c r="B1600">
        <v>32</v>
      </c>
      <c r="C1600" t="s">
        <v>16</v>
      </c>
      <c r="D1600" t="s">
        <v>2518</v>
      </c>
      <c r="E1600" t="s">
        <v>18</v>
      </c>
      <c r="F1600" t="s">
        <v>19</v>
      </c>
      <c r="G1600" t="s">
        <v>550</v>
      </c>
      <c r="H1600" t="str">
        <f>TEXT(walmart[[#This Row],[Purchase_Date]],"DDD")</f>
        <v>Sun</v>
      </c>
      <c r="I1600" t="str">
        <f>TEXT(walmart[[#This Row],[Purchase_Date]],"MMM")</f>
        <v>May</v>
      </c>
      <c r="J1600" t="str">
        <f>TEXT(walmart[[#This Row],[Purchase_Date]],"YYY")</f>
        <v>2024</v>
      </c>
      <c r="K1600" s="3">
        <v>697.86</v>
      </c>
      <c r="L1600" t="str">
        <f t="shared" si="112"/>
        <v>10% off</v>
      </c>
      <c r="N1600" t="str">
        <f t="shared" si="113"/>
        <v>Yes</v>
      </c>
      <c r="O1600" t="s">
        <v>34</v>
      </c>
      <c r="P1600" s="3">
        <f t="shared" si="114"/>
        <v>697.86</v>
      </c>
      <c r="Q1600" t="s">
        <v>22</v>
      </c>
      <c r="R1600">
        <v>3</v>
      </c>
      <c r="S1600" t="str">
        <f t="shared" si="115"/>
        <v>Average</v>
      </c>
    </row>
    <row r="1601" spans="1:19" x14ac:dyDescent="0.25">
      <c r="A1601" t="s">
        <v>2021</v>
      </c>
      <c r="B1601">
        <v>34</v>
      </c>
      <c r="C1601" t="s">
        <v>29</v>
      </c>
      <c r="D1601" t="s">
        <v>2524</v>
      </c>
      <c r="E1601" t="s">
        <v>18</v>
      </c>
      <c r="F1601" t="s">
        <v>59</v>
      </c>
      <c r="G1601" t="s">
        <v>1807</v>
      </c>
      <c r="H1601" t="str">
        <f>TEXT(walmart[[#This Row],[Purchase_Date]],"DDD")</f>
        <v>Mon</v>
      </c>
      <c r="I1601" t="str">
        <f>TEXT(walmart[[#This Row],[Purchase_Date]],"MMM")</f>
        <v>Mar</v>
      </c>
      <c r="J1601" t="str">
        <f>TEXT(walmart[[#This Row],[Purchase_Date]],"YYY")</f>
        <v>2025</v>
      </c>
      <c r="K1601" s="3">
        <v>78.349999999999994</v>
      </c>
      <c r="L1601" t="str">
        <f t="shared" si="112"/>
        <v>0% off</v>
      </c>
      <c r="N1601" t="str">
        <f t="shared" si="113"/>
        <v>No</v>
      </c>
      <c r="O1601" t="s">
        <v>21</v>
      </c>
      <c r="P1601" s="3">
        <f t="shared" si="114"/>
        <v>78.349999999999994</v>
      </c>
      <c r="Q1601" t="s">
        <v>27</v>
      </c>
      <c r="R1601">
        <v>4</v>
      </c>
      <c r="S1601" t="str">
        <f t="shared" si="115"/>
        <v>Good</v>
      </c>
    </row>
    <row r="1602" spans="1:19" x14ac:dyDescent="0.25">
      <c r="A1602" t="s">
        <v>2022</v>
      </c>
      <c r="B1602">
        <v>48</v>
      </c>
      <c r="C1602" t="s">
        <v>16</v>
      </c>
      <c r="D1602" t="s">
        <v>2525</v>
      </c>
      <c r="E1602" t="s">
        <v>42</v>
      </c>
      <c r="F1602" t="s">
        <v>103</v>
      </c>
      <c r="G1602" t="s">
        <v>179</v>
      </c>
      <c r="H1602" t="str">
        <f>TEXT(walmart[[#This Row],[Purchase_Date]],"DDD")</f>
        <v>Sat</v>
      </c>
      <c r="I1602" t="str">
        <f>TEXT(walmart[[#This Row],[Purchase_Date]],"MMM")</f>
        <v>Jun</v>
      </c>
      <c r="J1602" t="str">
        <f>TEXT(walmart[[#This Row],[Purchase_Date]],"YYY")</f>
        <v>2024</v>
      </c>
      <c r="K1602" s="3">
        <v>315.56</v>
      </c>
      <c r="L1602" t="str">
        <f t="shared" si="112"/>
        <v>5% off</v>
      </c>
      <c r="N1602" t="str">
        <f t="shared" si="113"/>
        <v>Yes</v>
      </c>
      <c r="O1602" t="s">
        <v>21</v>
      </c>
      <c r="P1602" s="3">
        <f t="shared" si="114"/>
        <v>315.56</v>
      </c>
      <c r="Q1602" t="s">
        <v>22</v>
      </c>
      <c r="R1602">
        <v>3</v>
      </c>
      <c r="S1602" t="str">
        <f t="shared" si="115"/>
        <v>Average</v>
      </c>
    </row>
    <row r="1603" spans="1:19" x14ac:dyDescent="0.25">
      <c r="A1603" t="s">
        <v>2023</v>
      </c>
      <c r="B1603">
        <v>37</v>
      </c>
      <c r="C1603" t="s">
        <v>29</v>
      </c>
      <c r="D1603" t="s">
        <v>2487</v>
      </c>
      <c r="E1603" t="s">
        <v>18</v>
      </c>
      <c r="F1603" t="s">
        <v>59</v>
      </c>
      <c r="G1603" t="s">
        <v>270</v>
      </c>
      <c r="H1603" t="str">
        <f>TEXT(walmart[[#This Row],[Purchase_Date]],"DDD")</f>
        <v>Sat</v>
      </c>
      <c r="I1603" t="str">
        <f>TEXT(walmart[[#This Row],[Purchase_Date]],"MMM")</f>
        <v>Dec</v>
      </c>
      <c r="J1603" t="str">
        <f>TEXT(walmart[[#This Row],[Purchase_Date]],"YYY")</f>
        <v>2024</v>
      </c>
      <c r="K1603" s="3">
        <v>78.349999999999994</v>
      </c>
      <c r="L1603" t="str">
        <f t="shared" ref="L1603:L1666" si="116">IF(K1603&lt;150,"0% off",IF(K1603&lt;500,"5% off",IF(K1603&lt;700,"10% off",IF(K1603&lt;900,"15% off","20% off"))))</f>
        <v>0% off</v>
      </c>
      <c r="N1603" t="str">
        <f t="shared" ref="N1603:N1666" si="117">IF(L1603="0% off", "No", "Yes")</f>
        <v>No</v>
      </c>
      <c r="O1603" t="s">
        <v>21</v>
      </c>
      <c r="P1603" s="3">
        <f t="shared" ref="P1603:P1666" si="118">K1603-M1603</f>
        <v>78.349999999999994</v>
      </c>
      <c r="Q1603" t="s">
        <v>27</v>
      </c>
      <c r="R1603">
        <v>4</v>
      </c>
      <c r="S1603" t="str">
        <f t="shared" ref="S1603:S1666" si="119">IF(R1603=5, "Excellent", IF(R1603=4, "Good", IF(R1603=3, "Average", IF(R1603=2, "Poor", IF(R1603=1, "Very Poor", "Invalid Rating")))))</f>
        <v>Good</v>
      </c>
    </row>
    <row r="1604" spans="1:19" x14ac:dyDescent="0.25">
      <c r="A1604" t="s">
        <v>2024</v>
      </c>
      <c r="B1604">
        <v>18</v>
      </c>
      <c r="C1604" t="s">
        <v>16</v>
      </c>
      <c r="D1604" t="s">
        <v>2519</v>
      </c>
      <c r="E1604" t="s">
        <v>42</v>
      </c>
      <c r="F1604" t="s">
        <v>52</v>
      </c>
      <c r="G1604" t="s">
        <v>321</v>
      </c>
      <c r="H1604" t="str">
        <f>TEXT(walmart[[#This Row],[Purchase_Date]],"DDD")</f>
        <v>Tue</v>
      </c>
      <c r="I1604" t="str">
        <f>TEXT(walmart[[#This Row],[Purchase_Date]],"MMM")</f>
        <v>Dec</v>
      </c>
      <c r="J1604" t="str">
        <f>TEXT(walmart[[#This Row],[Purchase_Date]],"YYY")</f>
        <v>2024</v>
      </c>
      <c r="K1604" s="3">
        <v>988.77</v>
      </c>
      <c r="L1604" t="str">
        <f t="shared" si="116"/>
        <v>20% off</v>
      </c>
      <c r="N1604" t="str">
        <f t="shared" si="117"/>
        <v>Yes</v>
      </c>
      <c r="O1604" t="s">
        <v>34</v>
      </c>
      <c r="P1604" s="3">
        <f t="shared" si="118"/>
        <v>988.77</v>
      </c>
      <c r="Q1604" t="s">
        <v>22</v>
      </c>
      <c r="R1604">
        <v>4</v>
      </c>
      <c r="S1604" t="str">
        <f t="shared" si="119"/>
        <v>Good</v>
      </c>
    </row>
    <row r="1605" spans="1:19" x14ac:dyDescent="0.25">
      <c r="A1605" t="s">
        <v>2025</v>
      </c>
      <c r="B1605">
        <v>58</v>
      </c>
      <c r="C1605" t="s">
        <v>16</v>
      </c>
      <c r="D1605" t="s">
        <v>2520</v>
      </c>
      <c r="E1605" t="s">
        <v>42</v>
      </c>
      <c r="F1605" t="s">
        <v>103</v>
      </c>
      <c r="G1605" t="s">
        <v>1495</v>
      </c>
      <c r="H1605" t="str">
        <f>TEXT(walmart[[#This Row],[Purchase_Date]],"DDD")</f>
        <v>Tue</v>
      </c>
      <c r="I1605" t="str">
        <f>TEXT(walmart[[#This Row],[Purchase_Date]],"MMM")</f>
        <v>Mar</v>
      </c>
      <c r="J1605" t="str">
        <f>TEXT(walmart[[#This Row],[Purchase_Date]],"YYY")</f>
        <v>2025</v>
      </c>
      <c r="K1605" s="3">
        <v>315.56</v>
      </c>
      <c r="L1605" t="str">
        <f t="shared" si="116"/>
        <v>5% off</v>
      </c>
      <c r="N1605" t="str">
        <f t="shared" si="117"/>
        <v>Yes</v>
      </c>
      <c r="O1605" t="s">
        <v>21</v>
      </c>
      <c r="P1605" s="3">
        <f t="shared" si="118"/>
        <v>315.56</v>
      </c>
      <c r="Q1605" t="s">
        <v>47</v>
      </c>
      <c r="R1605">
        <v>5</v>
      </c>
      <c r="S1605" t="str">
        <f t="shared" si="119"/>
        <v>Excellent</v>
      </c>
    </row>
    <row r="1606" spans="1:19" x14ac:dyDescent="0.25">
      <c r="A1606" t="s">
        <v>2026</v>
      </c>
      <c r="B1606">
        <v>31</v>
      </c>
      <c r="C1606" t="s">
        <v>29</v>
      </c>
      <c r="D1606" t="s">
        <v>2526</v>
      </c>
      <c r="E1606" t="s">
        <v>18</v>
      </c>
      <c r="F1606" t="s">
        <v>19</v>
      </c>
      <c r="G1606" t="s">
        <v>201</v>
      </c>
      <c r="H1606" t="str">
        <f>TEXT(walmart[[#This Row],[Purchase_Date]],"DDD")</f>
        <v>Sat</v>
      </c>
      <c r="I1606" t="str">
        <f>TEXT(walmart[[#This Row],[Purchase_Date]],"MMM")</f>
        <v>Aug</v>
      </c>
      <c r="J1606" t="str">
        <f>TEXT(walmart[[#This Row],[Purchase_Date]],"YYY")</f>
        <v>2024</v>
      </c>
      <c r="K1606" s="3">
        <v>697.86</v>
      </c>
      <c r="L1606" t="str">
        <f t="shared" si="116"/>
        <v>10% off</v>
      </c>
      <c r="N1606" t="str">
        <f t="shared" si="117"/>
        <v>Yes</v>
      </c>
      <c r="O1606" t="s">
        <v>21</v>
      </c>
      <c r="P1606" s="3">
        <f t="shared" si="118"/>
        <v>697.86</v>
      </c>
      <c r="Q1606" t="s">
        <v>22</v>
      </c>
      <c r="R1606">
        <v>2</v>
      </c>
      <c r="S1606" t="str">
        <f t="shared" si="119"/>
        <v>Poor</v>
      </c>
    </row>
    <row r="1607" spans="1:19" x14ac:dyDescent="0.25">
      <c r="A1607" t="s">
        <v>2027</v>
      </c>
      <c r="B1607">
        <v>61</v>
      </c>
      <c r="C1607" t="s">
        <v>16</v>
      </c>
      <c r="D1607" t="s">
        <v>2527</v>
      </c>
      <c r="E1607" t="s">
        <v>73</v>
      </c>
      <c r="F1607" t="s">
        <v>138</v>
      </c>
      <c r="G1607" t="s">
        <v>313</v>
      </c>
      <c r="H1607" t="str">
        <f>TEXT(walmart[[#This Row],[Purchase_Date]],"DDD")</f>
        <v>Fri</v>
      </c>
      <c r="I1607" t="str">
        <f>TEXT(walmart[[#This Row],[Purchase_Date]],"MMM")</f>
        <v>Aug</v>
      </c>
      <c r="J1607" t="str">
        <f>TEXT(walmart[[#This Row],[Purchase_Date]],"YYY")</f>
        <v>2024</v>
      </c>
      <c r="K1607" s="3">
        <v>461.81</v>
      </c>
      <c r="L1607" t="str">
        <f t="shared" si="116"/>
        <v>5% off</v>
      </c>
      <c r="N1607" t="str">
        <f t="shared" si="117"/>
        <v>Yes</v>
      </c>
      <c r="O1607" t="s">
        <v>21</v>
      </c>
      <c r="P1607" s="3">
        <f t="shared" si="118"/>
        <v>461.81</v>
      </c>
      <c r="Q1607" t="s">
        <v>47</v>
      </c>
      <c r="R1607">
        <v>5</v>
      </c>
      <c r="S1607" t="str">
        <f t="shared" si="119"/>
        <v>Excellent</v>
      </c>
    </row>
    <row r="1608" spans="1:19" x14ac:dyDescent="0.25">
      <c r="A1608" t="s">
        <v>2028</v>
      </c>
      <c r="B1608">
        <v>24</v>
      </c>
      <c r="C1608" t="s">
        <v>29</v>
      </c>
      <c r="D1608" t="s">
        <v>2528</v>
      </c>
      <c r="E1608" t="s">
        <v>24</v>
      </c>
      <c r="F1608" t="s">
        <v>209</v>
      </c>
      <c r="G1608" t="s">
        <v>476</v>
      </c>
      <c r="H1608" t="str">
        <f>TEXT(walmart[[#This Row],[Purchase_Date]],"DDD")</f>
        <v>Fri</v>
      </c>
      <c r="I1608" t="str">
        <f>TEXT(walmart[[#This Row],[Purchase_Date]],"MMM")</f>
        <v>Mar</v>
      </c>
      <c r="J1608" t="str">
        <f>TEXT(walmart[[#This Row],[Purchase_Date]],"YYY")</f>
        <v>2025</v>
      </c>
      <c r="K1608" s="3">
        <v>775.75</v>
      </c>
      <c r="L1608" t="str">
        <f t="shared" si="116"/>
        <v>15% off</v>
      </c>
      <c r="N1608" t="str">
        <f t="shared" si="117"/>
        <v>Yes</v>
      </c>
      <c r="O1608" t="s">
        <v>34</v>
      </c>
      <c r="P1608" s="3">
        <f t="shared" si="118"/>
        <v>775.75</v>
      </c>
      <c r="Q1608" t="s">
        <v>47</v>
      </c>
      <c r="R1608">
        <v>3</v>
      </c>
      <c r="S1608" t="str">
        <f t="shared" si="119"/>
        <v>Average</v>
      </c>
    </row>
    <row r="1609" spans="1:19" x14ac:dyDescent="0.25">
      <c r="A1609" t="s">
        <v>2029</v>
      </c>
      <c r="B1609">
        <v>22</v>
      </c>
      <c r="C1609" t="s">
        <v>29</v>
      </c>
      <c r="D1609" t="s">
        <v>2529</v>
      </c>
      <c r="E1609" t="s">
        <v>42</v>
      </c>
      <c r="F1609" t="s">
        <v>120</v>
      </c>
      <c r="G1609" t="s">
        <v>1218</v>
      </c>
      <c r="H1609" t="str">
        <f>TEXT(walmart[[#This Row],[Purchase_Date]],"DDD")</f>
        <v>Thu</v>
      </c>
      <c r="I1609" t="str">
        <f>TEXT(walmart[[#This Row],[Purchase_Date]],"MMM")</f>
        <v>May</v>
      </c>
      <c r="J1609" t="str">
        <f>TEXT(walmart[[#This Row],[Purchase_Date]],"YYY")</f>
        <v>2024</v>
      </c>
      <c r="K1609" s="3">
        <v>260.77999999999997</v>
      </c>
      <c r="L1609" t="str">
        <f t="shared" si="116"/>
        <v>5% off</v>
      </c>
      <c r="N1609" t="str">
        <f t="shared" si="117"/>
        <v>Yes</v>
      </c>
      <c r="O1609" t="s">
        <v>34</v>
      </c>
      <c r="P1609" s="3">
        <f t="shared" si="118"/>
        <v>260.77999999999997</v>
      </c>
      <c r="Q1609" t="s">
        <v>35</v>
      </c>
      <c r="R1609">
        <v>1</v>
      </c>
      <c r="S1609" t="str">
        <f t="shared" si="119"/>
        <v>Very Poor</v>
      </c>
    </row>
    <row r="1610" spans="1:19" x14ac:dyDescent="0.25">
      <c r="A1610" t="s">
        <v>2030</v>
      </c>
      <c r="B1610">
        <v>20</v>
      </c>
      <c r="C1610" t="s">
        <v>16</v>
      </c>
      <c r="D1610" t="s">
        <v>2530</v>
      </c>
      <c r="E1610" t="s">
        <v>31</v>
      </c>
      <c r="F1610" t="s">
        <v>169</v>
      </c>
      <c r="G1610" t="s">
        <v>597</v>
      </c>
      <c r="H1610" t="str">
        <f>TEXT(walmart[[#This Row],[Purchase_Date]],"DDD")</f>
        <v>Tue</v>
      </c>
      <c r="I1610" t="str">
        <f>TEXT(walmart[[#This Row],[Purchase_Date]],"MMM")</f>
        <v>Oct</v>
      </c>
      <c r="J1610" t="str">
        <f>TEXT(walmart[[#This Row],[Purchase_Date]],"YYY")</f>
        <v>2024</v>
      </c>
      <c r="K1610" s="3">
        <v>52.44</v>
      </c>
      <c r="L1610" t="str">
        <f t="shared" si="116"/>
        <v>0% off</v>
      </c>
      <c r="N1610" t="str">
        <f t="shared" si="117"/>
        <v>No</v>
      </c>
      <c r="O1610" t="s">
        <v>34</v>
      </c>
      <c r="P1610" s="3">
        <f t="shared" si="118"/>
        <v>52.44</v>
      </c>
      <c r="Q1610" t="s">
        <v>35</v>
      </c>
      <c r="R1610">
        <v>5</v>
      </c>
      <c r="S1610" t="str">
        <f t="shared" si="119"/>
        <v>Excellent</v>
      </c>
    </row>
    <row r="1611" spans="1:19" x14ac:dyDescent="0.25">
      <c r="A1611" t="s">
        <v>2031</v>
      </c>
      <c r="B1611">
        <v>32</v>
      </c>
      <c r="C1611" t="s">
        <v>16</v>
      </c>
      <c r="D1611" t="s">
        <v>2531</v>
      </c>
      <c r="E1611" t="s">
        <v>31</v>
      </c>
      <c r="F1611" t="s">
        <v>112</v>
      </c>
      <c r="G1611" t="s">
        <v>369</v>
      </c>
      <c r="H1611" t="str">
        <f>TEXT(walmart[[#This Row],[Purchase_Date]],"DDD")</f>
        <v>Fri</v>
      </c>
      <c r="I1611" t="str">
        <f>TEXT(walmart[[#This Row],[Purchase_Date]],"MMM")</f>
        <v>Aug</v>
      </c>
      <c r="J1611" t="str">
        <f>TEXT(walmart[[#This Row],[Purchase_Date]],"YYY")</f>
        <v>2024</v>
      </c>
      <c r="K1611" s="3">
        <v>492.1</v>
      </c>
      <c r="L1611" t="str">
        <f t="shared" si="116"/>
        <v>5% off</v>
      </c>
      <c r="N1611" t="str">
        <f t="shared" si="117"/>
        <v>Yes</v>
      </c>
      <c r="O1611" t="s">
        <v>34</v>
      </c>
      <c r="P1611" s="3">
        <f t="shared" si="118"/>
        <v>492.1</v>
      </c>
      <c r="Q1611" t="s">
        <v>27</v>
      </c>
      <c r="R1611">
        <v>3</v>
      </c>
      <c r="S1611" t="str">
        <f t="shared" si="119"/>
        <v>Average</v>
      </c>
    </row>
    <row r="1612" spans="1:19" x14ac:dyDescent="0.25">
      <c r="A1612" t="s">
        <v>2032</v>
      </c>
      <c r="B1612">
        <v>19</v>
      </c>
      <c r="C1612" t="s">
        <v>16</v>
      </c>
      <c r="D1612" t="s">
        <v>2532</v>
      </c>
      <c r="E1612" t="s">
        <v>55</v>
      </c>
      <c r="F1612" t="s">
        <v>67</v>
      </c>
      <c r="G1612" t="s">
        <v>955</v>
      </c>
      <c r="H1612" t="str">
        <f>TEXT(walmart[[#This Row],[Purchase_Date]],"DDD")</f>
        <v>Sun</v>
      </c>
      <c r="I1612" t="str">
        <f>TEXT(walmart[[#This Row],[Purchase_Date]],"MMM")</f>
        <v>Jun</v>
      </c>
      <c r="J1612" t="str">
        <f>TEXT(walmart[[#This Row],[Purchase_Date]],"YYY")</f>
        <v>2024</v>
      </c>
      <c r="K1612" s="3">
        <v>452.97</v>
      </c>
      <c r="L1612" t="str">
        <f t="shared" si="116"/>
        <v>5% off</v>
      </c>
      <c r="N1612" t="str">
        <f t="shared" si="117"/>
        <v>Yes</v>
      </c>
      <c r="O1612" t="s">
        <v>34</v>
      </c>
      <c r="P1612" s="3">
        <f t="shared" si="118"/>
        <v>452.97</v>
      </c>
      <c r="Q1612" t="s">
        <v>27</v>
      </c>
      <c r="R1612">
        <v>4</v>
      </c>
      <c r="S1612" t="str">
        <f t="shared" si="119"/>
        <v>Good</v>
      </c>
    </row>
    <row r="1613" spans="1:19" x14ac:dyDescent="0.25">
      <c r="A1613" t="s">
        <v>2033</v>
      </c>
      <c r="B1613">
        <v>53</v>
      </c>
      <c r="C1613" t="s">
        <v>16</v>
      </c>
      <c r="D1613" t="s">
        <v>2533</v>
      </c>
      <c r="E1613" t="s">
        <v>18</v>
      </c>
      <c r="F1613" t="s">
        <v>142</v>
      </c>
      <c r="G1613" t="s">
        <v>685</v>
      </c>
      <c r="H1613" t="str">
        <f>TEXT(walmart[[#This Row],[Purchase_Date]],"DDD")</f>
        <v>Fri</v>
      </c>
      <c r="I1613" t="str">
        <f>TEXT(walmart[[#This Row],[Purchase_Date]],"MMM")</f>
        <v>May</v>
      </c>
      <c r="J1613" t="str">
        <f>TEXT(walmart[[#This Row],[Purchase_Date]],"YYY")</f>
        <v>2024</v>
      </c>
      <c r="K1613" s="3">
        <v>485.26</v>
      </c>
      <c r="L1613" t="str">
        <f t="shared" si="116"/>
        <v>5% off</v>
      </c>
      <c r="N1613" t="str">
        <f t="shared" si="117"/>
        <v>Yes</v>
      </c>
      <c r="O1613" t="s">
        <v>34</v>
      </c>
      <c r="P1613" s="3">
        <f t="shared" si="118"/>
        <v>485.26</v>
      </c>
      <c r="Q1613" t="s">
        <v>35</v>
      </c>
      <c r="R1613">
        <v>4</v>
      </c>
      <c r="S1613" t="str">
        <f t="shared" si="119"/>
        <v>Good</v>
      </c>
    </row>
    <row r="1614" spans="1:19" x14ac:dyDescent="0.25">
      <c r="A1614" t="s">
        <v>2034</v>
      </c>
      <c r="B1614">
        <v>57</v>
      </c>
      <c r="C1614" t="s">
        <v>29</v>
      </c>
      <c r="D1614" t="s">
        <v>2534</v>
      </c>
      <c r="E1614" t="s">
        <v>31</v>
      </c>
      <c r="F1614" t="s">
        <v>32</v>
      </c>
      <c r="G1614" t="s">
        <v>560</v>
      </c>
      <c r="H1614" t="str">
        <f>TEXT(walmart[[#This Row],[Purchase_Date]],"DDD")</f>
        <v>Wed</v>
      </c>
      <c r="I1614" t="str">
        <f>TEXT(walmart[[#This Row],[Purchase_Date]],"MMM")</f>
        <v>Sep</v>
      </c>
      <c r="J1614" t="str">
        <f>TEXT(walmart[[#This Row],[Purchase_Date]],"YYY")</f>
        <v>2024</v>
      </c>
      <c r="K1614" s="3">
        <v>493.96</v>
      </c>
      <c r="L1614" t="str">
        <f t="shared" si="116"/>
        <v>5% off</v>
      </c>
      <c r="N1614" t="str">
        <f t="shared" si="117"/>
        <v>Yes</v>
      </c>
      <c r="O1614" t="s">
        <v>21</v>
      </c>
      <c r="P1614" s="3">
        <f t="shared" si="118"/>
        <v>493.96</v>
      </c>
      <c r="Q1614" t="s">
        <v>22</v>
      </c>
      <c r="R1614">
        <v>3</v>
      </c>
      <c r="S1614" t="str">
        <f t="shared" si="119"/>
        <v>Average</v>
      </c>
    </row>
    <row r="1615" spans="1:19" x14ac:dyDescent="0.25">
      <c r="A1615" t="s">
        <v>2035</v>
      </c>
      <c r="B1615">
        <v>21</v>
      </c>
      <c r="C1615" t="s">
        <v>29</v>
      </c>
      <c r="D1615" t="s">
        <v>2535</v>
      </c>
      <c r="E1615" t="s">
        <v>55</v>
      </c>
      <c r="F1615" t="s">
        <v>56</v>
      </c>
      <c r="G1615" t="s">
        <v>191</v>
      </c>
      <c r="H1615" t="str">
        <f>TEXT(walmart[[#This Row],[Purchase_Date]],"DDD")</f>
        <v>Mon</v>
      </c>
      <c r="I1615" t="str">
        <f>TEXT(walmart[[#This Row],[Purchase_Date]],"MMM")</f>
        <v>Apr</v>
      </c>
      <c r="J1615" t="str">
        <f>TEXT(walmart[[#This Row],[Purchase_Date]],"YYY")</f>
        <v>2024</v>
      </c>
      <c r="K1615" s="3">
        <v>76.81</v>
      </c>
      <c r="L1615" t="str">
        <f t="shared" si="116"/>
        <v>0% off</v>
      </c>
      <c r="N1615" t="str">
        <f t="shared" si="117"/>
        <v>No</v>
      </c>
      <c r="O1615" t="s">
        <v>34</v>
      </c>
      <c r="P1615" s="3">
        <f t="shared" si="118"/>
        <v>76.81</v>
      </c>
      <c r="Q1615" t="s">
        <v>47</v>
      </c>
      <c r="R1615">
        <v>3</v>
      </c>
      <c r="S1615" t="str">
        <f t="shared" si="119"/>
        <v>Average</v>
      </c>
    </row>
    <row r="1616" spans="1:19" x14ac:dyDescent="0.25">
      <c r="A1616" t="s">
        <v>2036</v>
      </c>
      <c r="B1616">
        <v>55</v>
      </c>
      <c r="C1616" t="s">
        <v>16</v>
      </c>
      <c r="D1616" t="s">
        <v>2518</v>
      </c>
      <c r="E1616" t="s">
        <v>18</v>
      </c>
      <c r="F1616" t="s">
        <v>142</v>
      </c>
      <c r="G1616" t="s">
        <v>2037</v>
      </c>
      <c r="H1616" t="str">
        <f>TEXT(walmart[[#This Row],[Purchase_Date]],"DDD")</f>
        <v>Sun</v>
      </c>
      <c r="I1616" t="str">
        <f>TEXT(walmart[[#This Row],[Purchase_Date]],"MMM")</f>
        <v>Oct</v>
      </c>
      <c r="J1616" t="str">
        <f>TEXT(walmart[[#This Row],[Purchase_Date]],"YYY")</f>
        <v>2024</v>
      </c>
      <c r="K1616" s="3">
        <v>485.26</v>
      </c>
      <c r="L1616" t="str">
        <f t="shared" si="116"/>
        <v>5% off</v>
      </c>
      <c r="N1616" t="str">
        <f t="shared" si="117"/>
        <v>Yes</v>
      </c>
      <c r="O1616" t="s">
        <v>34</v>
      </c>
      <c r="P1616" s="3">
        <f t="shared" si="118"/>
        <v>485.26</v>
      </c>
      <c r="Q1616" t="s">
        <v>27</v>
      </c>
      <c r="R1616">
        <v>3</v>
      </c>
      <c r="S1616" t="str">
        <f t="shared" si="119"/>
        <v>Average</v>
      </c>
    </row>
    <row r="1617" spans="1:19" x14ac:dyDescent="0.25">
      <c r="A1617" t="s">
        <v>2038</v>
      </c>
      <c r="B1617">
        <v>34</v>
      </c>
      <c r="C1617" t="s">
        <v>16</v>
      </c>
      <c r="D1617" t="s">
        <v>2536</v>
      </c>
      <c r="E1617" t="s">
        <v>24</v>
      </c>
      <c r="F1617" t="s">
        <v>25</v>
      </c>
      <c r="G1617" t="s">
        <v>201</v>
      </c>
      <c r="H1617" t="str">
        <f>TEXT(walmart[[#This Row],[Purchase_Date]],"DDD")</f>
        <v>Sat</v>
      </c>
      <c r="I1617" t="str">
        <f>TEXT(walmart[[#This Row],[Purchase_Date]],"MMM")</f>
        <v>Aug</v>
      </c>
      <c r="J1617" t="str">
        <f>TEXT(walmart[[#This Row],[Purchase_Date]],"YYY")</f>
        <v>2024</v>
      </c>
      <c r="K1617" s="3">
        <v>67.040000000000006</v>
      </c>
      <c r="L1617" t="str">
        <f t="shared" si="116"/>
        <v>0% off</v>
      </c>
      <c r="N1617" t="str">
        <f t="shared" si="117"/>
        <v>No</v>
      </c>
      <c r="O1617" t="s">
        <v>21</v>
      </c>
      <c r="P1617" s="3">
        <f t="shared" si="118"/>
        <v>67.040000000000006</v>
      </c>
      <c r="Q1617" t="s">
        <v>27</v>
      </c>
      <c r="R1617">
        <v>3</v>
      </c>
      <c r="S1617" t="str">
        <f t="shared" si="119"/>
        <v>Average</v>
      </c>
    </row>
    <row r="1618" spans="1:19" x14ac:dyDescent="0.25">
      <c r="A1618" t="s">
        <v>2039</v>
      </c>
      <c r="B1618">
        <v>26</v>
      </c>
      <c r="C1618" t="s">
        <v>29</v>
      </c>
      <c r="D1618" t="s">
        <v>2537</v>
      </c>
      <c r="E1618" t="s">
        <v>24</v>
      </c>
      <c r="F1618" t="s">
        <v>209</v>
      </c>
      <c r="G1618" t="s">
        <v>607</v>
      </c>
      <c r="H1618" t="str">
        <f>TEXT(walmart[[#This Row],[Purchase_Date]],"DDD")</f>
        <v>Wed</v>
      </c>
      <c r="I1618" t="str">
        <f>TEXT(walmart[[#This Row],[Purchase_Date]],"MMM")</f>
        <v>Oct</v>
      </c>
      <c r="J1618" t="str">
        <f>TEXT(walmart[[#This Row],[Purchase_Date]],"YYY")</f>
        <v>2024</v>
      </c>
      <c r="K1618" s="3">
        <v>775.75</v>
      </c>
      <c r="L1618" t="str">
        <f t="shared" si="116"/>
        <v>15% off</v>
      </c>
      <c r="N1618" t="str">
        <f t="shared" si="117"/>
        <v>Yes</v>
      </c>
      <c r="O1618" t="s">
        <v>21</v>
      </c>
      <c r="P1618" s="3">
        <f t="shared" si="118"/>
        <v>775.75</v>
      </c>
      <c r="Q1618" t="s">
        <v>35</v>
      </c>
      <c r="R1618">
        <v>4</v>
      </c>
      <c r="S1618" t="str">
        <f t="shared" si="119"/>
        <v>Good</v>
      </c>
    </row>
    <row r="1619" spans="1:19" x14ac:dyDescent="0.25">
      <c r="A1619" t="s">
        <v>2040</v>
      </c>
      <c r="B1619">
        <v>56</v>
      </c>
      <c r="C1619" t="s">
        <v>29</v>
      </c>
      <c r="D1619" t="s">
        <v>2538</v>
      </c>
      <c r="E1619" t="s">
        <v>18</v>
      </c>
      <c r="F1619" t="s">
        <v>142</v>
      </c>
      <c r="G1619" t="s">
        <v>136</v>
      </c>
      <c r="H1619" t="str">
        <f>TEXT(walmart[[#This Row],[Purchase_Date]],"DDD")</f>
        <v>Tue</v>
      </c>
      <c r="I1619" t="str">
        <f>TEXT(walmart[[#This Row],[Purchase_Date]],"MMM")</f>
        <v>Sep</v>
      </c>
      <c r="J1619" t="str">
        <f>TEXT(walmart[[#This Row],[Purchase_Date]],"YYY")</f>
        <v>2024</v>
      </c>
      <c r="K1619" s="3">
        <v>485.26</v>
      </c>
      <c r="L1619" t="str">
        <f t="shared" si="116"/>
        <v>5% off</v>
      </c>
      <c r="N1619" t="str">
        <f t="shared" si="117"/>
        <v>Yes</v>
      </c>
      <c r="O1619" t="s">
        <v>21</v>
      </c>
      <c r="P1619" s="3">
        <f t="shared" si="118"/>
        <v>485.26</v>
      </c>
      <c r="Q1619" t="s">
        <v>47</v>
      </c>
      <c r="R1619">
        <v>2</v>
      </c>
      <c r="S1619" t="str">
        <f t="shared" si="119"/>
        <v>Poor</v>
      </c>
    </row>
    <row r="1620" spans="1:19" x14ac:dyDescent="0.25">
      <c r="A1620" t="s">
        <v>2041</v>
      </c>
      <c r="B1620">
        <v>25</v>
      </c>
      <c r="C1620" t="s">
        <v>29</v>
      </c>
      <c r="D1620" t="s">
        <v>2539</v>
      </c>
      <c r="E1620" t="s">
        <v>37</v>
      </c>
      <c r="F1620" t="s">
        <v>117</v>
      </c>
      <c r="G1620" t="s">
        <v>555</v>
      </c>
      <c r="H1620" t="str">
        <f>TEXT(walmart[[#This Row],[Purchase_Date]],"DDD")</f>
        <v>Mon</v>
      </c>
      <c r="I1620" t="str">
        <f>TEXT(walmart[[#This Row],[Purchase_Date]],"MMM")</f>
        <v>Sep</v>
      </c>
      <c r="J1620" t="str">
        <f>TEXT(walmart[[#This Row],[Purchase_Date]],"YYY")</f>
        <v>2024</v>
      </c>
      <c r="K1620" s="3">
        <v>165.68</v>
      </c>
      <c r="L1620" t="str">
        <f t="shared" si="116"/>
        <v>5% off</v>
      </c>
      <c r="N1620" t="str">
        <f t="shared" si="117"/>
        <v>Yes</v>
      </c>
      <c r="O1620" t="s">
        <v>21</v>
      </c>
      <c r="P1620" s="3">
        <f t="shared" si="118"/>
        <v>165.68</v>
      </c>
      <c r="Q1620" t="s">
        <v>27</v>
      </c>
      <c r="R1620">
        <v>4</v>
      </c>
      <c r="S1620" t="str">
        <f t="shared" si="119"/>
        <v>Good</v>
      </c>
    </row>
    <row r="1621" spans="1:19" x14ac:dyDescent="0.25">
      <c r="A1621" t="s">
        <v>2042</v>
      </c>
      <c r="B1621">
        <v>24</v>
      </c>
      <c r="C1621" t="s">
        <v>16</v>
      </c>
      <c r="D1621" t="s">
        <v>2540</v>
      </c>
      <c r="E1621" t="s">
        <v>55</v>
      </c>
      <c r="F1621" t="s">
        <v>56</v>
      </c>
      <c r="G1621" t="s">
        <v>662</v>
      </c>
      <c r="H1621" t="str">
        <f>TEXT(walmart[[#This Row],[Purchase_Date]],"DDD")</f>
        <v>Sat</v>
      </c>
      <c r="I1621" t="str">
        <f>TEXT(walmart[[#This Row],[Purchase_Date]],"MMM")</f>
        <v>May</v>
      </c>
      <c r="J1621" t="str">
        <f>TEXT(walmart[[#This Row],[Purchase_Date]],"YYY")</f>
        <v>2024</v>
      </c>
      <c r="K1621" s="3">
        <v>76.81</v>
      </c>
      <c r="L1621" t="str">
        <f t="shared" si="116"/>
        <v>0% off</v>
      </c>
      <c r="N1621" t="str">
        <f t="shared" si="117"/>
        <v>No</v>
      </c>
      <c r="O1621" t="s">
        <v>21</v>
      </c>
      <c r="P1621" s="3">
        <f t="shared" si="118"/>
        <v>76.81</v>
      </c>
      <c r="Q1621" t="s">
        <v>27</v>
      </c>
      <c r="R1621">
        <v>4</v>
      </c>
      <c r="S1621" t="str">
        <f t="shared" si="119"/>
        <v>Good</v>
      </c>
    </row>
    <row r="1622" spans="1:19" x14ac:dyDescent="0.25">
      <c r="A1622" t="s">
        <v>2043</v>
      </c>
      <c r="B1622">
        <v>55</v>
      </c>
      <c r="C1622" t="s">
        <v>29</v>
      </c>
      <c r="D1622" t="s">
        <v>2488</v>
      </c>
      <c r="E1622" t="s">
        <v>24</v>
      </c>
      <c r="F1622" t="s">
        <v>209</v>
      </c>
      <c r="G1622" t="s">
        <v>647</v>
      </c>
      <c r="H1622" t="str">
        <f>TEXT(walmart[[#This Row],[Purchase_Date]],"DDD")</f>
        <v>Wed</v>
      </c>
      <c r="I1622" t="str">
        <f>TEXT(walmart[[#This Row],[Purchase_Date]],"MMM")</f>
        <v>Oct</v>
      </c>
      <c r="J1622" t="str">
        <f>TEXT(walmart[[#This Row],[Purchase_Date]],"YYY")</f>
        <v>2024</v>
      </c>
      <c r="K1622" s="3">
        <v>775.75</v>
      </c>
      <c r="L1622" t="str">
        <f t="shared" si="116"/>
        <v>15% off</v>
      </c>
      <c r="N1622" t="str">
        <f t="shared" si="117"/>
        <v>Yes</v>
      </c>
      <c r="O1622" t="s">
        <v>21</v>
      </c>
      <c r="P1622" s="3">
        <f t="shared" si="118"/>
        <v>775.75</v>
      </c>
      <c r="Q1622" t="s">
        <v>47</v>
      </c>
      <c r="R1622">
        <v>5</v>
      </c>
      <c r="S1622" t="str">
        <f t="shared" si="119"/>
        <v>Excellent</v>
      </c>
    </row>
    <row r="1623" spans="1:19" x14ac:dyDescent="0.25">
      <c r="A1623" t="s">
        <v>2044</v>
      </c>
      <c r="B1623">
        <v>38</v>
      </c>
      <c r="C1623" t="s">
        <v>29</v>
      </c>
      <c r="D1623" t="s">
        <v>2541</v>
      </c>
      <c r="E1623" t="s">
        <v>18</v>
      </c>
      <c r="F1623" t="s">
        <v>142</v>
      </c>
      <c r="G1623" t="s">
        <v>622</v>
      </c>
      <c r="H1623" t="str">
        <f>TEXT(walmart[[#This Row],[Purchase_Date]],"DDD")</f>
        <v>Mon</v>
      </c>
      <c r="I1623" t="str">
        <f>TEXT(walmart[[#This Row],[Purchase_Date]],"MMM")</f>
        <v>Dec</v>
      </c>
      <c r="J1623" t="str">
        <f>TEXT(walmart[[#This Row],[Purchase_Date]],"YYY")</f>
        <v>2024</v>
      </c>
      <c r="K1623" s="3">
        <v>485.26</v>
      </c>
      <c r="L1623" t="str">
        <f t="shared" si="116"/>
        <v>5% off</v>
      </c>
      <c r="N1623" t="str">
        <f t="shared" si="117"/>
        <v>Yes</v>
      </c>
      <c r="O1623" t="s">
        <v>21</v>
      </c>
      <c r="P1623" s="3">
        <f t="shared" si="118"/>
        <v>485.26</v>
      </c>
      <c r="Q1623" t="s">
        <v>27</v>
      </c>
      <c r="R1623">
        <v>1</v>
      </c>
      <c r="S1623" t="str">
        <f t="shared" si="119"/>
        <v>Very Poor</v>
      </c>
    </row>
    <row r="1624" spans="1:19" x14ac:dyDescent="0.25">
      <c r="A1624" t="s">
        <v>2045</v>
      </c>
      <c r="B1624">
        <v>51</v>
      </c>
      <c r="C1624" t="s">
        <v>29</v>
      </c>
      <c r="D1624" t="s">
        <v>2542</v>
      </c>
      <c r="E1624" t="s">
        <v>42</v>
      </c>
      <c r="F1624" t="s">
        <v>103</v>
      </c>
      <c r="G1624" t="s">
        <v>1236</v>
      </c>
      <c r="H1624" t="str">
        <f>TEXT(walmart[[#This Row],[Purchase_Date]],"DDD")</f>
        <v>Tue</v>
      </c>
      <c r="I1624" t="str">
        <f>TEXT(walmart[[#This Row],[Purchase_Date]],"MMM")</f>
        <v>Jul</v>
      </c>
      <c r="J1624" t="str">
        <f>TEXT(walmart[[#This Row],[Purchase_Date]],"YYY")</f>
        <v>2024</v>
      </c>
      <c r="K1624" s="3">
        <v>315.56</v>
      </c>
      <c r="L1624" t="str">
        <f t="shared" si="116"/>
        <v>5% off</v>
      </c>
      <c r="N1624" t="str">
        <f t="shared" si="117"/>
        <v>Yes</v>
      </c>
      <c r="O1624" t="s">
        <v>34</v>
      </c>
      <c r="P1624" s="3">
        <f t="shared" si="118"/>
        <v>315.56</v>
      </c>
      <c r="Q1624" t="s">
        <v>22</v>
      </c>
      <c r="R1624">
        <v>1</v>
      </c>
      <c r="S1624" t="str">
        <f t="shared" si="119"/>
        <v>Very Poor</v>
      </c>
    </row>
    <row r="1625" spans="1:19" x14ac:dyDescent="0.25">
      <c r="A1625" t="s">
        <v>2046</v>
      </c>
      <c r="B1625">
        <v>67</v>
      </c>
      <c r="C1625" t="s">
        <v>29</v>
      </c>
      <c r="D1625" t="s">
        <v>2543</v>
      </c>
      <c r="E1625" t="s">
        <v>31</v>
      </c>
      <c r="F1625" t="s">
        <v>32</v>
      </c>
      <c r="G1625" t="s">
        <v>1293</v>
      </c>
      <c r="H1625" t="str">
        <f>TEXT(walmart[[#This Row],[Purchase_Date]],"DDD")</f>
        <v>Sun</v>
      </c>
      <c r="I1625" t="str">
        <f>TEXT(walmart[[#This Row],[Purchase_Date]],"MMM")</f>
        <v>Nov</v>
      </c>
      <c r="J1625" t="str">
        <f>TEXT(walmart[[#This Row],[Purchase_Date]],"YYY")</f>
        <v>2024</v>
      </c>
      <c r="K1625" s="3">
        <v>493.96</v>
      </c>
      <c r="L1625" t="str">
        <f t="shared" si="116"/>
        <v>5% off</v>
      </c>
      <c r="N1625" t="str">
        <f t="shared" si="117"/>
        <v>Yes</v>
      </c>
      <c r="O1625" t="s">
        <v>21</v>
      </c>
      <c r="P1625" s="3">
        <f t="shared" si="118"/>
        <v>493.96</v>
      </c>
      <c r="Q1625" t="s">
        <v>35</v>
      </c>
      <c r="R1625">
        <v>3</v>
      </c>
      <c r="S1625" t="str">
        <f t="shared" si="119"/>
        <v>Average</v>
      </c>
    </row>
    <row r="1626" spans="1:19" x14ac:dyDescent="0.25">
      <c r="A1626" t="s">
        <v>2047</v>
      </c>
      <c r="B1626">
        <v>30</v>
      </c>
      <c r="C1626" t="s">
        <v>16</v>
      </c>
      <c r="D1626" t="s">
        <v>2544</v>
      </c>
      <c r="E1626" t="s">
        <v>24</v>
      </c>
      <c r="F1626" t="s">
        <v>209</v>
      </c>
      <c r="G1626" t="s">
        <v>492</v>
      </c>
      <c r="H1626" t="str">
        <f>TEXT(walmart[[#This Row],[Purchase_Date]],"DDD")</f>
        <v>Thu</v>
      </c>
      <c r="I1626" t="str">
        <f>TEXT(walmart[[#This Row],[Purchase_Date]],"MMM")</f>
        <v>Oct</v>
      </c>
      <c r="J1626" t="str">
        <f>TEXT(walmart[[#This Row],[Purchase_Date]],"YYY")</f>
        <v>2024</v>
      </c>
      <c r="K1626" s="3">
        <v>775.75</v>
      </c>
      <c r="L1626" t="str">
        <f t="shared" si="116"/>
        <v>15% off</v>
      </c>
      <c r="N1626" t="str">
        <f t="shared" si="117"/>
        <v>Yes</v>
      </c>
      <c r="O1626" t="s">
        <v>21</v>
      </c>
      <c r="P1626" s="3">
        <f t="shared" si="118"/>
        <v>775.75</v>
      </c>
      <c r="Q1626" t="s">
        <v>22</v>
      </c>
      <c r="R1626">
        <v>4</v>
      </c>
      <c r="S1626" t="str">
        <f t="shared" si="119"/>
        <v>Good</v>
      </c>
    </row>
    <row r="1627" spans="1:19" x14ac:dyDescent="0.25">
      <c r="A1627" t="s">
        <v>2048</v>
      </c>
      <c r="B1627">
        <v>20</v>
      </c>
      <c r="C1627" t="s">
        <v>29</v>
      </c>
      <c r="D1627" t="s">
        <v>2545</v>
      </c>
      <c r="E1627" t="s">
        <v>31</v>
      </c>
      <c r="F1627" t="s">
        <v>169</v>
      </c>
      <c r="G1627" t="s">
        <v>968</v>
      </c>
      <c r="H1627" t="str">
        <f>TEXT(walmart[[#This Row],[Purchase_Date]],"DDD")</f>
        <v>Sat</v>
      </c>
      <c r="I1627" t="str">
        <f>TEXT(walmart[[#This Row],[Purchase_Date]],"MMM")</f>
        <v>Jan</v>
      </c>
      <c r="J1627" t="str">
        <f>TEXT(walmart[[#This Row],[Purchase_Date]],"YYY")</f>
        <v>2025</v>
      </c>
      <c r="K1627" s="3">
        <v>52.44</v>
      </c>
      <c r="L1627" t="str">
        <f t="shared" si="116"/>
        <v>0% off</v>
      </c>
      <c r="N1627" t="str">
        <f t="shared" si="117"/>
        <v>No</v>
      </c>
      <c r="O1627" t="s">
        <v>34</v>
      </c>
      <c r="P1627" s="3">
        <f t="shared" si="118"/>
        <v>52.44</v>
      </c>
      <c r="Q1627" t="s">
        <v>27</v>
      </c>
      <c r="R1627">
        <v>3</v>
      </c>
      <c r="S1627" t="str">
        <f t="shared" si="119"/>
        <v>Average</v>
      </c>
    </row>
    <row r="1628" spans="1:19" x14ac:dyDescent="0.25">
      <c r="A1628" t="s">
        <v>2049</v>
      </c>
      <c r="B1628">
        <v>36</v>
      </c>
      <c r="C1628" t="s">
        <v>29</v>
      </c>
      <c r="D1628" t="s">
        <v>2546</v>
      </c>
      <c r="E1628" t="s">
        <v>31</v>
      </c>
      <c r="F1628" t="s">
        <v>300</v>
      </c>
      <c r="G1628" t="s">
        <v>647</v>
      </c>
      <c r="H1628" t="str">
        <f>TEXT(walmart[[#This Row],[Purchase_Date]],"DDD")</f>
        <v>Wed</v>
      </c>
      <c r="I1628" t="str">
        <f>TEXT(walmart[[#This Row],[Purchase_Date]],"MMM")</f>
        <v>Oct</v>
      </c>
      <c r="J1628" t="str">
        <f>TEXT(walmart[[#This Row],[Purchase_Date]],"YYY")</f>
        <v>2024</v>
      </c>
      <c r="K1628" s="3">
        <v>340.04</v>
      </c>
      <c r="L1628" t="str">
        <f t="shared" si="116"/>
        <v>5% off</v>
      </c>
      <c r="N1628" t="str">
        <f t="shared" si="117"/>
        <v>Yes</v>
      </c>
      <c r="O1628" t="s">
        <v>21</v>
      </c>
      <c r="P1628" s="3">
        <f t="shared" si="118"/>
        <v>340.04</v>
      </c>
      <c r="Q1628" t="s">
        <v>22</v>
      </c>
      <c r="R1628">
        <v>2</v>
      </c>
      <c r="S1628" t="str">
        <f t="shared" si="119"/>
        <v>Poor</v>
      </c>
    </row>
    <row r="1629" spans="1:19" x14ac:dyDescent="0.25">
      <c r="A1629" t="s">
        <v>2050</v>
      </c>
      <c r="B1629">
        <v>32</v>
      </c>
      <c r="C1629" t="s">
        <v>29</v>
      </c>
      <c r="D1629" t="s">
        <v>2547</v>
      </c>
      <c r="E1629" t="s">
        <v>24</v>
      </c>
      <c r="F1629" t="s">
        <v>162</v>
      </c>
      <c r="G1629" t="s">
        <v>122</v>
      </c>
      <c r="H1629" t="str">
        <f>TEXT(walmart[[#This Row],[Purchase_Date]],"DDD")</f>
        <v>Wed</v>
      </c>
      <c r="I1629" t="str">
        <f>TEXT(walmart[[#This Row],[Purchase_Date]],"MMM")</f>
        <v>Jul</v>
      </c>
      <c r="J1629" t="str">
        <f>TEXT(walmart[[#This Row],[Purchase_Date]],"YYY")</f>
        <v>2024</v>
      </c>
      <c r="K1629" s="3">
        <v>362.55</v>
      </c>
      <c r="L1629" t="str">
        <f t="shared" si="116"/>
        <v>5% off</v>
      </c>
      <c r="N1629" t="str">
        <f t="shared" si="117"/>
        <v>Yes</v>
      </c>
      <c r="O1629" t="s">
        <v>34</v>
      </c>
      <c r="P1629" s="3">
        <f t="shared" si="118"/>
        <v>362.55</v>
      </c>
      <c r="Q1629" t="s">
        <v>47</v>
      </c>
      <c r="R1629">
        <v>3</v>
      </c>
      <c r="S1629" t="str">
        <f t="shared" si="119"/>
        <v>Average</v>
      </c>
    </row>
    <row r="1630" spans="1:19" x14ac:dyDescent="0.25">
      <c r="A1630" t="s">
        <v>2051</v>
      </c>
      <c r="B1630">
        <v>31</v>
      </c>
      <c r="C1630" t="s">
        <v>16</v>
      </c>
      <c r="D1630" t="s">
        <v>2548</v>
      </c>
      <c r="E1630" t="s">
        <v>55</v>
      </c>
      <c r="F1630" t="s">
        <v>67</v>
      </c>
      <c r="G1630" t="s">
        <v>955</v>
      </c>
      <c r="H1630" t="str">
        <f>TEXT(walmart[[#This Row],[Purchase_Date]],"DDD")</f>
        <v>Sun</v>
      </c>
      <c r="I1630" t="str">
        <f>TEXT(walmart[[#This Row],[Purchase_Date]],"MMM")</f>
        <v>Jun</v>
      </c>
      <c r="J1630" t="str">
        <f>TEXT(walmart[[#This Row],[Purchase_Date]],"YYY")</f>
        <v>2024</v>
      </c>
      <c r="K1630" s="3">
        <v>452.97</v>
      </c>
      <c r="L1630" t="str">
        <f t="shared" si="116"/>
        <v>5% off</v>
      </c>
      <c r="N1630" t="str">
        <f t="shared" si="117"/>
        <v>Yes</v>
      </c>
      <c r="O1630" t="s">
        <v>34</v>
      </c>
      <c r="P1630" s="3">
        <f t="shared" si="118"/>
        <v>452.97</v>
      </c>
      <c r="Q1630" t="s">
        <v>35</v>
      </c>
      <c r="R1630">
        <v>3</v>
      </c>
      <c r="S1630" t="str">
        <f t="shared" si="119"/>
        <v>Average</v>
      </c>
    </row>
    <row r="1631" spans="1:19" x14ac:dyDescent="0.25">
      <c r="A1631" t="s">
        <v>2052</v>
      </c>
      <c r="B1631">
        <v>29</v>
      </c>
      <c r="C1631" t="s">
        <v>16</v>
      </c>
      <c r="D1631" t="s">
        <v>2549</v>
      </c>
      <c r="E1631" t="s">
        <v>73</v>
      </c>
      <c r="F1631" t="s">
        <v>91</v>
      </c>
      <c r="G1631" t="s">
        <v>1291</v>
      </c>
      <c r="H1631" t="str">
        <f>TEXT(walmart[[#This Row],[Purchase_Date]],"DDD")</f>
        <v>Sat</v>
      </c>
      <c r="I1631" t="str">
        <f>TEXT(walmart[[#This Row],[Purchase_Date]],"MMM")</f>
        <v>Oct</v>
      </c>
      <c r="J1631" t="str">
        <f>TEXT(walmart[[#This Row],[Purchase_Date]],"YYY")</f>
        <v>2024</v>
      </c>
      <c r="K1631" s="3">
        <v>418.55</v>
      </c>
      <c r="L1631" t="str">
        <f t="shared" si="116"/>
        <v>5% off</v>
      </c>
      <c r="N1631" t="str">
        <f t="shared" si="117"/>
        <v>Yes</v>
      </c>
      <c r="O1631" t="s">
        <v>21</v>
      </c>
      <c r="P1631" s="3">
        <f t="shared" si="118"/>
        <v>418.55</v>
      </c>
      <c r="Q1631" t="s">
        <v>27</v>
      </c>
      <c r="R1631">
        <v>4</v>
      </c>
      <c r="S1631" t="str">
        <f t="shared" si="119"/>
        <v>Good</v>
      </c>
    </row>
    <row r="1632" spans="1:19" x14ac:dyDescent="0.25">
      <c r="A1632" t="s">
        <v>2053</v>
      </c>
      <c r="B1632">
        <v>50</v>
      </c>
      <c r="C1632" t="s">
        <v>16</v>
      </c>
      <c r="D1632" t="s">
        <v>2550</v>
      </c>
      <c r="E1632" t="s">
        <v>55</v>
      </c>
      <c r="F1632" t="s">
        <v>100</v>
      </c>
      <c r="G1632" t="s">
        <v>193</v>
      </c>
      <c r="H1632" t="str">
        <f>TEXT(walmart[[#This Row],[Purchase_Date]],"DDD")</f>
        <v>Thu</v>
      </c>
      <c r="I1632" t="str">
        <f>TEXT(walmart[[#This Row],[Purchase_Date]],"MMM")</f>
        <v>May</v>
      </c>
      <c r="J1632" t="str">
        <f>TEXT(walmart[[#This Row],[Purchase_Date]],"YYY")</f>
        <v>2024</v>
      </c>
      <c r="K1632" s="3">
        <v>592.26</v>
      </c>
      <c r="L1632" t="str">
        <f t="shared" si="116"/>
        <v>10% off</v>
      </c>
      <c r="N1632" t="str">
        <f t="shared" si="117"/>
        <v>Yes</v>
      </c>
      <c r="O1632" t="s">
        <v>21</v>
      </c>
      <c r="P1632" s="3">
        <f t="shared" si="118"/>
        <v>592.26</v>
      </c>
      <c r="Q1632" t="s">
        <v>27</v>
      </c>
      <c r="R1632">
        <v>4</v>
      </c>
      <c r="S1632" t="str">
        <f t="shared" si="119"/>
        <v>Good</v>
      </c>
    </row>
    <row r="1633" spans="1:19" x14ac:dyDescent="0.25">
      <c r="A1633" t="s">
        <v>2054</v>
      </c>
      <c r="B1633">
        <v>32</v>
      </c>
      <c r="C1633" t="s">
        <v>16</v>
      </c>
      <c r="D1633" t="s">
        <v>2551</v>
      </c>
      <c r="E1633" t="s">
        <v>18</v>
      </c>
      <c r="F1633" t="s">
        <v>77</v>
      </c>
      <c r="G1633" t="s">
        <v>171</v>
      </c>
      <c r="H1633" t="str">
        <f>TEXT(walmart[[#This Row],[Purchase_Date]],"DDD")</f>
        <v>Tue</v>
      </c>
      <c r="I1633" t="str">
        <f>TEXT(walmart[[#This Row],[Purchase_Date]],"MMM")</f>
        <v>Nov</v>
      </c>
      <c r="J1633" t="str">
        <f>TEXT(walmart[[#This Row],[Purchase_Date]],"YYY")</f>
        <v>2024</v>
      </c>
      <c r="K1633" s="3">
        <v>116.78</v>
      </c>
      <c r="L1633" t="str">
        <f t="shared" si="116"/>
        <v>0% off</v>
      </c>
      <c r="N1633" t="str">
        <f t="shared" si="117"/>
        <v>No</v>
      </c>
      <c r="O1633" t="s">
        <v>21</v>
      </c>
      <c r="P1633" s="3">
        <f t="shared" si="118"/>
        <v>116.78</v>
      </c>
      <c r="Q1633" t="s">
        <v>47</v>
      </c>
      <c r="R1633">
        <v>5</v>
      </c>
      <c r="S1633" t="str">
        <f t="shared" si="119"/>
        <v>Excellent</v>
      </c>
    </row>
    <row r="1634" spans="1:19" x14ac:dyDescent="0.25">
      <c r="A1634" t="s">
        <v>2055</v>
      </c>
      <c r="B1634">
        <v>36</v>
      </c>
      <c r="C1634" t="s">
        <v>16</v>
      </c>
      <c r="D1634" t="s">
        <v>2552</v>
      </c>
      <c r="E1634" t="s">
        <v>37</v>
      </c>
      <c r="F1634" t="s">
        <v>38</v>
      </c>
      <c r="G1634" t="s">
        <v>118</v>
      </c>
      <c r="H1634" t="str">
        <f>TEXT(walmart[[#This Row],[Purchase_Date]],"DDD")</f>
        <v>Tue</v>
      </c>
      <c r="I1634" t="str">
        <f>TEXT(walmart[[#This Row],[Purchase_Date]],"MMM")</f>
        <v>Jun</v>
      </c>
      <c r="J1634" t="str">
        <f>TEXT(walmart[[#This Row],[Purchase_Date]],"YYY")</f>
        <v>2024</v>
      </c>
      <c r="K1634" s="3">
        <v>211.46</v>
      </c>
      <c r="L1634" t="str">
        <f t="shared" si="116"/>
        <v>5% off</v>
      </c>
      <c r="N1634" t="str">
        <f t="shared" si="117"/>
        <v>Yes</v>
      </c>
      <c r="O1634" t="s">
        <v>21</v>
      </c>
      <c r="P1634" s="3">
        <f t="shared" si="118"/>
        <v>211.46</v>
      </c>
      <c r="Q1634" t="s">
        <v>22</v>
      </c>
      <c r="R1634">
        <v>5</v>
      </c>
      <c r="S1634" t="str">
        <f t="shared" si="119"/>
        <v>Excellent</v>
      </c>
    </row>
    <row r="1635" spans="1:19" x14ac:dyDescent="0.25">
      <c r="A1635" t="s">
        <v>2056</v>
      </c>
      <c r="B1635">
        <v>23</v>
      </c>
      <c r="C1635" t="s">
        <v>16</v>
      </c>
      <c r="D1635" t="s">
        <v>2553</v>
      </c>
      <c r="E1635" t="s">
        <v>37</v>
      </c>
      <c r="F1635" t="s">
        <v>117</v>
      </c>
      <c r="G1635" t="s">
        <v>224</v>
      </c>
      <c r="H1635" t="str">
        <f>TEXT(walmart[[#This Row],[Purchase_Date]],"DDD")</f>
        <v>Thu</v>
      </c>
      <c r="I1635" t="str">
        <f>TEXT(walmart[[#This Row],[Purchase_Date]],"MMM")</f>
        <v>Mar</v>
      </c>
      <c r="J1635" t="str">
        <f>TEXT(walmart[[#This Row],[Purchase_Date]],"YYY")</f>
        <v>2025</v>
      </c>
      <c r="K1635" s="3">
        <v>165.68</v>
      </c>
      <c r="L1635" t="str">
        <f t="shared" si="116"/>
        <v>5% off</v>
      </c>
      <c r="N1635" t="str">
        <f t="shared" si="117"/>
        <v>Yes</v>
      </c>
      <c r="O1635" t="s">
        <v>21</v>
      </c>
      <c r="P1635" s="3">
        <f t="shared" si="118"/>
        <v>165.68</v>
      </c>
      <c r="Q1635" t="s">
        <v>22</v>
      </c>
      <c r="R1635">
        <v>1</v>
      </c>
      <c r="S1635" t="str">
        <f t="shared" si="119"/>
        <v>Very Poor</v>
      </c>
    </row>
    <row r="1636" spans="1:19" x14ac:dyDescent="0.25">
      <c r="A1636" t="s">
        <v>2057</v>
      </c>
      <c r="B1636">
        <v>23</v>
      </c>
      <c r="C1636" t="s">
        <v>29</v>
      </c>
      <c r="D1636" t="s">
        <v>2554</v>
      </c>
      <c r="E1636" t="s">
        <v>18</v>
      </c>
      <c r="F1636" t="s">
        <v>77</v>
      </c>
      <c r="G1636" t="s">
        <v>136</v>
      </c>
      <c r="H1636" t="str">
        <f>TEXT(walmart[[#This Row],[Purchase_Date]],"DDD")</f>
        <v>Tue</v>
      </c>
      <c r="I1636" t="str">
        <f>TEXT(walmart[[#This Row],[Purchase_Date]],"MMM")</f>
        <v>Sep</v>
      </c>
      <c r="J1636" t="str">
        <f>TEXT(walmart[[#This Row],[Purchase_Date]],"YYY")</f>
        <v>2024</v>
      </c>
      <c r="K1636" s="3">
        <v>116.78</v>
      </c>
      <c r="L1636" t="str">
        <f t="shared" si="116"/>
        <v>0% off</v>
      </c>
      <c r="N1636" t="str">
        <f t="shared" si="117"/>
        <v>No</v>
      </c>
      <c r="O1636" t="s">
        <v>21</v>
      </c>
      <c r="P1636" s="3">
        <f t="shared" si="118"/>
        <v>116.78</v>
      </c>
      <c r="Q1636" t="s">
        <v>35</v>
      </c>
      <c r="R1636">
        <v>5</v>
      </c>
      <c r="S1636" t="str">
        <f t="shared" si="119"/>
        <v>Excellent</v>
      </c>
    </row>
    <row r="1637" spans="1:19" x14ac:dyDescent="0.25">
      <c r="A1637" t="s">
        <v>2058</v>
      </c>
      <c r="B1637">
        <v>21</v>
      </c>
      <c r="C1637" t="s">
        <v>29</v>
      </c>
      <c r="D1637" t="s">
        <v>2555</v>
      </c>
      <c r="E1637" t="s">
        <v>55</v>
      </c>
      <c r="F1637" t="s">
        <v>100</v>
      </c>
      <c r="G1637" t="s">
        <v>1400</v>
      </c>
      <c r="H1637" t="str">
        <f>TEXT(walmart[[#This Row],[Purchase_Date]],"DDD")</f>
        <v>Sun</v>
      </c>
      <c r="I1637" t="str">
        <f>TEXT(walmart[[#This Row],[Purchase_Date]],"MMM")</f>
        <v>Sep</v>
      </c>
      <c r="J1637" t="str">
        <f>TEXT(walmart[[#This Row],[Purchase_Date]],"YYY")</f>
        <v>2024</v>
      </c>
      <c r="K1637" s="3">
        <v>592.26</v>
      </c>
      <c r="L1637" t="str">
        <f t="shared" si="116"/>
        <v>10% off</v>
      </c>
      <c r="N1637" t="str">
        <f t="shared" si="117"/>
        <v>Yes</v>
      </c>
      <c r="O1637" t="s">
        <v>34</v>
      </c>
      <c r="P1637" s="3">
        <f t="shared" si="118"/>
        <v>592.26</v>
      </c>
      <c r="Q1637" t="s">
        <v>27</v>
      </c>
      <c r="R1637">
        <v>4</v>
      </c>
      <c r="S1637" t="str">
        <f t="shared" si="119"/>
        <v>Good</v>
      </c>
    </row>
    <row r="1638" spans="1:19" x14ac:dyDescent="0.25">
      <c r="A1638" t="s">
        <v>2059</v>
      </c>
      <c r="B1638">
        <v>21</v>
      </c>
      <c r="C1638" t="s">
        <v>16</v>
      </c>
      <c r="D1638" t="s">
        <v>2556</v>
      </c>
      <c r="E1638" t="s">
        <v>37</v>
      </c>
      <c r="F1638" t="s">
        <v>117</v>
      </c>
      <c r="G1638" t="s">
        <v>411</v>
      </c>
      <c r="H1638" t="str">
        <f>TEXT(walmart[[#This Row],[Purchase_Date]],"DDD")</f>
        <v>Wed</v>
      </c>
      <c r="I1638" t="str">
        <f>TEXT(walmart[[#This Row],[Purchase_Date]],"MMM")</f>
        <v>Apr</v>
      </c>
      <c r="J1638" t="str">
        <f>TEXT(walmart[[#This Row],[Purchase_Date]],"YYY")</f>
        <v>2024</v>
      </c>
      <c r="K1638" s="3">
        <v>165.68</v>
      </c>
      <c r="L1638" t="str">
        <f t="shared" si="116"/>
        <v>5% off</v>
      </c>
      <c r="N1638" t="str">
        <f t="shared" si="117"/>
        <v>Yes</v>
      </c>
      <c r="O1638" t="s">
        <v>34</v>
      </c>
      <c r="P1638" s="3">
        <f t="shared" si="118"/>
        <v>165.68</v>
      </c>
      <c r="Q1638" t="s">
        <v>27</v>
      </c>
      <c r="R1638">
        <v>5</v>
      </c>
      <c r="S1638" t="str">
        <f t="shared" si="119"/>
        <v>Excellent</v>
      </c>
    </row>
    <row r="1639" spans="1:19" x14ac:dyDescent="0.25">
      <c r="A1639" t="s">
        <v>2060</v>
      </c>
      <c r="B1639">
        <v>25</v>
      </c>
      <c r="C1639" t="s">
        <v>29</v>
      </c>
      <c r="D1639" t="s">
        <v>2557</v>
      </c>
      <c r="E1639" t="s">
        <v>55</v>
      </c>
      <c r="F1639" t="s">
        <v>100</v>
      </c>
      <c r="G1639" t="s">
        <v>459</v>
      </c>
      <c r="H1639" t="str">
        <f>TEXT(walmart[[#This Row],[Purchase_Date]],"DDD")</f>
        <v>Tue</v>
      </c>
      <c r="I1639" t="str">
        <f>TEXT(walmart[[#This Row],[Purchase_Date]],"MMM")</f>
        <v>Aug</v>
      </c>
      <c r="J1639" t="str">
        <f>TEXT(walmart[[#This Row],[Purchase_Date]],"YYY")</f>
        <v>2024</v>
      </c>
      <c r="K1639" s="3">
        <v>592.26</v>
      </c>
      <c r="L1639" t="str">
        <f t="shared" si="116"/>
        <v>10% off</v>
      </c>
      <c r="N1639" t="str">
        <f t="shared" si="117"/>
        <v>Yes</v>
      </c>
      <c r="O1639" t="s">
        <v>21</v>
      </c>
      <c r="P1639" s="3">
        <f t="shared" si="118"/>
        <v>592.26</v>
      </c>
      <c r="Q1639" t="s">
        <v>22</v>
      </c>
      <c r="R1639">
        <v>5</v>
      </c>
      <c r="S1639" t="str">
        <f t="shared" si="119"/>
        <v>Excellent</v>
      </c>
    </row>
    <row r="1640" spans="1:19" x14ac:dyDescent="0.25">
      <c r="A1640" t="s">
        <v>2061</v>
      </c>
      <c r="B1640">
        <v>63</v>
      </c>
      <c r="C1640" t="s">
        <v>16</v>
      </c>
      <c r="D1640" t="s">
        <v>2558</v>
      </c>
      <c r="E1640" t="s">
        <v>73</v>
      </c>
      <c r="F1640" t="s">
        <v>74</v>
      </c>
      <c r="G1640" t="s">
        <v>333</v>
      </c>
      <c r="H1640" t="str">
        <f>TEXT(walmart[[#This Row],[Purchase_Date]],"DDD")</f>
        <v>Sat</v>
      </c>
      <c r="I1640" t="str">
        <f>TEXT(walmart[[#This Row],[Purchase_Date]],"MMM")</f>
        <v>Jul</v>
      </c>
      <c r="J1640" t="str">
        <f>TEXT(walmart[[#This Row],[Purchase_Date]],"YYY")</f>
        <v>2024</v>
      </c>
      <c r="K1640" s="3">
        <v>782.29</v>
      </c>
      <c r="L1640" t="str">
        <f t="shared" si="116"/>
        <v>15% off</v>
      </c>
      <c r="N1640" t="str">
        <f t="shared" si="117"/>
        <v>Yes</v>
      </c>
      <c r="O1640" t="s">
        <v>21</v>
      </c>
      <c r="P1640" s="3">
        <f t="shared" si="118"/>
        <v>782.29</v>
      </c>
      <c r="Q1640" t="s">
        <v>35</v>
      </c>
      <c r="R1640">
        <v>5</v>
      </c>
      <c r="S1640" t="str">
        <f t="shared" si="119"/>
        <v>Excellent</v>
      </c>
    </row>
    <row r="1641" spans="1:19" x14ac:dyDescent="0.25">
      <c r="A1641" t="s">
        <v>2062</v>
      </c>
      <c r="B1641">
        <v>66</v>
      </c>
      <c r="C1641" t="s">
        <v>29</v>
      </c>
      <c r="D1641" t="s">
        <v>2559</v>
      </c>
      <c r="E1641" t="s">
        <v>31</v>
      </c>
      <c r="F1641" t="s">
        <v>32</v>
      </c>
      <c r="G1641" t="s">
        <v>605</v>
      </c>
      <c r="H1641" t="str">
        <f>TEXT(walmart[[#This Row],[Purchase_Date]],"DDD")</f>
        <v>Sun</v>
      </c>
      <c r="I1641" t="str">
        <f>TEXT(walmart[[#This Row],[Purchase_Date]],"MMM")</f>
        <v>Mar</v>
      </c>
      <c r="J1641" t="str">
        <f>TEXT(walmart[[#This Row],[Purchase_Date]],"YYY")</f>
        <v>2025</v>
      </c>
      <c r="K1641" s="3">
        <v>493.96</v>
      </c>
      <c r="L1641" t="str">
        <f t="shared" si="116"/>
        <v>5% off</v>
      </c>
      <c r="N1641" t="str">
        <f t="shared" si="117"/>
        <v>Yes</v>
      </c>
      <c r="O1641" t="s">
        <v>34</v>
      </c>
      <c r="P1641" s="3">
        <f t="shared" si="118"/>
        <v>493.96</v>
      </c>
      <c r="Q1641" t="s">
        <v>47</v>
      </c>
      <c r="R1641">
        <v>5</v>
      </c>
      <c r="S1641" t="str">
        <f t="shared" si="119"/>
        <v>Excellent</v>
      </c>
    </row>
    <row r="1642" spans="1:19" x14ac:dyDescent="0.25">
      <c r="A1642" t="s">
        <v>2063</v>
      </c>
      <c r="B1642">
        <v>37</v>
      </c>
      <c r="C1642" t="s">
        <v>16</v>
      </c>
      <c r="D1642" t="s">
        <v>2560</v>
      </c>
      <c r="E1642" t="s">
        <v>37</v>
      </c>
      <c r="F1642" t="s">
        <v>97</v>
      </c>
      <c r="G1642" t="s">
        <v>641</v>
      </c>
      <c r="H1642" t="str">
        <f>TEXT(walmart[[#This Row],[Purchase_Date]],"DDD")</f>
        <v>Sun</v>
      </c>
      <c r="I1642" t="str">
        <f>TEXT(walmart[[#This Row],[Purchase_Date]],"MMM")</f>
        <v>Nov</v>
      </c>
      <c r="J1642" t="str">
        <f>TEXT(walmart[[#This Row],[Purchase_Date]],"YYY")</f>
        <v>2024</v>
      </c>
      <c r="K1642" s="3">
        <v>855.21</v>
      </c>
      <c r="L1642" t="str">
        <f t="shared" si="116"/>
        <v>15% off</v>
      </c>
      <c r="N1642" t="str">
        <f t="shared" si="117"/>
        <v>Yes</v>
      </c>
      <c r="O1642" t="s">
        <v>34</v>
      </c>
      <c r="P1642" s="3">
        <f t="shared" si="118"/>
        <v>855.21</v>
      </c>
      <c r="Q1642" t="s">
        <v>27</v>
      </c>
      <c r="R1642">
        <v>5</v>
      </c>
      <c r="S1642" t="str">
        <f t="shared" si="119"/>
        <v>Excellent</v>
      </c>
    </row>
    <row r="1643" spans="1:19" x14ac:dyDescent="0.25">
      <c r="A1643" t="s">
        <v>2064</v>
      </c>
      <c r="B1643">
        <v>40</v>
      </c>
      <c r="C1643" t="s">
        <v>16</v>
      </c>
      <c r="D1643" t="s">
        <v>2561</v>
      </c>
      <c r="E1643" t="s">
        <v>42</v>
      </c>
      <c r="F1643" t="s">
        <v>43</v>
      </c>
      <c r="G1643" t="s">
        <v>346</v>
      </c>
      <c r="H1643" t="str">
        <f>TEXT(walmart[[#This Row],[Purchase_Date]],"DDD")</f>
        <v>Fri</v>
      </c>
      <c r="I1643" t="str">
        <f>TEXT(walmart[[#This Row],[Purchase_Date]],"MMM")</f>
        <v>Aug</v>
      </c>
      <c r="J1643" t="str">
        <f>TEXT(walmart[[#This Row],[Purchase_Date]],"YYY")</f>
        <v>2024</v>
      </c>
      <c r="K1643" s="3">
        <v>512.94000000000005</v>
      </c>
      <c r="L1643" t="str">
        <f t="shared" si="116"/>
        <v>10% off</v>
      </c>
      <c r="N1643" t="str">
        <f t="shared" si="117"/>
        <v>Yes</v>
      </c>
      <c r="O1643" t="s">
        <v>34</v>
      </c>
      <c r="P1643" s="3">
        <f t="shared" si="118"/>
        <v>512.94000000000005</v>
      </c>
      <c r="Q1643" t="s">
        <v>35</v>
      </c>
      <c r="R1643">
        <v>3</v>
      </c>
      <c r="S1643" t="str">
        <f t="shared" si="119"/>
        <v>Average</v>
      </c>
    </row>
    <row r="1644" spans="1:19" x14ac:dyDescent="0.25">
      <c r="A1644" t="s">
        <v>2065</v>
      </c>
      <c r="B1644">
        <v>35</v>
      </c>
      <c r="C1644" t="s">
        <v>29</v>
      </c>
      <c r="D1644" t="s">
        <v>2501</v>
      </c>
      <c r="E1644" t="s">
        <v>73</v>
      </c>
      <c r="F1644" t="s">
        <v>91</v>
      </c>
      <c r="G1644" t="s">
        <v>1286</v>
      </c>
      <c r="H1644" t="str">
        <f>TEXT(walmart[[#This Row],[Purchase_Date]],"DDD")</f>
        <v>Mon</v>
      </c>
      <c r="I1644" t="str">
        <f>TEXT(walmart[[#This Row],[Purchase_Date]],"MMM")</f>
        <v>Apr</v>
      </c>
      <c r="J1644" t="str">
        <f>TEXT(walmart[[#This Row],[Purchase_Date]],"YYY")</f>
        <v>2024</v>
      </c>
      <c r="K1644" s="3">
        <v>418.55</v>
      </c>
      <c r="L1644" t="str">
        <f t="shared" si="116"/>
        <v>5% off</v>
      </c>
      <c r="N1644" t="str">
        <f t="shared" si="117"/>
        <v>Yes</v>
      </c>
      <c r="O1644" t="s">
        <v>34</v>
      </c>
      <c r="P1644" s="3">
        <f t="shared" si="118"/>
        <v>418.55</v>
      </c>
      <c r="Q1644" t="s">
        <v>35</v>
      </c>
      <c r="R1644">
        <v>5</v>
      </c>
      <c r="S1644" t="str">
        <f t="shared" si="119"/>
        <v>Excellent</v>
      </c>
    </row>
    <row r="1645" spans="1:19" x14ac:dyDescent="0.25">
      <c r="A1645" t="s">
        <v>2066</v>
      </c>
      <c r="B1645">
        <v>38</v>
      </c>
      <c r="C1645" t="s">
        <v>16</v>
      </c>
      <c r="D1645" t="s">
        <v>2504</v>
      </c>
      <c r="E1645" t="s">
        <v>24</v>
      </c>
      <c r="F1645" t="s">
        <v>25</v>
      </c>
      <c r="G1645" t="s">
        <v>189</v>
      </c>
      <c r="H1645" t="str">
        <f>TEXT(walmart[[#This Row],[Purchase_Date]],"DDD")</f>
        <v>Sat</v>
      </c>
      <c r="I1645" t="str">
        <f>TEXT(walmart[[#This Row],[Purchase_Date]],"MMM")</f>
        <v>Jun</v>
      </c>
      <c r="J1645" t="str">
        <f>TEXT(walmart[[#This Row],[Purchase_Date]],"YYY")</f>
        <v>2024</v>
      </c>
      <c r="K1645" s="3">
        <v>67.040000000000006</v>
      </c>
      <c r="L1645" t="str">
        <f t="shared" si="116"/>
        <v>0% off</v>
      </c>
      <c r="N1645" t="str">
        <f t="shared" si="117"/>
        <v>No</v>
      </c>
      <c r="O1645" t="s">
        <v>34</v>
      </c>
      <c r="P1645" s="3">
        <f t="shared" si="118"/>
        <v>67.040000000000006</v>
      </c>
      <c r="Q1645" t="s">
        <v>22</v>
      </c>
      <c r="R1645">
        <v>1</v>
      </c>
      <c r="S1645" t="str">
        <f t="shared" si="119"/>
        <v>Very Poor</v>
      </c>
    </row>
    <row r="1646" spans="1:19" x14ac:dyDescent="0.25">
      <c r="A1646" t="s">
        <v>2067</v>
      </c>
      <c r="B1646">
        <v>50</v>
      </c>
      <c r="C1646" t="s">
        <v>29</v>
      </c>
      <c r="D1646" t="s">
        <v>2505</v>
      </c>
      <c r="E1646" t="s">
        <v>31</v>
      </c>
      <c r="F1646" t="s">
        <v>32</v>
      </c>
      <c r="G1646" t="s">
        <v>62</v>
      </c>
      <c r="H1646" t="str">
        <f>TEXT(walmart[[#This Row],[Purchase_Date]],"DDD")</f>
        <v>Sun</v>
      </c>
      <c r="I1646" t="str">
        <f>TEXT(walmart[[#This Row],[Purchase_Date]],"MMM")</f>
        <v>Aug</v>
      </c>
      <c r="J1646" t="str">
        <f>TEXT(walmart[[#This Row],[Purchase_Date]],"YYY")</f>
        <v>2024</v>
      </c>
      <c r="K1646" s="3">
        <v>493.96</v>
      </c>
      <c r="L1646" t="str">
        <f t="shared" si="116"/>
        <v>5% off</v>
      </c>
      <c r="N1646" t="str">
        <f t="shared" si="117"/>
        <v>Yes</v>
      </c>
      <c r="O1646" t="s">
        <v>34</v>
      </c>
      <c r="P1646" s="3">
        <f t="shared" si="118"/>
        <v>493.96</v>
      </c>
      <c r="Q1646" t="s">
        <v>22</v>
      </c>
      <c r="R1646">
        <v>3</v>
      </c>
      <c r="S1646" t="str">
        <f t="shared" si="119"/>
        <v>Average</v>
      </c>
    </row>
    <row r="1647" spans="1:19" x14ac:dyDescent="0.25">
      <c r="A1647" t="s">
        <v>2068</v>
      </c>
      <c r="B1647">
        <v>61</v>
      </c>
      <c r="C1647" t="s">
        <v>29</v>
      </c>
      <c r="D1647" t="s">
        <v>2562</v>
      </c>
      <c r="E1647" t="s">
        <v>73</v>
      </c>
      <c r="F1647" t="s">
        <v>138</v>
      </c>
      <c r="G1647" t="s">
        <v>859</v>
      </c>
      <c r="H1647" t="str">
        <f>TEXT(walmart[[#This Row],[Purchase_Date]],"DDD")</f>
        <v>Tue</v>
      </c>
      <c r="I1647" t="str">
        <f>TEXT(walmart[[#This Row],[Purchase_Date]],"MMM")</f>
        <v>Jun</v>
      </c>
      <c r="J1647" t="str">
        <f>TEXT(walmart[[#This Row],[Purchase_Date]],"YYY")</f>
        <v>2024</v>
      </c>
      <c r="K1647" s="3">
        <v>461.81</v>
      </c>
      <c r="L1647" t="str">
        <f t="shared" si="116"/>
        <v>5% off</v>
      </c>
      <c r="N1647" t="str">
        <f t="shared" si="117"/>
        <v>Yes</v>
      </c>
      <c r="O1647" t="s">
        <v>34</v>
      </c>
      <c r="P1647" s="3">
        <f t="shared" si="118"/>
        <v>461.81</v>
      </c>
      <c r="Q1647" t="s">
        <v>27</v>
      </c>
      <c r="R1647">
        <v>1</v>
      </c>
      <c r="S1647" t="str">
        <f t="shared" si="119"/>
        <v>Very Poor</v>
      </c>
    </row>
    <row r="1648" spans="1:19" x14ac:dyDescent="0.25">
      <c r="A1648" t="s">
        <v>2069</v>
      </c>
      <c r="B1648">
        <v>40</v>
      </c>
      <c r="C1648" t="s">
        <v>16</v>
      </c>
      <c r="D1648" t="s">
        <v>2563</v>
      </c>
      <c r="E1648" t="s">
        <v>73</v>
      </c>
      <c r="F1648" t="s">
        <v>94</v>
      </c>
      <c r="G1648" t="s">
        <v>1414</v>
      </c>
      <c r="H1648" t="str">
        <f>TEXT(walmart[[#This Row],[Purchase_Date]],"DDD")</f>
        <v>Mon</v>
      </c>
      <c r="I1648" t="str">
        <f>TEXT(walmart[[#This Row],[Purchase_Date]],"MMM")</f>
        <v>Dec</v>
      </c>
      <c r="J1648" t="str">
        <f>TEXT(walmart[[#This Row],[Purchase_Date]],"YYY")</f>
        <v>2024</v>
      </c>
      <c r="K1648" s="3">
        <v>965.09</v>
      </c>
      <c r="L1648" t="str">
        <f t="shared" si="116"/>
        <v>20% off</v>
      </c>
      <c r="N1648" t="str">
        <f t="shared" si="117"/>
        <v>Yes</v>
      </c>
      <c r="O1648" t="s">
        <v>34</v>
      </c>
      <c r="P1648" s="3">
        <f t="shared" si="118"/>
        <v>965.09</v>
      </c>
      <c r="Q1648" t="s">
        <v>47</v>
      </c>
      <c r="R1648">
        <v>3</v>
      </c>
      <c r="S1648" t="str">
        <f t="shared" si="119"/>
        <v>Average</v>
      </c>
    </row>
    <row r="1649" spans="1:19" x14ac:dyDescent="0.25">
      <c r="A1649" t="s">
        <v>2070</v>
      </c>
      <c r="B1649">
        <v>27</v>
      </c>
      <c r="C1649" t="s">
        <v>16</v>
      </c>
      <c r="D1649" t="s">
        <v>2564</v>
      </c>
      <c r="E1649" t="s">
        <v>31</v>
      </c>
      <c r="F1649" t="s">
        <v>32</v>
      </c>
      <c r="G1649" t="s">
        <v>268</v>
      </c>
      <c r="H1649" t="str">
        <f>TEXT(walmart[[#This Row],[Purchase_Date]],"DDD")</f>
        <v>Fri</v>
      </c>
      <c r="I1649" t="str">
        <f>TEXT(walmart[[#This Row],[Purchase_Date]],"MMM")</f>
        <v>Oct</v>
      </c>
      <c r="J1649" t="str">
        <f>TEXT(walmart[[#This Row],[Purchase_Date]],"YYY")</f>
        <v>2024</v>
      </c>
      <c r="K1649" s="3">
        <v>493.96</v>
      </c>
      <c r="L1649" t="str">
        <f t="shared" si="116"/>
        <v>5% off</v>
      </c>
      <c r="N1649" t="str">
        <f t="shared" si="117"/>
        <v>Yes</v>
      </c>
      <c r="O1649" t="s">
        <v>21</v>
      </c>
      <c r="P1649" s="3">
        <f t="shared" si="118"/>
        <v>493.96</v>
      </c>
      <c r="Q1649" t="s">
        <v>22</v>
      </c>
      <c r="R1649">
        <v>5</v>
      </c>
      <c r="S1649" t="str">
        <f t="shared" si="119"/>
        <v>Excellent</v>
      </c>
    </row>
    <row r="1650" spans="1:19" x14ac:dyDescent="0.25">
      <c r="A1650" t="s">
        <v>2071</v>
      </c>
      <c r="B1650">
        <v>49</v>
      </c>
      <c r="C1650" t="s">
        <v>16</v>
      </c>
      <c r="D1650" t="s">
        <v>2565</v>
      </c>
      <c r="E1650" t="s">
        <v>31</v>
      </c>
      <c r="F1650" t="s">
        <v>169</v>
      </c>
      <c r="G1650" t="s">
        <v>250</v>
      </c>
      <c r="H1650" t="str">
        <f>TEXT(walmart[[#This Row],[Purchase_Date]],"DDD")</f>
        <v>Sun</v>
      </c>
      <c r="I1650" t="str">
        <f>TEXT(walmart[[#This Row],[Purchase_Date]],"MMM")</f>
        <v>Jul</v>
      </c>
      <c r="J1650" t="str">
        <f>TEXT(walmart[[#This Row],[Purchase_Date]],"YYY")</f>
        <v>2024</v>
      </c>
      <c r="K1650" s="3">
        <v>52.44</v>
      </c>
      <c r="L1650" t="str">
        <f t="shared" si="116"/>
        <v>0% off</v>
      </c>
      <c r="N1650" t="str">
        <f t="shared" si="117"/>
        <v>No</v>
      </c>
      <c r="O1650" t="s">
        <v>34</v>
      </c>
      <c r="P1650" s="3">
        <f t="shared" si="118"/>
        <v>52.44</v>
      </c>
      <c r="Q1650" t="s">
        <v>35</v>
      </c>
      <c r="R1650">
        <v>2</v>
      </c>
      <c r="S1650" t="str">
        <f t="shared" si="119"/>
        <v>Poor</v>
      </c>
    </row>
    <row r="1651" spans="1:19" x14ac:dyDescent="0.25">
      <c r="A1651" t="s">
        <v>2072</v>
      </c>
      <c r="B1651">
        <v>20</v>
      </c>
      <c r="C1651" t="s">
        <v>29</v>
      </c>
      <c r="D1651" t="s">
        <v>2566</v>
      </c>
      <c r="E1651" t="s">
        <v>42</v>
      </c>
      <c r="F1651" t="s">
        <v>120</v>
      </c>
      <c r="G1651" t="s">
        <v>628</v>
      </c>
      <c r="H1651" t="str">
        <f>TEXT(walmart[[#This Row],[Purchase_Date]],"DDD")</f>
        <v>Wed</v>
      </c>
      <c r="I1651" t="str">
        <f>TEXT(walmart[[#This Row],[Purchase_Date]],"MMM")</f>
        <v>Nov</v>
      </c>
      <c r="J1651" t="str">
        <f>TEXT(walmart[[#This Row],[Purchase_Date]],"YYY")</f>
        <v>2024</v>
      </c>
      <c r="K1651" s="3">
        <v>260.77999999999997</v>
      </c>
      <c r="L1651" t="str">
        <f t="shared" si="116"/>
        <v>5% off</v>
      </c>
      <c r="N1651" t="str">
        <f t="shared" si="117"/>
        <v>Yes</v>
      </c>
      <c r="O1651" t="s">
        <v>21</v>
      </c>
      <c r="P1651" s="3">
        <f t="shared" si="118"/>
        <v>260.77999999999997</v>
      </c>
      <c r="Q1651" t="s">
        <v>22</v>
      </c>
      <c r="R1651">
        <v>2</v>
      </c>
      <c r="S1651" t="str">
        <f t="shared" si="119"/>
        <v>Poor</v>
      </c>
    </row>
    <row r="1652" spans="1:19" x14ac:dyDescent="0.25">
      <c r="A1652" t="s">
        <v>2073</v>
      </c>
      <c r="B1652">
        <v>49</v>
      </c>
      <c r="C1652" t="s">
        <v>16</v>
      </c>
      <c r="D1652" t="s">
        <v>2433</v>
      </c>
      <c r="E1652" t="s">
        <v>73</v>
      </c>
      <c r="F1652" t="s">
        <v>138</v>
      </c>
      <c r="G1652" t="s">
        <v>128</v>
      </c>
      <c r="H1652" t="str">
        <f>TEXT(walmart[[#This Row],[Purchase_Date]],"DDD")</f>
        <v>Sun</v>
      </c>
      <c r="I1652" t="str">
        <f>TEXT(walmart[[#This Row],[Purchase_Date]],"MMM")</f>
        <v>Jul</v>
      </c>
      <c r="J1652" t="str">
        <f>TEXT(walmart[[#This Row],[Purchase_Date]],"YYY")</f>
        <v>2024</v>
      </c>
      <c r="K1652" s="3">
        <v>461.81</v>
      </c>
      <c r="L1652" t="str">
        <f t="shared" si="116"/>
        <v>5% off</v>
      </c>
      <c r="N1652" t="str">
        <f t="shared" si="117"/>
        <v>Yes</v>
      </c>
      <c r="O1652" t="s">
        <v>21</v>
      </c>
      <c r="P1652" s="3">
        <f t="shared" si="118"/>
        <v>461.81</v>
      </c>
      <c r="Q1652" t="s">
        <v>47</v>
      </c>
      <c r="R1652">
        <v>4</v>
      </c>
      <c r="S1652" t="str">
        <f t="shared" si="119"/>
        <v>Good</v>
      </c>
    </row>
    <row r="1653" spans="1:19" x14ac:dyDescent="0.25">
      <c r="A1653" t="s">
        <v>2074</v>
      </c>
      <c r="B1653">
        <v>63</v>
      </c>
      <c r="C1653" t="s">
        <v>16</v>
      </c>
      <c r="D1653" t="s">
        <v>49</v>
      </c>
      <c r="E1653" t="s">
        <v>18</v>
      </c>
      <c r="F1653" t="s">
        <v>142</v>
      </c>
      <c r="G1653" t="s">
        <v>2075</v>
      </c>
      <c r="H1653" t="str">
        <f>TEXT(walmart[[#This Row],[Purchase_Date]],"DDD")</f>
        <v>Sun</v>
      </c>
      <c r="I1653" t="str">
        <f>TEXT(walmart[[#This Row],[Purchase_Date]],"MMM")</f>
        <v>Apr</v>
      </c>
      <c r="J1653" t="str">
        <f>TEXT(walmart[[#This Row],[Purchase_Date]],"YYY")</f>
        <v>2024</v>
      </c>
      <c r="K1653" s="3">
        <v>485.26</v>
      </c>
      <c r="L1653" t="str">
        <f t="shared" si="116"/>
        <v>5% off</v>
      </c>
      <c r="N1653" t="str">
        <f t="shared" si="117"/>
        <v>Yes</v>
      </c>
      <c r="O1653" t="s">
        <v>21</v>
      </c>
      <c r="P1653" s="3">
        <f t="shared" si="118"/>
        <v>485.26</v>
      </c>
      <c r="Q1653" t="s">
        <v>35</v>
      </c>
      <c r="R1653">
        <v>2</v>
      </c>
      <c r="S1653" t="str">
        <f t="shared" si="119"/>
        <v>Poor</v>
      </c>
    </row>
    <row r="1654" spans="1:19" x14ac:dyDescent="0.25">
      <c r="A1654" t="s">
        <v>2076</v>
      </c>
      <c r="B1654">
        <v>21</v>
      </c>
      <c r="C1654" t="s">
        <v>16</v>
      </c>
      <c r="D1654" t="s">
        <v>30</v>
      </c>
      <c r="E1654" t="s">
        <v>55</v>
      </c>
      <c r="F1654" t="s">
        <v>64</v>
      </c>
      <c r="G1654" t="s">
        <v>224</v>
      </c>
      <c r="H1654" t="str">
        <f>TEXT(walmart[[#This Row],[Purchase_Date]],"DDD")</f>
        <v>Thu</v>
      </c>
      <c r="I1654" t="str">
        <f>TEXT(walmart[[#This Row],[Purchase_Date]],"MMM")</f>
        <v>Mar</v>
      </c>
      <c r="J1654" t="str">
        <f>TEXT(walmart[[#This Row],[Purchase_Date]],"YYY")</f>
        <v>2025</v>
      </c>
      <c r="K1654" s="3">
        <v>374.92</v>
      </c>
      <c r="L1654" t="str">
        <f t="shared" si="116"/>
        <v>5% off</v>
      </c>
      <c r="N1654" t="str">
        <f t="shared" si="117"/>
        <v>Yes</v>
      </c>
      <c r="O1654" t="s">
        <v>34</v>
      </c>
      <c r="P1654" s="3">
        <f t="shared" si="118"/>
        <v>374.92</v>
      </c>
      <c r="Q1654" t="s">
        <v>35</v>
      </c>
      <c r="R1654">
        <v>3</v>
      </c>
      <c r="S1654" t="str">
        <f t="shared" si="119"/>
        <v>Average</v>
      </c>
    </row>
    <row r="1655" spans="1:19" x14ac:dyDescent="0.25">
      <c r="A1655" t="s">
        <v>2077</v>
      </c>
      <c r="B1655">
        <v>33</v>
      </c>
      <c r="C1655" t="s">
        <v>16</v>
      </c>
      <c r="D1655" t="s">
        <v>41</v>
      </c>
      <c r="E1655" t="s">
        <v>42</v>
      </c>
      <c r="F1655" t="s">
        <v>43</v>
      </c>
      <c r="G1655" t="s">
        <v>605</v>
      </c>
      <c r="H1655" t="str">
        <f>TEXT(walmart[[#This Row],[Purchase_Date]],"DDD")</f>
        <v>Sun</v>
      </c>
      <c r="I1655" t="str">
        <f>TEXT(walmart[[#This Row],[Purchase_Date]],"MMM")</f>
        <v>Mar</v>
      </c>
      <c r="J1655" t="str">
        <f>TEXT(walmart[[#This Row],[Purchase_Date]],"YYY")</f>
        <v>2025</v>
      </c>
      <c r="K1655" s="3">
        <v>512.94000000000005</v>
      </c>
      <c r="L1655" t="str">
        <f t="shared" si="116"/>
        <v>10% off</v>
      </c>
      <c r="N1655" t="str">
        <f t="shared" si="117"/>
        <v>Yes</v>
      </c>
      <c r="O1655" t="s">
        <v>21</v>
      </c>
      <c r="P1655" s="3">
        <f t="shared" si="118"/>
        <v>512.94000000000005</v>
      </c>
      <c r="Q1655" t="s">
        <v>35</v>
      </c>
      <c r="R1655">
        <v>4</v>
      </c>
      <c r="S1655" t="str">
        <f t="shared" si="119"/>
        <v>Good</v>
      </c>
    </row>
    <row r="1656" spans="1:19" x14ac:dyDescent="0.25">
      <c r="A1656" t="s">
        <v>2078</v>
      </c>
      <c r="B1656">
        <v>19</v>
      </c>
      <c r="C1656" t="s">
        <v>16</v>
      </c>
      <c r="D1656" t="s">
        <v>2434</v>
      </c>
      <c r="E1656" t="s">
        <v>31</v>
      </c>
      <c r="F1656" t="s">
        <v>300</v>
      </c>
      <c r="G1656" t="s">
        <v>256</v>
      </c>
      <c r="H1656" t="str">
        <f>TEXT(walmart[[#This Row],[Purchase_Date]],"DDD")</f>
        <v>Sat</v>
      </c>
      <c r="I1656" t="str">
        <f>TEXT(walmart[[#This Row],[Purchase_Date]],"MMM")</f>
        <v>May</v>
      </c>
      <c r="J1656" t="str">
        <f>TEXT(walmart[[#This Row],[Purchase_Date]],"YYY")</f>
        <v>2024</v>
      </c>
      <c r="K1656" s="3">
        <v>340.04</v>
      </c>
      <c r="L1656" t="str">
        <f t="shared" si="116"/>
        <v>5% off</v>
      </c>
      <c r="N1656" t="str">
        <f t="shared" si="117"/>
        <v>Yes</v>
      </c>
      <c r="O1656" t="s">
        <v>34</v>
      </c>
      <c r="P1656" s="3">
        <f t="shared" si="118"/>
        <v>340.04</v>
      </c>
      <c r="Q1656" t="s">
        <v>47</v>
      </c>
      <c r="R1656">
        <v>4</v>
      </c>
      <c r="S1656" t="str">
        <f t="shared" si="119"/>
        <v>Good</v>
      </c>
    </row>
    <row r="1657" spans="1:19" x14ac:dyDescent="0.25">
      <c r="A1657" t="s">
        <v>2079</v>
      </c>
      <c r="B1657">
        <v>27</v>
      </c>
      <c r="C1657" t="s">
        <v>16</v>
      </c>
      <c r="D1657" t="s">
        <v>2435</v>
      </c>
      <c r="E1657" t="s">
        <v>37</v>
      </c>
      <c r="F1657" t="s">
        <v>38</v>
      </c>
      <c r="G1657" t="s">
        <v>558</v>
      </c>
      <c r="H1657" t="str">
        <f>TEXT(walmart[[#This Row],[Purchase_Date]],"DDD")</f>
        <v>Tue</v>
      </c>
      <c r="I1657" t="str">
        <f>TEXT(walmart[[#This Row],[Purchase_Date]],"MMM")</f>
        <v>Dec</v>
      </c>
      <c r="J1657" t="str">
        <f>TEXT(walmart[[#This Row],[Purchase_Date]],"YYY")</f>
        <v>2024</v>
      </c>
      <c r="K1657" s="3">
        <v>211.46</v>
      </c>
      <c r="L1657" t="str">
        <f t="shared" si="116"/>
        <v>5% off</v>
      </c>
      <c r="N1657" t="str">
        <f t="shared" si="117"/>
        <v>Yes</v>
      </c>
      <c r="O1657" t="s">
        <v>34</v>
      </c>
      <c r="P1657" s="3">
        <f t="shared" si="118"/>
        <v>211.46</v>
      </c>
      <c r="Q1657" t="s">
        <v>27</v>
      </c>
      <c r="R1657">
        <v>5</v>
      </c>
      <c r="S1657" t="str">
        <f t="shared" si="119"/>
        <v>Excellent</v>
      </c>
    </row>
    <row r="1658" spans="1:19" x14ac:dyDescent="0.25">
      <c r="A1658" t="s">
        <v>2080</v>
      </c>
      <c r="B1658">
        <v>51</v>
      </c>
      <c r="C1658" t="s">
        <v>16</v>
      </c>
      <c r="D1658" t="s">
        <v>2436</v>
      </c>
      <c r="E1658" t="s">
        <v>42</v>
      </c>
      <c r="F1658" t="s">
        <v>52</v>
      </c>
      <c r="G1658" t="s">
        <v>151</v>
      </c>
      <c r="H1658" t="str">
        <f>TEXT(walmart[[#This Row],[Purchase_Date]],"DDD")</f>
        <v>Mon</v>
      </c>
      <c r="I1658" t="str">
        <f>TEXT(walmart[[#This Row],[Purchase_Date]],"MMM")</f>
        <v>May</v>
      </c>
      <c r="J1658" t="str">
        <f>TEXT(walmart[[#This Row],[Purchase_Date]],"YYY")</f>
        <v>2024</v>
      </c>
      <c r="K1658" s="3">
        <v>988.77</v>
      </c>
      <c r="L1658" t="str">
        <f t="shared" si="116"/>
        <v>20% off</v>
      </c>
      <c r="N1658" t="str">
        <f t="shared" si="117"/>
        <v>Yes</v>
      </c>
      <c r="O1658" t="s">
        <v>21</v>
      </c>
      <c r="P1658" s="3">
        <f t="shared" si="118"/>
        <v>988.77</v>
      </c>
      <c r="Q1658" t="s">
        <v>35</v>
      </c>
      <c r="R1658">
        <v>4</v>
      </c>
      <c r="S1658" t="str">
        <f t="shared" si="119"/>
        <v>Good</v>
      </c>
    </row>
    <row r="1659" spans="1:19" x14ac:dyDescent="0.25">
      <c r="A1659" t="s">
        <v>2081</v>
      </c>
      <c r="B1659">
        <v>41</v>
      </c>
      <c r="C1659" t="s">
        <v>16</v>
      </c>
      <c r="D1659" t="s">
        <v>2437</v>
      </c>
      <c r="E1659" t="s">
        <v>37</v>
      </c>
      <c r="F1659" t="s">
        <v>117</v>
      </c>
      <c r="G1659" t="s">
        <v>371</v>
      </c>
      <c r="H1659" t="str">
        <f>TEXT(walmart[[#This Row],[Purchase_Date]],"DDD")</f>
        <v>Mon</v>
      </c>
      <c r="I1659" t="str">
        <f>TEXT(walmart[[#This Row],[Purchase_Date]],"MMM")</f>
        <v>Jul</v>
      </c>
      <c r="J1659" t="str">
        <f>TEXT(walmart[[#This Row],[Purchase_Date]],"YYY")</f>
        <v>2024</v>
      </c>
      <c r="K1659" s="3">
        <v>165.68</v>
      </c>
      <c r="L1659" t="str">
        <f t="shared" si="116"/>
        <v>5% off</v>
      </c>
      <c r="N1659" t="str">
        <f t="shared" si="117"/>
        <v>Yes</v>
      </c>
      <c r="O1659" t="s">
        <v>21</v>
      </c>
      <c r="P1659" s="3">
        <f t="shared" si="118"/>
        <v>165.68</v>
      </c>
      <c r="Q1659" t="s">
        <v>22</v>
      </c>
      <c r="R1659">
        <v>1</v>
      </c>
      <c r="S1659" t="str">
        <f t="shared" si="119"/>
        <v>Very Poor</v>
      </c>
    </row>
    <row r="1660" spans="1:19" x14ac:dyDescent="0.25">
      <c r="A1660" t="s">
        <v>2082</v>
      </c>
      <c r="B1660">
        <v>60</v>
      </c>
      <c r="C1660" t="s">
        <v>29</v>
      </c>
      <c r="D1660" t="s">
        <v>2438</v>
      </c>
      <c r="E1660" t="s">
        <v>18</v>
      </c>
      <c r="F1660" t="s">
        <v>59</v>
      </c>
      <c r="G1660" t="s">
        <v>859</v>
      </c>
      <c r="H1660" t="str">
        <f>TEXT(walmart[[#This Row],[Purchase_Date]],"DDD")</f>
        <v>Tue</v>
      </c>
      <c r="I1660" t="str">
        <f>TEXT(walmart[[#This Row],[Purchase_Date]],"MMM")</f>
        <v>Jun</v>
      </c>
      <c r="J1660" t="str">
        <f>TEXT(walmart[[#This Row],[Purchase_Date]],"YYY")</f>
        <v>2024</v>
      </c>
      <c r="K1660" s="3">
        <v>78.349999999999994</v>
      </c>
      <c r="L1660" t="str">
        <f t="shared" si="116"/>
        <v>0% off</v>
      </c>
      <c r="N1660" t="str">
        <f t="shared" si="117"/>
        <v>No</v>
      </c>
      <c r="O1660" t="s">
        <v>34</v>
      </c>
      <c r="P1660" s="3">
        <f t="shared" si="118"/>
        <v>78.349999999999994</v>
      </c>
      <c r="Q1660" t="s">
        <v>22</v>
      </c>
      <c r="R1660">
        <v>4</v>
      </c>
      <c r="S1660" t="str">
        <f t="shared" si="119"/>
        <v>Good</v>
      </c>
    </row>
    <row r="1661" spans="1:19" x14ac:dyDescent="0.25">
      <c r="A1661" t="s">
        <v>2083</v>
      </c>
      <c r="B1661">
        <v>34</v>
      </c>
      <c r="C1661" t="s">
        <v>29</v>
      </c>
      <c r="D1661" t="s">
        <v>2439</v>
      </c>
      <c r="E1661" t="s">
        <v>31</v>
      </c>
      <c r="F1661" t="s">
        <v>169</v>
      </c>
      <c r="G1661" t="s">
        <v>75</v>
      </c>
      <c r="H1661" t="str">
        <f>TEXT(walmart[[#This Row],[Purchase_Date]],"DDD")</f>
        <v>Mon</v>
      </c>
      <c r="I1661" t="str">
        <f>TEXT(walmart[[#This Row],[Purchase_Date]],"MMM")</f>
        <v>Feb</v>
      </c>
      <c r="J1661" t="str">
        <f>TEXT(walmart[[#This Row],[Purchase_Date]],"YYY")</f>
        <v>2025</v>
      </c>
      <c r="K1661" s="3">
        <v>52.44</v>
      </c>
      <c r="L1661" t="str">
        <f t="shared" si="116"/>
        <v>0% off</v>
      </c>
      <c r="N1661" t="str">
        <f t="shared" si="117"/>
        <v>No</v>
      </c>
      <c r="O1661" t="s">
        <v>21</v>
      </c>
      <c r="P1661" s="3">
        <f t="shared" si="118"/>
        <v>52.44</v>
      </c>
      <c r="Q1661" t="s">
        <v>47</v>
      </c>
      <c r="R1661">
        <v>4</v>
      </c>
      <c r="S1661" t="str">
        <f t="shared" si="119"/>
        <v>Good</v>
      </c>
    </row>
    <row r="1662" spans="1:19" x14ac:dyDescent="0.25">
      <c r="A1662" t="s">
        <v>2084</v>
      </c>
      <c r="B1662">
        <v>35</v>
      </c>
      <c r="C1662" t="s">
        <v>29</v>
      </c>
      <c r="D1662" t="s">
        <v>2440</v>
      </c>
      <c r="E1662" t="s">
        <v>73</v>
      </c>
      <c r="F1662" t="s">
        <v>138</v>
      </c>
      <c r="G1662" t="s">
        <v>681</v>
      </c>
      <c r="H1662" t="str">
        <f>TEXT(walmart[[#This Row],[Purchase_Date]],"DDD")</f>
        <v>Sun</v>
      </c>
      <c r="I1662" t="str">
        <f>TEXT(walmart[[#This Row],[Purchase_Date]],"MMM")</f>
        <v>Jun</v>
      </c>
      <c r="J1662" t="str">
        <f>TEXT(walmart[[#This Row],[Purchase_Date]],"YYY")</f>
        <v>2024</v>
      </c>
      <c r="K1662" s="3">
        <v>461.81</v>
      </c>
      <c r="L1662" t="str">
        <f t="shared" si="116"/>
        <v>5% off</v>
      </c>
      <c r="N1662" t="str">
        <f t="shared" si="117"/>
        <v>Yes</v>
      </c>
      <c r="O1662" t="s">
        <v>21</v>
      </c>
      <c r="P1662" s="3">
        <f t="shared" si="118"/>
        <v>461.81</v>
      </c>
      <c r="Q1662" t="s">
        <v>27</v>
      </c>
      <c r="R1662">
        <v>1</v>
      </c>
      <c r="S1662" t="str">
        <f t="shared" si="119"/>
        <v>Very Poor</v>
      </c>
    </row>
    <row r="1663" spans="1:19" x14ac:dyDescent="0.25">
      <c r="A1663" t="s">
        <v>2085</v>
      </c>
      <c r="B1663">
        <v>38</v>
      </c>
      <c r="C1663" t="s">
        <v>16</v>
      </c>
      <c r="D1663" t="s">
        <v>2441</v>
      </c>
      <c r="E1663" t="s">
        <v>55</v>
      </c>
      <c r="F1663" t="s">
        <v>100</v>
      </c>
      <c r="G1663" t="s">
        <v>319</v>
      </c>
      <c r="H1663" t="str">
        <f>TEXT(walmart[[#This Row],[Purchase_Date]],"DDD")</f>
        <v>Tue</v>
      </c>
      <c r="I1663" t="str">
        <f>TEXT(walmart[[#This Row],[Purchase_Date]],"MMM")</f>
        <v>May</v>
      </c>
      <c r="J1663" t="str">
        <f>TEXT(walmart[[#This Row],[Purchase_Date]],"YYY")</f>
        <v>2024</v>
      </c>
      <c r="K1663" s="3">
        <v>592.26</v>
      </c>
      <c r="L1663" t="str">
        <f t="shared" si="116"/>
        <v>10% off</v>
      </c>
      <c r="N1663" t="str">
        <f t="shared" si="117"/>
        <v>Yes</v>
      </c>
      <c r="O1663" t="s">
        <v>21</v>
      </c>
      <c r="P1663" s="3">
        <f t="shared" si="118"/>
        <v>592.26</v>
      </c>
      <c r="Q1663" t="s">
        <v>22</v>
      </c>
      <c r="R1663">
        <v>3</v>
      </c>
      <c r="S1663" t="str">
        <f t="shared" si="119"/>
        <v>Average</v>
      </c>
    </row>
    <row r="1664" spans="1:19" x14ac:dyDescent="0.25">
      <c r="A1664" t="s">
        <v>2086</v>
      </c>
      <c r="B1664">
        <v>54</v>
      </c>
      <c r="C1664" t="s">
        <v>16</v>
      </c>
      <c r="D1664" t="s">
        <v>17</v>
      </c>
      <c r="E1664" t="s">
        <v>18</v>
      </c>
      <c r="F1664" t="s">
        <v>142</v>
      </c>
      <c r="G1664" t="s">
        <v>461</v>
      </c>
      <c r="H1664" t="str">
        <f>TEXT(walmart[[#This Row],[Purchase_Date]],"DDD")</f>
        <v>Thu</v>
      </c>
      <c r="I1664" t="str">
        <f>TEXT(walmart[[#This Row],[Purchase_Date]],"MMM")</f>
        <v>Mar</v>
      </c>
      <c r="J1664" t="str">
        <f>TEXT(walmart[[#This Row],[Purchase_Date]],"YYY")</f>
        <v>2025</v>
      </c>
      <c r="K1664" s="3">
        <v>485.26</v>
      </c>
      <c r="L1664" t="str">
        <f t="shared" si="116"/>
        <v>5% off</v>
      </c>
      <c r="N1664" t="str">
        <f t="shared" si="117"/>
        <v>Yes</v>
      </c>
      <c r="O1664" t="s">
        <v>34</v>
      </c>
      <c r="P1664" s="3">
        <f t="shared" si="118"/>
        <v>485.26</v>
      </c>
      <c r="Q1664" t="s">
        <v>35</v>
      </c>
      <c r="R1664">
        <v>5</v>
      </c>
      <c r="S1664" t="str">
        <f t="shared" si="119"/>
        <v>Excellent</v>
      </c>
    </row>
    <row r="1665" spans="1:19" x14ac:dyDescent="0.25">
      <c r="A1665" t="s">
        <v>2087</v>
      </c>
      <c r="B1665">
        <v>44</v>
      </c>
      <c r="C1665" t="s">
        <v>16</v>
      </c>
      <c r="D1665" t="s">
        <v>2442</v>
      </c>
      <c r="E1665" t="s">
        <v>31</v>
      </c>
      <c r="F1665" t="s">
        <v>169</v>
      </c>
      <c r="G1665" t="s">
        <v>447</v>
      </c>
      <c r="H1665" t="str">
        <f>TEXT(walmart[[#This Row],[Purchase_Date]],"DDD")</f>
        <v>Sat</v>
      </c>
      <c r="I1665" t="str">
        <f>TEXT(walmart[[#This Row],[Purchase_Date]],"MMM")</f>
        <v>Nov</v>
      </c>
      <c r="J1665" t="str">
        <f>TEXT(walmart[[#This Row],[Purchase_Date]],"YYY")</f>
        <v>2024</v>
      </c>
      <c r="K1665" s="3">
        <v>52.44</v>
      </c>
      <c r="L1665" t="str">
        <f t="shared" si="116"/>
        <v>0% off</v>
      </c>
      <c r="N1665" t="str">
        <f t="shared" si="117"/>
        <v>No</v>
      </c>
      <c r="O1665" t="s">
        <v>21</v>
      </c>
      <c r="P1665" s="3">
        <f t="shared" si="118"/>
        <v>52.44</v>
      </c>
      <c r="Q1665" t="s">
        <v>27</v>
      </c>
      <c r="R1665">
        <v>1</v>
      </c>
      <c r="S1665" t="str">
        <f t="shared" si="119"/>
        <v>Very Poor</v>
      </c>
    </row>
    <row r="1666" spans="1:19" x14ac:dyDescent="0.25">
      <c r="A1666" t="s">
        <v>2088</v>
      </c>
      <c r="B1666">
        <v>40</v>
      </c>
      <c r="C1666" t="s">
        <v>29</v>
      </c>
      <c r="D1666" t="s">
        <v>2443</v>
      </c>
      <c r="E1666" t="s">
        <v>42</v>
      </c>
      <c r="F1666" t="s">
        <v>52</v>
      </c>
      <c r="G1666" t="s">
        <v>617</v>
      </c>
      <c r="H1666" t="str">
        <f>TEXT(walmart[[#This Row],[Purchase_Date]],"DDD")</f>
        <v>Mon</v>
      </c>
      <c r="I1666" t="str">
        <f>TEXT(walmart[[#This Row],[Purchase_Date]],"MMM")</f>
        <v>Jul</v>
      </c>
      <c r="J1666" t="str">
        <f>TEXT(walmart[[#This Row],[Purchase_Date]],"YYY")</f>
        <v>2024</v>
      </c>
      <c r="K1666" s="3">
        <v>988.77</v>
      </c>
      <c r="L1666" t="str">
        <f t="shared" si="116"/>
        <v>20% off</v>
      </c>
      <c r="N1666" t="str">
        <f t="shared" si="117"/>
        <v>Yes</v>
      </c>
      <c r="O1666" t="s">
        <v>21</v>
      </c>
      <c r="P1666" s="3">
        <f t="shared" si="118"/>
        <v>988.77</v>
      </c>
      <c r="Q1666" t="s">
        <v>35</v>
      </c>
      <c r="R1666">
        <v>3</v>
      </c>
      <c r="S1666" t="str">
        <f t="shared" si="119"/>
        <v>Average</v>
      </c>
    </row>
    <row r="1667" spans="1:19" x14ac:dyDescent="0.25">
      <c r="A1667" t="s">
        <v>2089</v>
      </c>
      <c r="B1667">
        <v>54</v>
      </c>
      <c r="C1667" t="s">
        <v>29</v>
      </c>
      <c r="D1667" t="s">
        <v>2444</v>
      </c>
      <c r="E1667" t="s">
        <v>31</v>
      </c>
      <c r="F1667" t="s">
        <v>169</v>
      </c>
      <c r="G1667" t="s">
        <v>694</v>
      </c>
      <c r="H1667" t="str">
        <f>TEXT(walmart[[#This Row],[Purchase_Date]],"DDD")</f>
        <v>Thu</v>
      </c>
      <c r="I1667" t="str">
        <f>TEXT(walmart[[#This Row],[Purchase_Date]],"MMM")</f>
        <v>Dec</v>
      </c>
      <c r="J1667" t="str">
        <f>TEXT(walmart[[#This Row],[Purchase_Date]],"YYY")</f>
        <v>2024</v>
      </c>
      <c r="K1667" s="3">
        <v>52.44</v>
      </c>
      <c r="L1667" t="str">
        <f t="shared" ref="L1667:L1730" si="120">IF(K1667&lt;150,"0% off",IF(K1667&lt;500,"5% off",IF(K1667&lt;700,"10% off",IF(K1667&lt;900,"15% off","20% off"))))</f>
        <v>0% off</v>
      </c>
      <c r="N1667" t="str">
        <f t="shared" ref="N1667:N1730" si="121">IF(L1667="0% off", "No", "Yes")</f>
        <v>No</v>
      </c>
      <c r="O1667" t="s">
        <v>34</v>
      </c>
      <c r="P1667" s="3">
        <f t="shared" ref="P1667:P1730" si="122">K1667-M1667</f>
        <v>52.44</v>
      </c>
      <c r="Q1667" t="s">
        <v>22</v>
      </c>
      <c r="R1667">
        <v>3</v>
      </c>
      <c r="S1667" t="str">
        <f t="shared" ref="S1667:S1730" si="123">IF(R1667=5, "Excellent", IF(R1667=4, "Good", IF(R1667=3, "Average", IF(R1667=2, "Poor", IF(R1667=1, "Very Poor", "Invalid Rating")))))</f>
        <v>Average</v>
      </c>
    </row>
    <row r="1668" spans="1:19" x14ac:dyDescent="0.25">
      <c r="A1668" t="s">
        <v>2090</v>
      </c>
      <c r="B1668">
        <v>23</v>
      </c>
      <c r="C1668" t="s">
        <v>16</v>
      </c>
      <c r="D1668" t="s">
        <v>2445</v>
      </c>
      <c r="E1668" t="s">
        <v>42</v>
      </c>
      <c r="F1668" t="s">
        <v>52</v>
      </c>
      <c r="G1668" t="s">
        <v>814</v>
      </c>
      <c r="H1668" t="str">
        <f>TEXT(walmart[[#This Row],[Purchase_Date]],"DDD")</f>
        <v>Thu</v>
      </c>
      <c r="I1668" t="str">
        <f>TEXT(walmart[[#This Row],[Purchase_Date]],"MMM")</f>
        <v>Apr</v>
      </c>
      <c r="J1668" t="str">
        <f>TEXT(walmart[[#This Row],[Purchase_Date]],"YYY")</f>
        <v>2024</v>
      </c>
      <c r="K1668" s="3">
        <v>988.77</v>
      </c>
      <c r="L1668" t="str">
        <f t="shared" si="120"/>
        <v>20% off</v>
      </c>
      <c r="N1668" t="str">
        <f t="shared" si="121"/>
        <v>Yes</v>
      </c>
      <c r="O1668" t="s">
        <v>21</v>
      </c>
      <c r="P1668" s="3">
        <f t="shared" si="122"/>
        <v>988.77</v>
      </c>
      <c r="Q1668" t="s">
        <v>35</v>
      </c>
      <c r="R1668">
        <v>5</v>
      </c>
      <c r="S1668" t="str">
        <f t="shared" si="123"/>
        <v>Excellent</v>
      </c>
    </row>
    <row r="1669" spans="1:19" x14ac:dyDescent="0.25">
      <c r="A1669" t="s">
        <v>2091</v>
      </c>
      <c r="B1669">
        <v>55</v>
      </c>
      <c r="C1669" t="s">
        <v>16</v>
      </c>
      <c r="D1669" t="s">
        <v>2446</v>
      </c>
      <c r="E1669" t="s">
        <v>31</v>
      </c>
      <c r="F1669" t="s">
        <v>112</v>
      </c>
      <c r="G1669" t="s">
        <v>888</v>
      </c>
      <c r="H1669" t="str">
        <f>TEXT(walmart[[#This Row],[Purchase_Date]],"DDD")</f>
        <v>Tue</v>
      </c>
      <c r="I1669" t="str">
        <f>TEXT(walmart[[#This Row],[Purchase_Date]],"MMM")</f>
        <v>Sep</v>
      </c>
      <c r="J1669" t="str">
        <f>TEXT(walmart[[#This Row],[Purchase_Date]],"YYY")</f>
        <v>2024</v>
      </c>
      <c r="K1669" s="3">
        <v>492.1</v>
      </c>
      <c r="L1669" t="str">
        <f t="shared" si="120"/>
        <v>5% off</v>
      </c>
      <c r="N1669" t="str">
        <f t="shared" si="121"/>
        <v>Yes</v>
      </c>
      <c r="O1669" t="s">
        <v>21</v>
      </c>
      <c r="P1669" s="3">
        <f t="shared" si="122"/>
        <v>492.1</v>
      </c>
      <c r="Q1669" t="s">
        <v>27</v>
      </c>
      <c r="R1669">
        <v>1</v>
      </c>
      <c r="S1669" t="str">
        <f t="shared" si="123"/>
        <v>Very Poor</v>
      </c>
    </row>
    <row r="1670" spans="1:19" x14ac:dyDescent="0.25">
      <c r="A1670" t="s">
        <v>2092</v>
      </c>
      <c r="B1670">
        <v>50</v>
      </c>
      <c r="C1670" t="s">
        <v>16</v>
      </c>
      <c r="D1670" t="s">
        <v>2447</v>
      </c>
      <c r="E1670" t="s">
        <v>18</v>
      </c>
      <c r="F1670" t="s">
        <v>142</v>
      </c>
      <c r="G1670" t="s">
        <v>590</v>
      </c>
      <c r="H1670" t="str">
        <f>TEXT(walmart[[#This Row],[Purchase_Date]],"DDD")</f>
        <v>Sun</v>
      </c>
      <c r="I1670" t="str">
        <f>TEXT(walmart[[#This Row],[Purchase_Date]],"MMM")</f>
        <v>Aug</v>
      </c>
      <c r="J1670" t="str">
        <f>TEXT(walmart[[#This Row],[Purchase_Date]],"YYY")</f>
        <v>2024</v>
      </c>
      <c r="K1670" s="3">
        <v>485.26</v>
      </c>
      <c r="L1670" t="str">
        <f t="shared" si="120"/>
        <v>5% off</v>
      </c>
      <c r="N1670" t="str">
        <f t="shared" si="121"/>
        <v>Yes</v>
      </c>
      <c r="O1670" t="s">
        <v>34</v>
      </c>
      <c r="P1670" s="3">
        <f t="shared" si="122"/>
        <v>485.26</v>
      </c>
      <c r="Q1670" t="s">
        <v>27</v>
      </c>
      <c r="R1670">
        <v>3</v>
      </c>
      <c r="S1670" t="str">
        <f t="shared" si="123"/>
        <v>Average</v>
      </c>
    </row>
    <row r="1671" spans="1:19" x14ac:dyDescent="0.25">
      <c r="A1671" t="s">
        <v>2093</v>
      </c>
      <c r="B1671">
        <v>31</v>
      </c>
      <c r="C1671" t="s">
        <v>29</v>
      </c>
      <c r="D1671" t="s">
        <v>2448</v>
      </c>
      <c r="E1671" t="s">
        <v>37</v>
      </c>
      <c r="F1671" t="s">
        <v>97</v>
      </c>
      <c r="G1671" t="s">
        <v>83</v>
      </c>
      <c r="H1671" t="str">
        <f>TEXT(walmart[[#This Row],[Purchase_Date]],"DDD")</f>
        <v>Sun</v>
      </c>
      <c r="I1671" t="str">
        <f>TEXT(walmart[[#This Row],[Purchase_Date]],"MMM")</f>
        <v>Apr</v>
      </c>
      <c r="J1671" t="str">
        <f>TEXT(walmart[[#This Row],[Purchase_Date]],"YYY")</f>
        <v>2024</v>
      </c>
      <c r="K1671" s="3">
        <v>855.21</v>
      </c>
      <c r="L1671" t="str">
        <f t="shared" si="120"/>
        <v>15% off</v>
      </c>
      <c r="N1671" t="str">
        <f t="shared" si="121"/>
        <v>Yes</v>
      </c>
      <c r="O1671" t="s">
        <v>21</v>
      </c>
      <c r="P1671" s="3">
        <f t="shared" si="122"/>
        <v>855.21</v>
      </c>
      <c r="Q1671" t="s">
        <v>47</v>
      </c>
      <c r="R1671">
        <v>4</v>
      </c>
      <c r="S1671" t="str">
        <f t="shared" si="123"/>
        <v>Good</v>
      </c>
    </row>
    <row r="1672" spans="1:19" x14ac:dyDescent="0.25">
      <c r="A1672" t="s">
        <v>2094</v>
      </c>
      <c r="B1672">
        <v>21</v>
      </c>
      <c r="C1672" t="s">
        <v>16</v>
      </c>
      <c r="D1672" t="s">
        <v>2449</v>
      </c>
      <c r="E1672" t="s">
        <v>18</v>
      </c>
      <c r="F1672" t="s">
        <v>77</v>
      </c>
      <c r="G1672" t="s">
        <v>566</v>
      </c>
      <c r="H1672" t="str">
        <f>TEXT(walmart[[#This Row],[Purchase_Date]],"DDD")</f>
        <v>Wed</v>
      </c>
      <c r="I1672" t="str">
        <f>TEXT(walmart[[#This Row],[Purchase_Date]],"MMM")</f>
        <v>Oct</v>
      </c>
      <c r="J1672" t="str">
        <f>TEXT(walmart[[#This Row],[Purchase_Date]],"YYY")</f>
        <v>2024</v>
      </c>
      <c r="K1672" s="3">
        <v>116.78</v>
      </c>
      <c r="L1672" t="str">
        <f t="shared" si="120"/>
        <v>0% off</v>
      </c>
      <c r="N1672" t="str">
        <f t="shared" si="121"/>
        <v>No</v>
      </c>
      <c r="O1672" t="s">
        <v>34</v>
      </c>
      <c r="P1672" s="3">
        <f t="shared" si="122"/>
        <v>116.78</v>
      </c>
      <c r="Q1672" t="s">
        <v>22</v>
      </c>
      <c r="R1672">
        <v>3</v>
      </c>
      <c r="S1672" t="str">
        <f t="shared" si="123"/>
        <v>Average</v>
      </c>
    </row>
    <row r="1673" spans="1:19" x14ac:dyDescent="0.25">
      <c r="A1673" t="s">
        <v>2095</v>
      </c>
      <c r="B1673">
        <v>63</v>
      </c>
      <c r="C1673" t="s">
        <v>29</v>
      </c>
      <c r="D1673" t="s">
        <v>2450</v>
      </c>
      <c r="E1673" t="s">
        <v>55</v>
      </c>
      <c r="F1673" t="s">
        <v>67</v>
      </c>
      <c r="G1673" t="s">
        <v>536</v>
      </c>
      <c r="H1673" t="str">
        <f>TEXT(walmart[[#This Row],[Purchase_Date]],"DDD")</f>
        <v>Tue</v>
      </c>
      <c r="I1673" t="str">
        <f>TEXT(walmart[[#This Row],[Purchase_Date]],"MMM")</f>
        <v>Jul</v>
      </c>
      <c r="J1673" t="str">
        <f>TEXT(walmart[[#This Row],[Purchase_Date]],"YYY")</f>
        <v>2024</v>
      </c>
      <c r="K1673" s="3">
        <v>452.97</v>
      </c>
      <c r="L1673" t="str">
        <f t="shared" si="120"/>
        <v>5% off</v>
      </c>
      <c r="N1673" t="str">
        <f t="shared" si="121"/>
        <v>Yes</v>
      </c>
      <c r="O1673" t="s">
        <v>21</v>
      </c>
      <c r="P1673" s="3">
        <f t="shared" si="122"/>
        <v>452.97</v>
      </c>
      <c r="Q1673" t="s">
        <v>35</v>
      </c>
      <c r="R1673">
        <v>5</v>
      </c>
      <c r="S1673" t="str">
        <f t="shared" si="123"/>
        <v>Excellent</v>
      </c>
    </row>
    <row r="1674" spans="1:19" x14ac:dyDescent="0.25">
      <c r="A1674" t="s">
        <v>2096</v>
      </c>
      <c r="B1674">
        <v>24</v>
      </c>
      <c r="C1674" t="s">
        <v>29</v>
      </c>
      <c r="D1674" t="s">
        <v>2451</v>
      </c>
      <c r="E1674" t="s">
        <v>73</v>
      </c>
      <c r="F1674" t="s">
        <v>138</v>
      </c>
      <c r="G1674" t="s">
        <v>505</v>
      </c>
      <c r="H1674" t="str">
        <f>TEXT(walmart[[#This Row],[Purchase_Date]],"DDD")</f>
        <v>Tue</v>
      </c>
      <c r="I1674" t="str">
        <f>TEXT(walmart[[#This Row],[Purchase_Date]],"MMM")</f>
        <v>Oct</v>
      </c>
      <c r="J1674" t="str">
        <f>TEXT(walmart[[#This Row],[Purchase_Date]],"YYY")</f>
        <v>2024</v>
      </c>
      <c r="K1674" s="3">
        <v>461.81</v>
      </c>
      <c r="L1674" t="str">
        <f t="shared" si="120"/>
        <v>5% off</v>
      </c>
      <c r="N1674" t="str">
        <f t="shared" si="121"/>
        <v>Yes</v>
      </c>
      <c r="O1674" t="s">
        <v>34</v>
      </c>
      <c r="P1674" s="3">
        <f t="shared" si="122"/>
        <v>461.81</v>
      </c>
      <c r="Q1674" t="s">
        <v>35</v>
      </c>
      <c r="R1674">
        <v>5</v>
      </c>
      <c r="S1674" t="str">
        <f t="shared" si="123"/>
        <v>Excellent</v>
      </c>
    </row>
    <row r="1675" spans="1:19" x14ac:dyDescent="0.25">
      <c r="A1675" t="s">
        <v>2097</v>
      </c>
      <c r="B1675">
        <v>47</v>
      </c>
      <c r="C1675" t="s">
        <v>16</v>
      </c>
      <c r="D1675" t="s">
        <v>2452</v>
      </c>
      <c r="E1675" t="s">
        <v>24</v>
      </c>
      <c r="F1675" t="s">
        <v>162</v>
      </c>
      <c r="G1675" t="s">
        <v>1807</v>
      </c>
      <c r="H1675" t="str">
        <f>TEXT(walmart[[#This Row],[Purchase_Date]],"DDD")</f>
        <v>Mon</v>
      </c>
      <c r="I1675" t="str">
        <f>TEXT(walmart[[#This Row],[Purchase_Date]],"MMM")</f>
        <v>Mar</v>
      </c>
      <c r="J1675" t="str">
        <f>TEXT(walmart[[#This Row],[Purchase_Date]],"YYY")</f>
        <v>2025</v>
      </c>
      <c r="K1675" s="3">
        <v>362.55</v>
      </c>
      <c r="L1675" t="str">
        <f t="shared" si="120"/>
        <v>5% off</v>
      </c>
      <c r="N1675" t="str">
        <f t="shared" si="121"/>
        <v>Yes</v>
      </c>
      <c r="O1675" t="s">
        <v>21</v>
      </c>
      <c r="P1675" s="3">
        <f t="shared" si="122"/>
        <v>362.55</v>
      </c>
      <c r="Q1675" t="s">
        <v>27</v>
      </c>
      <c r="R1675">
        <v>3</v>
      </c>
      <c r="S1675" t="str">
        <f t="shared" si="123"/>
        <v>Average</v>
      </c>
    </row>
    <row r="1676" spans="1:19" x14ac:dyDescent="0.25">
      <c r="A1676" t="s">
        <v>2098</v>
      </c>
      <c r="B1676">
        <v>41</v>
      </c>
      <c r="C1676" t="s">
        <v>29</v>
      </c>
      <c r="D1676" t="s">
        <v>2453</v>
      </c>
      <c r="E1676" t="s">
        <v>31</v>
      </c>
      <c r="F1676" t="s">
        <v>300</v>
      </c>
      <c r="G1676" t="s">
        <v>149</v>
      </c>
      <c r="H1676" t="str">
        <f>TEXT(walmart[[#This Row],[Purchase_Date]],"DDD")</f>
        <v>Thu</v>
      </c>
      <c r="I1676" t="str">
        <f>TEXT(walmart[[#This Row],[Purchase_Date]],"MMM")</f>
        <v>Oct</v>
      </c>
      <c r="J1676" t="str">
        <f>TEXT(walmart[[#This Row],[Purchase_Date]],"YYY")</f>
        <v>2024</v>
      </c>
      <c r="K1676" s="3">
        <v>340.04</v>
      </c>
      <c r="L1676" t="str">
        <f t="shared" si="120"/>
        <v>5% off</v>
      </c>
      <c r="N1676" t="str">
        <f t="shared" si="121"/>
        <v>Yes</v>
      </c>
      <c r="O1676" t="s">
        <v>34</v>
      </c>
      <c r="P1676" s="3">
        <f t="shared" si="122"/>
        <v>340.04</v>
      </c>
      <c r="Q1676" t="s">
        <v>27</v>
      </c>
      <c r="R1676">
        <v>3</v>
      </c>
      <c r="S1676" t="str">
        <f t="shared" si="123"/>
        <v>Average</v>
      </c>
    </row>
    <row r="1677" spans="1:19" x14ac:dyDescent="0.25">
      <c r="A1677" t="s">
        <v>2099</v>
      </c>
      <c r="B1677">
        <v>54</v>
      </c>
      <c r="C1677" t="s">
        <v>16</v>
      </c>
      <c r="D1677" t="s">
        <v>2454</v>
      </c>
      <c r="E1677" t="s">
        <v>24</v>
      </c>
      <c r="F1677" t="s">
        <v>25</v>
      </c>
      <c r="G1677" t="s">
        <v>805</v>
      </c>
      <c r="H1677" t="str">
        <f>TEXT(walmart[[#This Row],[Purchase_Date]],"DDD")</f>
        <v>Thu</v>
      </c>
      <c r="I1677" t="str">
        <f>TEXT(walmart[[#This Row],[Purchase_Date]],"MMM")</f>
        <v>Apr</v>
      </c>
      <c r="J1677" t="str">
        <f>TEXT(walmart[[#This Row],[Purchase_Date]],"YYY")</f>
        <v>2024</v>
      </c>
      <c r="K1677" s="3">
        <v>67.040000000000006</v>
      </c>
      <c r="L1677" t="str">
        <f t="shared" si="120"/>
        <v>0% off</v>
      </c>
      <c r="N1677" t="str">
        <f t="shared" si="121"/>
        <v>No</v>
      </c>
      <c r="O1677" t="s">
        <v>21</v>
      </c>
      <c r="P1677" s="3">
        <f t="shared" si="122"/>
        <v>67.040000000000006</v>
      </c>
      <c r="Q1677" t="s">
        <v>27</v>
      </c>
      <c r="R1677">
        <v>1</v>
      </c>
      <c r="S1677" t="str">
        <f t="shared" si="123"/>
        <v>Very Poor</v>
      </c>
    </row>
    <row r="1678" spans="1:19" x14ac:dyDescent="0.25">
      <c r="A1678" t="s">
        <v>2100</v>
      </c>
      <c r="B1678">
        <v>50</v>
      </c>
      <c r="C1678" t="s">
        <v>29</v>
      </c>
      <c r="D1678" t="s">
        <v>2455</v>
      </c>
      <c r="E1678" t="s">
        <v>73</v>
      </c>
      <c r="F1678" t="s">
        <v>138</v>
      </c>
      <c r="G1678" t="s">
        <v>1126</v>
      </c>
      <c r="H1678" t="str">
        <f>TEXT(walmart[[#This Row],[Purchase_Date]],"DDD")</f>
        <v>Wed</v>
      </c>
      <c r="I1678" t="str">
        <f>TEXT(walmart[[#This Row],[Purchase_Date]],"MMM")</f>
        <v>Dec</v>
      </c>
      <c r="J1678" t="str">
        <f>TEXT(walmart[[#This Row],[Purchase_Date]],"YYY")</f>
        <v>2024</v>
      </c>
      <c r="K1678" s="3">
        <v>461.81</v>
      </c>
      <c r="L1678" t="str">
        <f t="shared" si="120"/>
        <v>5% off</v>
      </c>
      <c r="N1678" t="str">
        <f t="shared" si="121"/>
        <v>Yes</v>
      </c>
      <c r="O1678" t="s">
        <v>21</v>
      </c>
      <c r="P1678" s="3">
        <f t="shared" si="122"/>
        <v>461.81</v>
      </c>
      <c r="Q1678" t="s">
        <v>47</v>
      </c>
      <c r="R1678">
        <v>3</v>
      </c>
      <c r="S1678" t="str">
        <f t="shared" si="123"/>
        <v>Average</v>
      </c>
    </row>
    <row r="1679" spans="1:19" x14ac:dyDescent="0.25">
      <c r="A1679" t="s">
        <v>2101</v>
      </c>
      <c r="B1679">
        <v>28</v>
      </c>
      <c r="C1679" t="s">
        <v>29</v>
      </c>
      <c r="D1679" t="s">
        <v>2456</v>
      </c>
      <c r="E1679" t="s">
        <v>55</v>
      </c>
      <c r="F1679" t="s">
        <v>100</v>
      </c>
      <c r="G1679" t="s">
        <v>1126</v>
      </c>
      <c r="H1679" t="str">
        <f>TEXT(walmart[[#This Row],[Purchase_Date]],"DDD")</f>
        <v>Wed</v>
      </c>
      <c r="I1679" t="str">
        <f>TEXT(walmart[[#This Row],[Purchase_Date]],"MMM")</f>
        <v>Dec</v>
      </c>
      <c r="J1679" t="str">
        <f>TEXT(walmart[[#This Row],[Purchase_Date]],"YYY")</f>
        <v>2024</v>
      </c>
      <c r="K1679" s="3">
        <v>592.26</v>
      </c>
      <c r="L1679" t="str">
        <f t="shared" si="120"/>
        <v>10% off</v>
      </c>
      <c r="N1679" t="str">
        <f t="shared" si="121"/>
        <v>Yes</v>
      </c>
      <c r="O1679" t="s">
        <v>34</v>
      </c>
      <c r="P1679" s="3">
        <f t="shared" si="122"/>
        <v>592.26</v>
      </c>
      <c r="Q1679" t="s">
        <v>47</v>
      </c>
      <c r="R1679">
        <v>3</v>
      </c>
      <c r="S1679" t="str">
        <f t="shared" si="123"/>
        <v>Average</v>
      </c>
    </row>
    <row r="1680" spans="1:19" x14ac:dyDescent="0.25">
      <c r="A1680" t="s">
        <v>2102</v>
      </c>
      <c r="B1680">
        <v>24</v>
      </c>
      <c r="C1680" t="s">
        <v>16</v>
      </c>
      <c r="D1680" t="s">
        <v>2457</v>
      </c>
      <c r="E1680" t="s">
        <v>37</v>
      </c>
      <c r="F1680" t="s">
        <v>117</v>
      </c>
      <c r="G1680" t="s">
        <v>149</v>
      </c>
      <c r="H1680" t="str">
        <f>TEXT(walmart[[#This Row],[Purchase_Date]],"DDD")</f>
        <v>Thu</v>
      </c>
      <c r="I1680" t="str">
        <f>TEXT(walmart[[#This Row],[Purchase_Date]],"MMM")</f>
        <v>Oct</v>
      </c>
      <c r="J1680" t="str">
        <f>TEXT(walmart[[#This Row],[Purchase_Date]],"YYY")</f>
        <v>2024</v>
      </c>
      <c r="K1680" s="3">
        <v>165.68</v>
      </c>
      <c r="L1680" t="str">
        <f t="shared" si="120"/>
        <v>5% off</v>
      </c>
      <c r="N1680" t="str">
        <f t="shared" si="121"/>
        <v>Yes</v>
      </c>
      <c r="O1680" t="s">
        <v>34</v>
      </c>
      <c r="P1680" s="3">
        <f t="shared" si="122"/>
        <v>165.68</v>
      </c>
      <c r="Q1680" t="s">
        <v>35</v>
      </c>
      <c r="R1680">
        <v>5</v>
      </c>
      <c r="S1680" t="str">
        <f t="shared" si="123"/>
        <v>Excellent</v>
      </c>
    </row>
    <row r="1681" spans="1:19" x14ac:dyDescent="0.25">
      <c r="A1681" t="s">
        <v>2103</v>
      </c>
      <c r="B1681">
        <v>18</v>
      </c>
      <c r="C1681" t="s">
        <v>16</v>
      </c>
      <c r="D1681" t="s">
        <v>2458</v>
      </c>
      <c r="E1681" t="s">
        <v>55</v>
      </c>
      <c r="F1681" t="s">
        <v>100</v>
      </c>
      <c r="G1681" t="s">
        <v>221</v>
      </c>
      <c r="H1681" t="str">
        <f>TEXT(walmart[[#This Row],[Purchase_Date]],"DDD")</f>
        <v>Fri</v>
      </c>
      <c r="I1681" t="str">
        <f>TEXT(walmart[[#This Row],[Purchase_Date]],"MMM")</f>
        <v>Dec</v>
      </c>
      <c r="J1681" t="str">
        <f>TEXT(walmart[[#This Row],[Purchase_Date]],"YYY")</f>
        <v>2024</v>
      </c>
      <c r="K1681" s="3">
        <v>592.26</v>
      </c>
      <c r="L1681" t="str">
        <f t="shared" si="120"/>
        <v>10% off</v>
      </c>
      <c r="N1681" t="str">
        <f t="shared" si="121"/>
        <v>Yes</v>
      </c>
      <c r="O1681" t="s">
        <v>21</v>
      </c>
      <c r="P1681" s="3">
        <f t="shared" si="122"/>
        <v>592.26</v>
      </c>
      <c r="Q1681" t="s">
        <v>47</v>
      </c>
      <c r="R1681">
        <v>1</v>
      </c>
      <c r="S1681" t="str">
        <f t="shared" si="123"/>
        <v>Very Poor</v>
      </c>
    </row>
    <row r="1682" spans="1:19" x14ac:dyDescent="0.25">
      <c r="A1682" t="s">
        <v>2104</v>
      </c>
      <c r="B1682">
        <v>59</v>
      </c>
      <c r="C1682" t="s">
        <v>29</v>
      </c>
      <c r="D1682" t="s">
        <v>2459</v>
      </c>
      <c r="E1682" t="s">
        <v>42</v>
      </c>
      <c r="F1682" t="s">
        <v>43</v>
      </c>
      <c r="G1682" t="s">
        <v>685</v>
      </c>
      <c r="H1682" t="str">
        <f>TEXT(walmart[[#This Row],[Purchase_Date]],"DDD")</f>
        <v>Fri</v>
      </c>
      <c r="I1682" t="str">
        <f>TEXT(walmart[[#This Row],[Purchase_Date]],"MMM")</f>
        <v>May</v>
      </c>
      <c r="J1682" t="str">
        <f>TEXT(walmart[[#This Row],[Purchase_Date]],"YYY")</f>
        <v>2024</v>
      </c>
      <c r="K1682" s="3">
        <v>512.94000000000005</v>
      </c>
      <c r="L1682" t="str">
        <f t="shared" si="120"/>
        <v>10% off</v>
      </c>
      <c r="N1682" t="str">
        <f t="shared" si="121"/>
        <v>Yes</v>
      </c>
      <c r="O1682" t="s">
        <v>21</v>
      </c>
      <c r="P1682" s="3">
        <f t="shared" si="122"/>
        <v>512.94000000000005</v>
      </c>
      <c r="Q1682" t="s">
        <v>22</v>
      </c>
      <c r="R1682">
        <v>5</v>
      </c>
      <c r="S1682" t="str">
        <f t="shared" si="123"/>
        <v>Excellent</v>
      </c>
    </row>
    <row r="1683" spans="1:19" x14ac:dyDescent="0.25">
      <c r="A1683" t="s">
        <v>2105</v>
      </c>
      <c r="B1683">
        <v>64</v>
      </c>
      <c r="C1683" t="s">
        <v>29</v>
      </c>
      <c r="D1683" t="s">
        <v>2460</v>
      </c>
      <c r="E1683" t="s">
        <v>42</v>
      </c>
      <c r="F1683" t="s">
        <v>103</v>
      </c>
      <c r="G1683" t="s">
        <v>492</v>
      </c>
      <c r="H1683" t="str">
        <f>TEXT(walmart[[#This Row],[Purchase_Date]],"DDD")</f>
        <v>Thu</v>
      </c>
      <c r="I1683" t="str">
        <f>TEXT(walmart[[#This Row],[Purchase_Date]],"MMM")</f>
        <v>Oct</v>
      </c>
      <c r="J1683" t="str">
        <f>TEXT(walmart[[#This Row],[Purchase_Date]],"YYY")</f>
        <v>2024</v>
      </c>
      <c r="K1683" s="3">
        <v>315.56</v>
      </c>
      <c r="L1683" t="str">
        <f t="shared" si="120"/>
        <v>5% off</v>
      </c>
      <c r="N1683" t="str">
        <f t="shared" si="121"/>
        <v>Yes</v>
      </c>
      <c r="O1683" t="s">
        <v>34</v>
      </c>
      <c r="P1683" s="3">
        <f t="shared" si="122"/>
        <v>315.56</v>
      </c>
      <c r="Q1683" t="s">
        <v>47</v>
      </c>
      <c r="R1683">
        <v>5</v>
      </c>
      <c r="S1683" t="str">
        <f t="shared" si="123"/>
        <v>Excellent</v>
      </c>
    </row>
    <row r="1684" spans="1:19" x14ac:dyDescent="0.25">
      <c r="A1684" t="s">
        <v>2106</v>
      </c>
      <c r="B1684">
        <v>60</v>
      </c>
      <c r="C1684" t="s">
        <v>16</v>
      </c>
      <c r="D1684" t="s">
        <v>2461</v>
      </c>
      <c r="E1684" t="s">
        <v>31</v>
      </c>
      <c r="F1684" t="s">
        <v>32</v>
      </c>
      <c r="G1684" t="s">
        <v>1995</v>
      </c>
      <c r="H1684" t="str">
        <f>TEXT(walmart[[#This Row],[Purchase_Date]],"DDD")</f>
        <v>Tue</v>
      </c>
      <c r="I1684" t="str">
        <f>TEXT(walmart[[#This Row],[Purchase_Date]],"MMM")</f>
        <v>Mar</v>
      </c>
      <c r="J1684" t="str">
        <f>TEXT(walmart[[#This Row],[Purchase_Date]],"YYY")</f>
        <v>2025</v>
      </c>
      <c r="K1684" s="3">
        <v>493.96</v>
      </c>
      <c r="L1684" t="str">
        <f t="shared" si="120"/>
        <v>5% off</v>
      </c>
      <c r="N1684" t="str">
        <f t="shared" si="121"/>
        <v>Yes</v>
      </c>
      <c r="O1684" t="s">
        <v>21</v>
      </c>
      <c r="P1684" s="3">
        <f t="shared" si="122"/>
        <v>493.96</v>
      </c>
      <c r="Q1684" t="s">
        <v>22</v>
      </c>
      <c r="R1684">
        <v>5</v>
      </c>
      <c r="S1684" t="str">
        <f t="shared" si="123"/>
        <v>Excellent</v>
      </c>
    </row>
    <row r="1685" spans="1:19" x14ac:dyDescent="0.25">
      <c r="A1685" t="s">
        <v>2107</v>
      </c>
      <c r="B1685">
        <v>59</v>
      </c>
      <c r="C1685" t="s">
        <v>29</v>
      </c>
      <c r="D1685" t="s">
        <v>2462</v>
      </c>
      <c r="E1685" t="s">
        <v>73</v>
      </c>
      <c r="F1685" t="s">
        <v>94</v>
      </c>
      <c r="G1685" t="s">
        <v>630</v>
      </c>
      <c r="H1685" t="str">
        <f>TEXT(walmart[[#This Row],[Purchase_Date]],"DDD")</f>
        <v>Tue</v>
      </c>
      <c r="I1685" t="str">
        <f>TEXT(walmart[[#This Row],[Purchase_Date]],"MMM")</f>
        <v>Mar</v>
      </c>
      <c r="J1685" t="str">
        <f>TEXT(walmart[[#This Row],[Purchase_Date]],"YYY")</f>
        <v>2025</v>
      </c>
      <c r="K1685" s="3">
        <v>965.09</v>
      </c>
      <c r="L1685" t="str">
        <f t="shared" si="120"/>
        <v>20% off</v>
      </c>
      <c r="N1685" t="str">
        <f t="shared" si="121"/>
        <v>Yes</v>
      </c>
      <c r="O1685" t="s">
        <v>21</v>
      </c>
      <c r="P1685" s="3">
        <f t="shared" si="122"/>
        <v>965.09</v>
      </c>
      <c r="Q1685" t="s">
        <v>27</v>
      </c>
      <c r="R1685">
        <v>3</v>
      </c>
      <c r="S1685" t="str">
        <f t="shared" si="123"/>
        <v>Average</v>
      </c>
    </row>
    <row r="1686" spans="1:19" x14ac:dyDescent="0.25">
      <c r="A1686" t="s">
        <v>2108</v>
      </c>
      <c r="B1686">
        <v>68</v>
      </c>
      <c r="C1686" t="s">
        <v>16</v>
      </c>
      <c r="D1686" t="s">
        <v>2463</v>
      </c>
      <c r="E1686" t="s">
        <v>24</v>
      </c>
      <c r="F1686" t="s">
        <v>162</v>
      </c>
      <c r="G1686" t="s">
        <v>568</v>
      </c>
      <c r="H1686" t="str">
        <f>TEXT(walmart[[#This Row],[Purchase_Date]],"DDD")</f>
        <v>Sun</v>
      </c>
      <c r="I1686" t="str">
        <f>TEXT(walmart[[#This Row],[Purchase_Date]],"MMM")</f>
        <v>Oct</v>
      </c>
      <c r="J1686" t="str">
        <f>TEXT(walmart[[#This Row],[Purchase_Date]],"YYY")</f>
        <v>2024</v>
      </c>
      <c r="K1686" s="3">
        <v>362.55</v>
      </c>
      <c r="L1686" t="str">
        <f t="shared" si="120"/>
        <v>5% off</v>
      </c>
      <c r="N1686" t="str">
        <f t="shared" si="121"/>
        <v>Yes</v>
      </c>
      <c r="O1686" t="s">
        <v>21</v>
      </c>
      <c r="P1686" s="3">
        <f t="shared" si="122"/>
        <v>362.55</v>
      </c>
      <c r="Q1686" t="s">
        <v>27</v>
      </c>
      <c r="R1686">
        <v>2</v>
      </c>
      <c r="S1686" t="str">
        <f t="shared" si="123"/>
        <v>Poor</v>
      </c>
    </row>
    <row r="1687" spans="1:19" x14ac:dyDescent="0.25">
      <c r="A1687" t="s">
        <v>2109</v>
      </c>
      <c r="B1687">
        <v>19</v>
      </c>
      <c r="C1687" t="s">
        <v>29</v>
      </c>
      <c r="D1687" t="s">
        <v>2464</v>
      </c>
      <c r="E1687" t="s">
        <v>37</v>
      </c>
      <c r="F1687" t="s">
        <v>97</v>
      </c>
      <c r="G1687" t="s">
        <v>361</v>
      </c>
      <c r="H1687" t="str">
        <f>TEXT(walmart[[#This Row],[Purchase_Date]],"DDD")</f>
        <v>Sat</v>
      </c>
      <c r="I1687" t="str">
        <f>TEXT(walmart[[#This Row],[Purchase_Date]],"MMM")</f>
        <v>Jul</v>
      </c>
      <c r="J1687" t="str">
        <f>TEXT(walmart[[#This Row],[Purchase_Date]],"YYY")</f>
        <v>2024</v>
      </c>
      <c r="K1687" s="3">
        <v>855.21</v>
      </c>
      <c r="L1687" t="str">
        <f t="shared" si="120"/>
        <v>15% off</v>
      </c>
      <c r="N1687" t="str">
        <f t="shared" si="121"/>
        <v>Yes</v>
      </c>
      <c r="O1687" t="s">
        <v>34</v>
      </c>
      <c r="P1687" s="3">
        <f t="shared" si="122"/>
        <v>855.21</v>
      </c>
      <c r="Q1687" t="s">
        <v>47</v>
      </c>
      <c r="R1687">
        <v>5</v>
      </c>
      <c r="S1687" t="str">
        <f t="shared" si="123"/>
        <v>Excellent</v>
      </c>
    </row>
    <row r="1688" spans="1:19" x14ac:dyDescent="0.25">
      <c r="A1688" t="s">
        <v>2110</v>
      </c>
      <c r="B1688">
        <v>66</v>
      </c>
      <c r="C1688" t="s">
        <v>29</v>
      </c>
      <c r="D1688" t="s">
        <v>2465</v>
      </c>
      <c r="E1688" t="s">
        <v>55</v>
      </c>
      <c r="F1688" t="s">
        <v>56</v>
      </c>
      <c r="G1688" t="s">
        <v>224</v>
      </c>
      <c r="H1688" t="str">
        <f>TEXT(walmart[[#This Row],[Purchase_Date]],"DDD")</f>
        <v>Thu</v>
      </c>
      <c r="I1688" t="str">
        <f>TEXT(walmart[[#This Row],[Purchase_Date]],"MMM")</f>
        <v>Mar</v>
      </c>
      <c r="J1688" t="str">
        <f>TEXT(walmart[[#This Row],[Purchase_Date]],"YYY")</f>
        <v>2025</v>
      </c>
      <c r="K1688" s="3">
        <v>76.81</v>
      </c>
      <c r="L1688" t="str">
        <f t="shared" si="120"/>
        <v>0% off</v>
      </c>
      <c r="N1688" t="str">
        <f t="shared" si="121"/>
        <v>No</v>
      </c>
      <c r="O1688" t="s">
        <v>21</v>
      </c>
      <c r="P1688" s="3">
        <f t="shared" si="122"/>
        <v>76.81</v>
      </c>
      <c r="Q1688" t="s">
        <v>22</v>
      </c>
      <c r="R1688">
        <v>5</v>
      </c>
      <c r="S1688" t="str">
        <f t="shared" si="123"/>
        <v>Excellent</v>
      </c>
    </row>
    <row r="1689" spans="1:19" x14ac:dyDescent="0.25">
      <c r="A1689" t="s">
        <v>2111</v>
      </c>
      <c r="B1689">
        <v>70</v>
      </c>
      <c r="C1689" t="s">
        <v>29</v>
      </c>
      <c r="D1689" t="s">
        <v>2466</v>
      </c>
      <c r="E1689" t="s">
        <v>42</v>
      </c>
      <c r="F1689" t="s">
        <v>120</v>
      </c>
      <c r="G1689" t="s">
        <v>718</v>
      </c>
      <c r="H1689" t="str">
        <f>TEXT(walmart[[#This Row],[Purchase_Date]],"DDD")</f>
        <v>Thu</v>
      </c>
      <c r="I1689" t="str">
        <f>TEXT(walmart[[#This Row],[Purchase_Date]],"MMM")</f>
        <v>Jan</v>
      </c>
      <c r="J1689" t="str">
        <f>TEXT(walmart[[#This Row],[Purchase_Date]],"YYY")</f>
        <v>2025</v>
      </c>
      <c r="K1689" s="3">
        <v>260.77999999999997</v>
      </c>
      <c r="L1689" t="str">
        <f t="shared" si="120"/>
        <v>5% off</v>
      </c>
      <c r="N1689" t="str">
        <f t="shared" si="121"/>
        <v>Yes</v>
      </c>
      <c r="O1689" t="s">
        <v>34</v>
      </c>
      <c r="P1689" s="3">
        <f t="shared" si="122"/>
        <v>260.77999999999997</v>
      </c>
      <c r="Q1689" t="s">
        <v>35</v>
      </c>
      <c r="R1689">
        <v>3</v>
      </c>
      <c r="S1689" t="str">
        <f t="shared" si="123"/>
        <v>Average</v>
      </c>
    </row>
    <row r="1690" spans="1:19" x14ac:dyDescent="0.25">
      <c r="A1690" t="s">
        <v>2112</v>
      </c>
      <c r="B1690">
        <v>40</v>
      </c>
      <c r="C1690" t="s">
        <v>16</v>
      </c>
      <c r="D1690" t="s">
        <v>2467</v>
      </c>
      <c r="E1690" t="s">
        <v>24</v>
      </c>
      <c r="F1690" t="s">
        <v>186</v>
      </c>
      <c r="G1690" t="s">
        <v>397</v>
      </c>
      <c r="H1690" t="str">
        <f>TEXT(walmart[[#This Row],[Purchase_Date]],"DDD")</f>
        <v>Wed</v>
      </c>
      <c r="I1690" t="str">
        <f>TEXT(walmart[[#This Row],[Purchase_Date]],"MMM")</f>
        <v>May</v>
      </c>
      <c r="J1690" t="str">
        <f>TEXT(walmart[[#This Row],[Purchase_Date]],"YYY")</f>
        <v>2024</v>
      </c>
      <c r="K1690" s="3">
        <v>527.16999999999996</v>
      </c>
      <c r="L1690" t="str">
        <f t="shared" si="120"/>
        <v>10% off</v>
      </c>
      <c r="N1690" t="str">
        <f t="shared" si="121"/>
        <v>Yes</v>
      </c>
      <c r="O1690" t="s">
        <v>34</v>
      </c>
      <c r="P1690" s="3">
        <f t="shared" si="122"/>
        <v>527.16999999999996</v>
      </c>
      <c r="Q1690" t="s">
        <v>35</v>
      </c>
      <c r="R1690">
        <v>5</v>
      </c>
      <c r="S1690" t="str">
        <f t="shared" si="123"/>
        <v>Excellent</v>
      </c>
    </row>
    <row r="1691" spans="1:19" x14ac:dyDescent="0.25">
      <c r="A1691" t="s">
        <v>2113</v>
      </c>
      <c r="B1691">
        <v>70</v>
      </c>
      <c r="C1691" t="s">
        <v>29</v>
      </c>
      <c r="D1691" t="s">
        <v>2468</v>
      </c>
      <c r="E1691" t="s">
        <v>37</v>
      </c>
      <c r="F1691" t="s">
        <v>38</v>
      </c>
      <c r="G1691" t="s">
        <v>692</v>
      </c>
      <c r="H1691" t="str">
        <f>TEXT(walmart[[#This Row],[Purchase_Date]],"DDD")</f>
        <v>Sun</v>
      </c>
      <c r="I1691" t="str">
        <f>TEXT(walmart[[#This Row],[Purchase_Date]],"MMM")</f>
        <v>Mar</v>
      </c>
      <c r="J1691" t="str">
        <f>TEXT(walmart[[#This Row],[Purchase_Date]],"YYY")</f>
        <v>2024</v>
      </c>
      <c r="K1691" s="3">
        <v>211.46</v>
      </c>
      <c r="L1691" t="str">
        <f t="shared" si="120"/>
        <v>5% off</v>
      </c>
      <c r="N1691" t="str">
        <f t="shared" si="121"/>
        <v>Yes</v>
      </c>
      <c r="O1691" t="s">
        <v>34</v>
      </c>
      <c r="P1691" s="3">
        <f t="shared" si="122"/>
        <v>211.46</v>
      </c>
      <c r="Q1691" t="s">
        <v>27</v>
      </c>
      <c r="R1691">
        <v>5</v>
      </c>
      <c r="S1691" t="str">
        <f t="shared" si="123"/>
        <v>Excellent</v>
      </c>
    </row>
    <row r="1692" spans="1:19" x14ac:dyDescent="0.25">
      <c r="A1692" t="s">
        <v>2114</v>
      </c>
      <c r="B1692">
        <v>42</v>
      </c>
      <c r="C1692" t="s">
        <v>16</v>
      </c>
      <c r="D1692" t="s">
        <v>2469</v>
      </c>
      <c r="E1692" t="s">
        <v>24</v>
      </c>
      <c r="F1692" t="s">
        <v>209</v>
      </c>
      <c r="G1692" t="s">
        <v>174</v>
      </c>
      <c r="H1692" t="str">
        <f>TEXT(walmart[[#This Row],[Purchase_Date]],"DDD")</f>
        <v>Sun</v>
      </c>
      <c r="I1692" t="str">
        <f>TEXT(walmart[[#This Row],[Purchase_Date]],"MMM")</f>
        <v>Dec</v>
      </c>
      <c r="J1692" t="str">
        <f>TEXT(walmart[[#This Row],[Purchase_Date]],"YYY")</f>
        <v>2024</v>
      </c>
      <c r="K1692" s="3">
        <v>775.75</v>
      </c>
      <c r="L1692" t="str">
        <f t="shared" si="120"/>
        <v>15% off</v>
      </c>
      <c r="N1692" t="str">
        <f t="shared" si="121"/>
        <v>Yes</v>
      </c>
      <c r="O1692" t="s">
        <v>34</v>
      </c>
      <c r="P1692" s="3">
        <f t="shared" si="122"/>
        <v>775.75</v>
      </c>
      <c r="Q1692" t="s">
        <v>47</v>
      </c>
      <c r="R1692">
        <v>4</v>
      </c>
      <c r="S1692" t="str">
        <f t="shared" si="123"/>
        <v>Good</v>
      </c>
    </row>
    <row r="1693" spans="1:19" x14ac:dyDescent="0.25">
      <c r="A1693" t="s">
        <v>2115</v>
      </c>
      <c r="B1693">
        <v>66</v>
      </c>
      <c r="C1693" t="s">
        <v>16</v>
      </c>
      <c r="D1693" t="s">
        <v>2470</v>
      </c>
      <c r="E1693" t="s">
        <v>37</v>
      </c>
      <c r="F1693" t="s">
        <v>97</v>
      </c>
      <c r="G1693" t="s">
        <v>1304</v>
      </c>
      <c r="H1693" t="str">
        <f>TEXT(walmart[[#This Row],[Purchase_Date]],"DDD")</f>
        <v>Thu</v>
      </c>
      <c r="I1693" t="str">
        <f>TEXT(walmart[[#This Row],[Purchase_Date]],"MMM")</f>
        <v>Oct</v>
      </c>
      <c r="J1693" t="str">
        <f>TEXT(walmart[[#This Row],[Purchase_Date]],"YYY")</f>
        <v>2024</v>
      </c>
      <c r="K1693" s="3">
        <v>855.21</v>
      </c>
      <c r="L1693" t="str">
        <f t="shared" si="120"/>
        <v>15% off</v>
      </c>
      <c r="N1693" t="str">
        <f t="shared" si="121"/>
        <v>Yes</v>
      </c>
      <c r="O1693" t="s">
        <v>34</v>
      </c>
      <c r="P1693" s="3">
        <f t="shared" si="122"/>
        <v>855.21</v>
      </c>
      <c r="Q1693" t="s">
        <v>35</v>
      </c>
      <c r="R1693">
        <v>3</v>
      </c>
      <c r="S1693" t="str">
        <f t="shared" si="123"/>
        <v>Average</v>
      </c>
    </row>
    <row r="1694" spans="1:19" x14ac:dyDescent="0.25">
      <c r="A1694" t="s">
        <v>2116</v>
      </c>
      <c r="B1694">
        <v>29</v>
      </c>
      <c r="C1694" t="s">
        <v>16</v>
      </c>
      <c r="D1694" t="s">
        <v>2471</v>
      </c>
      <c r="E1694" t="s">
        <v>42</v>
      </c>
      <c r="F1694" t="s">
        <v>43</v>
      </c>
      <c r="G1694" t="s">
        <v>704</v>
      </c>
      <c r="H1694" t="str">
        <f>TEXT(walmart[[#This Row],[Purchase_Date]],"DDD")</f>
        <v>Wed</v>
      </c>
      <c r="I1694" t="str">
        <f>TEXT(walmart[[#This Row],[Purchase_Date]],"MMM")</f>
        <v>Jul</v>
      </c>
      <c r="J1694" t="str">
        <f>TEXT(walmart[[#This Row],[Purchase_Date]],"YYY")</f>
        <v>2024</v>
      </c>
      <c r="K1694" s="3">
        <v>512.94000000000005</v>
      </c>
      <c r="L1694" t="str">
        <f t="shared" si="120"/>
        <v>10% off</v>
      </c>
      <c r="N1694" t="str">
        <f t="shared" si="121"/>
        <v>Yes</v>
      </c>
      <c r="O1694" t="s">
        <v>34</v>
      </c>
      <c r="P1694" s="3">
        <f t="shared" si="122"/>
        <v>512.94000000000005</v>
      </c>
      <c r="Q1694" t="s">
        <v>47</v>
      </c>
      <c r="R1694">
        <v>5</v>
      </c>
      <c r="S1694" t="str">
        <f t="shared" si="123"/>
        <v>Excellent</v>
      </c>
    </row>
    <row r="1695" spans="1:19" x14ac:dyDescent="0.25">
      <c r="A1695" t="s">
        <v>2117</v>
      </c>
      <c r="B1695">
        <v>52</v>
      </c>
      <c r="C1695" t="s">
        <v>16</v>
      </c>
      <c r="D1695" t="s">
        <v>2472</v>
      </c>
      <c r="E1695" t="s">
        <v>37</v>
      </c>
      <c r="F1695" t="s">
        <v>117</v>
      </c>
      <c r="G1695" t="s">
        <v>369</v>
      </c>
      <c r="H1695" t="str">
        <f>TEXT(walmart[[#This Row],[Purchase_Date]],"DDD")</f>
        <v>Fri</v>
      </c>
      <c r="I1695" t="str">
        <f>TEXT(walmart[[#This Row],[Purchase_Date]],"MMM")</f>
        <v>Aug</v>
      </c>
      <c r="J1695" t="str">
        <f>TEXT(walmart[[#This Row],[Purchase_Date]],"YYY")</f>
        <v>2024</v>
      </c>
      <c r="K1695" s="3">
        <v>165.68</v>
      </c>
      <c r="L1695" t="str">
        <f t="shared" si="120"/>
        <v>5% off</v>
      </c>
      <c r="N1695" t="str">
        <f t="shared" si="121"/>
        <v>Yes</v>
      </c>
      <c r="O1695" t="s">
        <v>34</v>
      </c>
      <c r="P1695" s="3">
        <f t="shared" si="122"/>
        <v>165.68</v>
      </c>
      <c r="Q1695" t="s">
        <v>22</v>
      </c>
      <c r="R1695">
        <v>4</v>
      </c>
      <c r="S1695" t="str">
        <f t="shared" si="123"/>
        <v>Good</v>
      </c>
    </row>
    <row r="1696" spans="1:19" x14ac:dyDescent="0.25">
      <c r="A1696" t="s">
        <v>2118</v>
      </c>
      <c r="B1696">
        <v>49</v>
      </c>
      <c r="C1696" t="s">
        <v>16</v>
      </c>
      <c r="D1696" t="s">
        <v>2473</v>
      </c>
      <c r="E1696" t="s">
        <v>18</v>
      </c>
      <c r="F1696" t="s">
        <v>59</v>
      </c>
      <c r="G1696" t="s">
        <v>785</v>
      </c>
      <c r="H1696" t="str">
        <f>TEXT(walmart[[#This Row],[Purchase_Date]],"DDD")</f>
        <v>Sat</v>
      </c>
      <c r="I1696" t="str">
        <f>TEXT(walmart[[#This Row],[Purchase_Date]],"MMM")</f>
        <v>Apr</v>
      </c>
      <c r="J1696" t="str">
        <f>TEXT(walmart[[#This Row],[Purchase_Date]],"YYY")</f>
        <v>2024</v>
      </c>
      <c r="K1696" s="3">
        <v>78.349999999999994</v>
      </c>
      <c r="L1696" t="str">
        <f t="shared" si="120"/>
        <v>0% off</v>
      </c>
      <c r="N1696" t="str">
        <f t="shared" si="121"/>
        <v>No</v>
      </c>
      <c r="O1696" t="s">
        <v>34</v>
      </c>
      <c r="P1696" s="3">
        <f t="shared" si="122"/>
        <v>78.349999999999994</v>
      </c>
      <c r="Q1696" t="s">
        <v>47</v>
      </c>
      <c r="R1696">
        <v>1</v>
      </c>
      <c r="S1696" t="str">
        <f t="shared" si="123"/>
        <v>Very Poor</v>
      </c>
    </row>
    <row r="1697" spans="1:19" x14ac:dyDescent="0.25">
      <c r="A1697" t="s">
        <v>2119</v>
      </c>
      <c r="B1697">
        <v>19</v>
      </c>
      <c r="C1697" t="s">
        <v>29</v>
      </c>
      <c r="D1697" t="s">
        <v>2474</v>
      </c>
      <c r="E1697" t="s">
        <v>55</v>
      </c>
      <c r="F1697" t="s">
        <v>100</v>
      </c>
      <c r="G1697" t="s">
        <v>1432</v>
      </c>
      <c r="H1697" t="str">
        <f>TEXT(walmart[[#This Row],[Purchase_Date]],"DDD")</f>
        <v>Wed</v>
      </c>
      <c r="I1697" t="str">
        <f>TEXT(walmart[[#This Row],[Purchase_Date]],"MMM")</f>
        <v>Jan</v>
      </c>
      <c r="J1697" t="str">
        <f>TEXT(walmart[[#This Row],[Purchase_Date]],"YYY")</f>
        <v>2025</v>
      </c>
      <c r="K1697" s="3">
        <v>592.26</v>
      </c>
      <c r="L1697" t="str">
        <f t="shared" si="120"/>
        <v>10% off</v>
      </c>
      <c r="N1697" t="str">
        <f t="shared" si="121"/>
        <v>Yes</v>
      </c>
      <c r="O1697" t="s">
        <v>21</v>
      </c>
      <c r="P1697" s="3">
        <f t="shared" si="122"/>
        <v>592.26</v>
      </c>
      <c r="Q1697" t="s">
        <v>35</v>
      </c>
      <c r="R1697">
        <v>5</v>
      </c>
      <c r="S1697" t="str">
        <f t="shared" si="123"/>
        <v>Excellent</v>
      </c>
    </row>
    <row r="1698" spans="1:19" x14ac:dyDescent="0.25">
      <c r="A1698" t="s">
        <v>2120</v>
      </c>
      <c r="B1698">
        <v>49</v>
      </c>
      <c r="C1698" t="s">
        <v>29</v>
      </c>
      <c r="D1698" t="s">
        <v>2475</v>
      </c>
      <c r="E1698" t="s">
        <v>24</v>
      </c>
      <c r="F1698" t="s">
        <v>209</v>
      </c>
      <c r="G1698" t="s">
        <v>266</v>
      </c>
      <c r="H1698" t="str">
        <f>TEXT(walmart[[#This Row],[Purchase_Date]],"DDD")</f>
        <v>Fri</v>
      </c>
      <c r="I1698" t="str">
        <f>TEXT(walmart[[#This Row],[Purchase_Date]],"MMM")</f>
        <v>Feb</v>
      </c>
      <c r="J1698" t="str">
        <f>TEXT(walmart[[#This Row],[Purchase_Date]],"YYY")</f>
        <v>2025</v>
      </c>
      <c r="K1698" s="3">
        <v>775.75</v>
      </c>
      <c r="L1698" t="str">
        <f t="shared" si="120"/>
        <v>15% off</v>
      </c>
      <c r="N1698" t="str">
        <f t="shared" si="121"/>
        <v>Yes</v>
      </c>
      <c r="O1698" t="s">
        <v>21</v>
      </c>
      <c r="P1698" s="3">
        <f t="shared" si="122"/>
        <v>775.75</v>
      </c>
      <c r="Q1698" t="s">
        <v>22</v>
      </c>
      <c r="R1698">
        <v>4</v>
      </c>
      <c r="S1698" t="str">
        <f t="shared" si="123"/>
        <v>Good</v>
      </c>
    </row>
    <row r="1699" spans="1:19" x14ac:dyDescent="0.25">
      <c r="A1699" t="s">
        <v>2121</v>
      </c>
      <c r="B1699">
        <v>56</v>
      </c>
      <c r="C1699" t="s">
        <v>16</v>
      </c>
      <c r="D1699" t="s">
        <v>2476</v>
      </c>
      <c r="E1699" t="s">
        <v>18</v>
      </c>
      <c r="F1699" t="s">
        <v>77</v>
      </c>
      <c r="G1699" t="s">
        <v>447</v>
      </c>
      <c r="H1699" t="str">
        <f>TEXT(walmart[[#This Row],[Purchase_Date]],"DDD")</f>
        <v>Sat</v>
      </c>
      <c r="I1699" t="str">
        <f>TEXT(walmart[[#This Row],[Purchase_Date]],"MMM")</f>
        <v>Nov</v>
      </c>
      <c r="J1699" t="str">
        <f>TEXT(walmart[[#This Row],[Purchase_Date]],"YYY")</f>
        <v>2024</v>
      </c>
      <c r="K1699" s="3">
        <v>116.78</v>
      </c>
      <c r="L1699" t="str">
        <f t="shared" si="120"/>
        <v>0% off</v>
      </c>
      <c r="N1699" t="str">
        <f t="shared" si="121"/>
        <v>No</v>
      </c>
      <c r="O1699" t="s">
        <v>21</v>
      </c>
      <c r="P1699" s="3">
        <f t="shared" si="122"/>
        <v>116.78</v>
      </c>
      <c r="Q1699" t="s">
        <v>35</v>
      </c>
      <c r="R1699">
        <v>5</v>
      </c>
      <c r="S1699" t="str">
        <f t="shared" si="123"/>
        <v>Excellent</v>
      </c>
    </row>
    <row r="1700" spans="1:19" x14ac:dyDescent="0.25">
      <c r="A1700" t="s">
        <v>2122</v>
      </c>
      <c r="B1700">
        <v>27</v>
      </c>
      <c r="C1700" t="s">
        <v>29</v>
      </c>
      <c r="D1700" t="s">
        <v>2477</v>
      </c>
      <c r="E1700" t="s">
        <v>73</v>
      </c>
      <c r="F1700" t="s">
        <v>91</v>
      </c>
      <c r="G1700" t="s">
        <v>672</v>
      </c>
      <c r="H1700" t="str">
        <f>TEXT(walmart[[#This Row],[Purchase_Date]],"DDD")</f>
        <v>Sat</v>
      </c>
      <c r="I1700" t="str">
        <f>TEXT(walmart[[#This Row],[Purchase_Date]],"MMM")</f>
        <v>Feb</v>
      </c>
      <c r="J1700" t="str">
        <f>TEXT(walmart[[#This Row],[Purchase_Date]],"YYY")</f>
        <v>2025</v>
      </c>
      <c r="K1700" s="3">
        <v>418.55</v>
      </c>
      <c r="L1700" t="str">
        <f t="shared" si="120"/>
        <v>5% off</v>
      </c>
      <c r="N1700" t="str">
        <f t="shared" si="121"/>
        <v>Yes</v>
      </c>
      <c r="O1700" t="s">
        <v>34</v>
      </c>
      <c r="P1700" s="3">
        <f t="shared" si="122"/>
        <v>418.55</v>
      </c>
      <c r="Q1700" t="s">
        <v>22</v>
      </c>
      <c r="R1700">
        <v>4</v>
      </c>
      <c r="S1700" t="str">
        <f t="shared" si="123"/>
        <v>Good</v>
      </c>
    </row>
    <row r="1701" spans="1:19" x14ac:dyDescent="0.25">
      <c r="A1701" t="s">
        <v>2123</v>
      </c>
      <c r="B1701">
        <v>34</v>
      </c>
      <c r="C1701" t="s">
        <v>29</v>
      </c>
      <c r="D1701" t="s">
        <v>2478</v>
      </c>
      <c r="E1701" t="s">
        <v>55</v>
      </c>
      <c r="F1701" t="s">
        <v>100</v>
      </c>
      <c r="G1701" t="s">
        <v>1218</v>
      </c>
      <c r="H1701" t="str">
        <f>TEXT(walmart[[#This Row],[Purchase_Date]],"DDD")</f>
        <v>Thu</v>
      </c>
      <c r="I1701" t="str">
        <f>TEXT(walmart[[#This Row],[Purchase_Date]],"MMM")</f>
        <v>May</v>
      </c>
      <c r="J1701" t="str">
        <f>TEXT(walmart[[#This Row],[Purchase_Date]],"YYY")</f>
        <v>2024</v>
      </c>
      <c r="K1701" s="3">
        <v>592.26</v>
      </c>
      <c r="L1701" t="str">
        <f t="shared" si="120"/>
        <v>10% off</v>
      </c>
      <c r="N1701" t="str">
        <f t="shared" si="121"/>
        <v>Yes</v>
      </c>
      <c r="O1701" t="s">
        <v>21</v>
      </c>
      <c r="P1701" s="3">
        <f t="shared" si="122"/>
        <v>592.26</v>
      </c>
      <c r="Q1701" t="s">
        <v>35</v>
      </c>
      <c r="R1701">
        <v>5</v>
      </c>
      <c r="S1701" t="str">
        <f t="shared" si="123"/>
        <v>Excellent</v>
      </c>
    </row>
    <row r="1702" spans="1:19" x14ac:dyDescent="0.25">
      <c r="A1702" t="s">
        <v>2124</v>
      </c>
      <c r="B1702">
        <v>42</v>
      </c>
      <c r="C1702" t="s">
        <v>29</v>
      </c>
      <c r="D1702" t="s">
        <v>2479</v>
      </c>
      <c r="E1702" t="s">
        <v>42</v>
      </c>
      <c r="F1702" t="s">
        <v>43</v>
      </c>
      <c r="G1702" t="s">
        <v>193</v>
      </c>
      <c r="H1702" t="str">
        <f>TEXT(walmart[[#This Row],[Purchase_Date]],"DDD")</f>
        <v>Thu</v>
      </c>
      <c r="I1702" t="str">
        <f>TEXT(walmart[[#This Row],[Purchase_Date]],"MMM")</f>
        <v>May</v>
      </c>
      <c r="J1702" t="str">
        <f>TEXT(walmart[[#This Row],[Purchase_Date]],"YYY")</f>
        <v>2024</v>
      </c>
      <c r="K1702" s="3">
        <v>512.94000000000005</v>
      </c>
      <c r="L1702" t="str">
        <f t="shared" si="120"/>
        <v>10% off</v>
      </c>
      <c r="N1702" t="str">
        <f t="shared" si="121"/>
        <v>Yes</v>
      </c>
      <c r="O1702" t="s">
        <v>21</v>
      </c>
      <c r="P1702" s="3">
        <f t="shared" si="122"/>
        <v>512.94000000000005</v>
      </c>
      <c r="Q1702" t="s">
        <v>27</v>
      </c>
      <c r="R1702">
        <v>1</v>
      </c>
      <c r="S1702" t="str">
        <f t="shared" si="123"/>
        <v>Very Poor</v>
      </c>
    </row>
    <row r="1703" spans="1:19" x14ac:dyDescent="0.25">
      <c r="A1703" t="s">
        <v>2125</v>
      </c>
      <c r="B1703">
        <v>44</v>
      </c>
      <c r="C1703" t="s">
        <v>16</v>
      </c>
      <c r="D1703" t="s">
        <v>2480</v>
      </c>
      <c r="E1703" t="s">
        <v>31</v>
      </c>
      <c r="F1703" t="s">
        <v>169</v>
      </c>
      <c r="G1703" t="s">
        <v>291</v>
      </c>
      <c r="H1703" t="str">
        <f>TEXT(walmart[[#This Row],[Purchase_Date]],"DDD")</f>
        <v>Fri</v>
      </c>
      <c r="I1703" t="str">
        <f>TEXT(walmart[[#This Row],[Purchase_Date]],"MMM")</f>
        <v>Sep</v>
      </c>
      <c r="J1703" t="str">
        <f>TEXT(walmart[[#This Row],[Purchase_Date]],"YYY")</f>
        <v>2024</v>
      </c>
      <c r="K1703" s="3">
        <v>52.44</v>
      </c>
      <c r="L1703" t="str">
        <f t="shared" si="120"/>
        <v>0% off</v>
      </c>
      <c r="N1703" t="str">
        <f t="shared" si="121"/>
        <v>No</v>
      </c>
      <c r="O1703" t="s">
        <v>21</v>
      </c>
      <c r="P1703" s="3">
        <f t="shared" si="122"/>
        <v>52.44</v>
      </c>
      <c r="Q1703" t="s">
        <v>35</v>
      </c>
      <c r="R1703">
        <v>5</v>
      </c>
      <c r="S1703" t="str">
        <f t="shared" si="123"/>
        <v>Excellent</v>
      </c>
    </row>
    <row r="1704" spans="1:19" x14ac:dyDescent="0.25">
      <c r="A1704" t="s">
        <v>2126</v>
      </c>
      <c r="B1704">
        <v>45</v>
      </c>
      <c r="C1704" t="s">
        <v>29</v>
      </c>
      <c r="D1704" t="s">
        <v>2481</v>
      </c>
      <c r="E1704" t="s">
        <v>55</v>
      </c>
      <c r="F1704" t="s">
        <v>67</v>
      </c>
      <c r="G1704" t="s">
        <v>128</v>
      </c>
      <c r="H1704" t="str">
        <f>TEXT(walmart[[#This Row],[Purchase_Date]],"DDD")</f>
        <v>Sun</v>
      </c>
      <c r="I1704" t="str">
        <f>TEXT(walmart[[#This Row],[Purchase_Date]],"MMM")</f>
        <v>Jul</v>
      </c>
      <c r="J1704" t="str">
        <f>TEXT(walmart[[#This Row],[Purchase_Date]],"YYY")</f>
        <v>2024</v>
      </c>
      <c r="K1704" s="3">
        <v>452.97</v>
      </c>
      <c r="L1704" t="str">
        <f t="shared" si="120"/>
        <v>5% off</v>
      </c>
      <c r="N1704" t="str">
        <f t="shared" si="121"/>
        <v>Yes</v>
      </c>
      <c r="O1704" t="s">
        <v>21</v>
      </c>
      <c r="P1704" s="3">
        <f t="shared" si="122"/>
        <v>452.97</v>
      </c>
      <c r="Q1704" t="s">
        <v>35</v>
      </c>
      <c r="R1704">
        <v>5</v>
      </c>
      <c r="S1704" t="str">
        <f t="shared" si="123"/>
        <v>Excellent</v>
      </c>
    </row>
    <row r="1705" spans="1:19" x14ac:dyDescent="0.25">
      <c r="A1705" t="s">
        <v>2127</v>
      </c>
      <c r="B1705">
        <v>56</v>
      </c>
      <c r="C1705" t="s">
        <v>16</v>
      </c>
      <c r="D1705" t="s">
        <v>2482</v>
      </c>
      <c r="E1705" t="s">
        <v>42</v>
      </c>
      <c r="F1705" t="s">
        <v>120</v>
      </c>
      <c r="G1705" t="s">
        <v>961</v>
      </c>
      <c r="H1705" t="str">
        <f>TEXT(walmart[[#This Row],[Purchase_Date]],"DDD")</f>
        <v>Sun</v>
      </c>
      <c r="I1705" t="str">
        <f>TEXT(walmart[[#This Row],[Purchase_Date]],"MMM")</f>
        <v>Jul</v>
      </c>
      <c r="J1705" t="str">
        <f>TEXT(walmart[[#This Row],[Purchase_Date]],"YYY")</f>
        <v>2024</v>
      </c>
      <c r="K1705" s="3">
        <v>260.77999999999997</v>
      </c>
      <c r="L1705" t="str">
        <f t="shared" si="120"/>
        <v>5% off</v>
      </c>
      <c r="N1705" t="str">
        <f t="shared" si="121"/>
        <v>Yes</v>
      </c>
      <c r="O1705" t="s">
        <v>34</v>
      </c>
      <c r="P1705" s="3">
        <f t="shared" si="122"/>
        <v>260.77999999999997</v>
      </c>
      <c r="Q1705" t="s">
        <v>35</v>
      </c>
      <c r="R1705">
        <v>3</v>
      </c>
      <c r="S1705" t="str">
        <f t="shared" si="123"/>
        <v>Average</v>
      </c>
    </row>
    <row r="1706" spans="1:19" x14ac:dyDescent="0.25">
      <c r="A1706" t="s">
        <v>2128</v>
      </c>
      <c r="B1706">
        <v>27</v>
      </c>
      <c r="C1706" t="s">
        <v>16</v>
      </c>
      <c r="D1706" t="s">
        <v>2462</v>
      </c>
      <c r="E1706" t="s">
        <v>37</v>
      </c>
      <c r="F1706" t="s">
        <v>97</v>
      </c>
      <c r="G1706" t="s">
        <v>952</v>
      </c>
      <c r="H1706" t="str">
        <f>TEXT(walmart[[#This Row],[Purchase_Date]],"DDD")</f>
        <v>Sun</v>
      </c>
      <c r="I1706" t="str">
        <f>TEXT(walmart[[#This Row],[Purchase_Date]],"MMM")</f>
        <v>Sep</v>
      </c>
      <c r="J1706" t="str">
        <f>TEXT(walmart[[#This Row],[Purchase_Date]],"YYY")</f>
        <v>2024</v>
      </c>
      <c r="K1706" s="3">
        <v>855.21</v>
      </c>
      <c r="L1706" t="str">
        <f t="shared" si="120"/>
        <v>15% off</v>
      </c>
      <c r="N1706" t="str">
        <f t="shared" si="121"/>
        <v>Yes</v>
      </c>
      <c r="O1706" t="s">
        <v>34</v>
      </c>
      <c r="P1706" s="3">
        <f t="shared" si="122"/>
        <v>855.21</v>
      </c>
      <c r="Q1706" t="s">
        <v>22</v>
      </c>
      <c r="R1706">
        <v>2</v>
      </c>
      <c r="S1706" t="str">
        <f t="shared" si="123"/>
        <v>Poor</v>
      </c>
    </row>
    <row r="1707" spans="1:19" x14ac:dyDescent="0.25">
      <c r="A1707" t="s">
        <v>2129</v>
      </c>
      <c r="B1707">
        <v>40</v>
      </c>
      <c r="C1707" t="s">
        <v>29</v>
      </c>
      <c r="D1707" t="s">
        <v>2483</v>
      </c>
      <c r="E1707" t="s">
        <v>24</v>
      </c>
      <c r="F1707" t="s">
        <v>186</v>
      </c>
      <c r="G1707" t="s">
        <v>1339</v>
      </c>
      <c r="H1707" t="str">
        <f>TEXT(walmart[[#This Row],[Purchase_Date]],"DDD")</f>
        <v>Wed</v>
      </c>
      <c r="I1707" t="str">
        <f>TEXT(walmart[[#This Row],[Purchase_Date]],"MMM")</f>
        <v>Oct</v>
      </c>
      <c r="J1707" t="str">
        <f>TEXT(walmart[[#This Row],[Purchase_Date]],"YYY")</f>
        <v>2024</v>
      </c>
      <c r="K1707" s="3">
        <v>527.16999999999996</v>
      </c>
      <c r="L1707" t="str">
        <f t="shared" si="120"/>
        <v>10% off</v>
      </c>
      <c r="N1707" t="str">
        <f t="shared" si="121"/>
        <v>Yes</v>
      </c>
      <c r="O1707" t="s">
        <v>34</v>
      </c>
      <c r="P1707" s="3">
        <f t="shared" si="122"/>
        <v>527.16999999999996</v>
      </c>
      <c r="Q1707" t="s">
        <v>22</v>
      </c>
      <c r="R1707">
        <v>2</v>
      </c>
      <c r="S1707" t="str">
        <f t="shared" si="123"/>
        <v>Poor</v>
      </c>
    </row>
    <row r="1708" spans="1:19" x14ac:dyDescent="0.25">
      <c r="A1708" t="s">
        <v>2130</v>
      </c>
      <c r="B1708">
        <v>39</v>
      </c>
      <c r="C1708" t="s">
        <v>16</v>
      </c>
      <c r="D1708" t="s">
        <v>2484</v>
      </c>
      <c r="E1708" t="s">
        <v>31</v>
      </c>
      <c r="F1708" t="s">
        <v>300</v>
      </c>
      <c r="G1708" t="s">
        <v>434</v>
      </c>
      <c r="H1708" t="str">
        <f>TEXT(walmart[[#This Row],[Purchase_Date]],"DDD")</f>
        <v>Sat</v>
      </c>
      <c r="I1708" t="str">
        <f>TEXT(walmart[[#This Row],[Purchase_Date]],"MMM")</f>
        <v>Apr</v>
      </c>
      <c r="J1708" t="str">
        <f>TEXT(walmart[[#This Row],[Purchase_Date]],"YYY")</f>
        <v>2024</v>
      </c>
      <c r="K1708" s="3">
        <v>340.04</v>
      </c>
      <c r="L1708" t="str">
        <f t="shared" si="120"/>
        <v>5% off</v>
      </c>
      <c r="N1708" t="str">
        <f t="shared" si="121"/>
        <v>Yes</v>
      </c>
      <c r="O1708" t="s">
        <v>21</v>
      </c>
      <c r="P1708" s="3">
        <f t="shared" si="122"/>
        <v>340.04</v>
      </c>
      <c r="Q1708" t="s">
        <v>35</v>
      </c>
      <c r="R1708">
        <v>2</v>
      </c>
      <c r="S1708" t="str">
        <f t="shared" si="123"/>
        <v>Poor</v>
      </c>
    </row>
    <row r="1709" spans="1:19" x14ac:dyDescent="0.25">
      <c r="A1709" t="s">
        <v>2131</v>
      </c>
      <c r="B1709">
        <v>19</v>
      </c>
      <c r="C1709" t="s">
        <v>29</v>
      </c>
      <c r="D1709" t="s">
        <v>2485</v>
      </c>
      <c r="E1709" t="s">
        <v>18</v>
      </c>
      <c r="F1709" t="s">
        <v>77</v>
      </c>
      <c r="G1709" t="s">
        <v>1789</v>
      </c>
      <c r="H1709" t="str">
        <f>TEXT(walmart[[#This Row],[Purchase_Date]],"DDD")</f>
        <v>Sun</v>
      </c>
      <c r="I1709" t="str">
        <f>TEXT(walmart[[#This Row],[Purchase_Date]],"MMM")</f>
        <v>Oct</v>
      </c>
      <c r="J1709" t="str">
        <f>TEXT(walmart[[#This Row],[Purchase_Date]],"YYY")</f>
        <v>2024</v>
      </c>
      <c r="K1709" s="3">
        <v>116.78</v>
      </c>
      <c r="L1709" t="str">
        <f t="shared" si="120"/>
        <v>0% off</v>
      </c>
      <c r="N1709" t="str">
        <f t="shared" si="121"/>
        <v>No</v>
      </c>
      <c r="O1709" t="s">
        <v>34</v>
      </c>
      <c r="P1709" s="3">
        <f t="shared" si="122"/>
        <v>116.78</v>
      </c>
      <c r="Q1709" t="s">
        <v>22</v>
      </c>
      <c r="R1709">
        <v>4</v>
      </c>
      <c r="S1709" t="str">
        <f t="shared" si="123"/>
        <v>Good</v>
      </c>
    </row>
    <row r="1710" spans="1:19" x14ac:dyDescent="0.25">
      <c r="A1710" t="s">
        <v>2132</v>
      </c>
      <c r="B1710">
        <v>21</v>
      </c>
      <c r="C1710" t="s">
        <v>16</v>
      </c>
      <c r="D1710" t="s">
        <v>2486</v>
      </c>
      <c r="E1710" t="s">
        <v>31</v>
      </c>
      <c r="F1710" t="s">
        <v>32</v>
      </c>
      <c r="G1710" t="s">
        <v>78</v>
      </c>
      <c r="H1710" t="str">
        <f>TEXT(walmart[[#This Row],[Purchase_Date]],"DDD")</f>
        <v>Mon</v>
      </c>
      <c r="I1710" t="str">
        <f>TEXT(walmart[[#This Row],[Purchase_Date]],"MMM")</f>
        <v>Jul</v>
      </c>
      <c r="J1710" t="str">
        <f>TEXT(walmart[[#This Row],[Purchase_Date]],"YYY")</f>
        <v>2024</v>
      </c>
      <c r="K1710" s="3">
        <v>493.96</v>
      </c>
      <c r="L1710" t="str">
        <f t="shared" si="120"/>
        <v>5% off</v>
      </c>
      <c r="N1710" t="str">
        <f t="shared" si="121"/>
        <v>Yes</v>
      </c>
      <c r="O1710" t="s">
        <v>34</v>
      </c>
      <c r="P1710" s="3">
        <f t="shared" si="122"/>
        <v>493.96</v>
      </c>
      <c r="Q1710" t="s">
        <v>27</v>
      </c>
      <c r="R1710">
        <v>2</v>
      </c>
      <c r="S1710" t="str">
        <f t="shared" si="123"/>
        <v>Poor</v>
      </c>
    </row>
    <row r="1711" spans="1:19" x14ac:dyDescent="0.25">
      <c r="A1711" t="s">
        <v>2133</v>
      </c>
      <c r="B1711">
        <v>59</v>
      </c>
      <c r="C1711" t="s">
        <v>29</v>
      </c>
      <c r="D1711" t="s">
        <v>2487</v>
      </c>
      <c r="E1711" t="s">
        <v>73</v>
      </c>
      <c r="F1711" t="s">
        <v>91</v>
      </c>
      <c r="G1711" t="s">
        <v>338</v>
      </c>
      <c r="H1711" t="str">
        <f>TEXT(walmart[[#This Row],[Purchase_Date]],"DDD")</f>
        <v>Tue</v>
      </c>
      <c r="I1711" t="str">
        <f>TEXT(walmart[[#This Row],[Purchase_Date]],"MMM")</f>
        <v>Oct</v>
      </c>
      <c r="J1711" t="str">
        <f>TEXT(walmart[[#This Row],[Purchase_Date]],"YYY")</f>
        <v>2024</v>
      </c>
      <c r="K1711" s="3">
        <v>418.55</v>
      </c>
      <c r="L1711" t="str">
        <f t="shared" si="120"/>
        <v>5% off</v>
      </c>
      <c r="N1711" t="str">
        <f t="shared" si="121"/>
        <v>Yes</v>
      </c>
      <c r="O1711" t="s">
        <v>21</v>
      </c>
      <c r="P1711" s="3">
        <f t="shared" si="122"/>
        <v>418.55</v>
      </c>
      <c r="Q1711" t="s">
        <v>35</v>
      </c>
      <c r="R1711">
        <v>1</v>
      </c>
      <c r="S1711" t="str">
        <f t="shared" si="123"/>
        <v>Very Poor</v>
      </c>
    </row>
    <row r="1712" spans="1:19" x14ac:dyDescent="0.25">
      <c r="A1712" t="s">
        <v>2134</v>
      </c>
      <c r="B1712">
        <v>70</v>
      </c>
      <c r="C1712" t="s">
        <v>29</v>
      </c>
      <c r="D1712" t="s">
        <v>2488</v>
      </c>
      <c r="E1712" t="s">
        <v>42</v>
      </c>
      <c r="F1712" t="s">
        <v>103</v>
      </c>
      <c r="G1712" t="s">
        <v>171</v>
      </c>
      <c r="H1712" t="str">
        <f>TEXT(walmart[[#This Row],[Purchase_Date]],"DDD")</f>
        <v>Tue</v>
      </c>
      <c r="I1712" t="str">
        <f>TEXT(walmart[[#This Row],[Purchase_Date]],"MMM")</f>
        <v>Nov</v>
      </c>
      <c r="J1712" t="str">
        <f>TEXT(walmart[[#This Row],[Purchase_Date]],"YYY")</f>
        <v>2024</v>
      </c>
      <c r="K1712" s="3">
        <v>315.56</v>
      </c>
      <c r="L1712" t="str">
        <f t="shared" si="120"/>
        <v>5% off</v>
      </c>
      <c r="N1712" t="str">
        <f t="shared" si="121"/>
        <v>Yes</v>
      </c>
      <c r="O1712" t="s">
        <v>34</v>
      </c>
      <c r="P1712" s="3">
        <f t="shared" si="122"/>
        <v>315.56</v>
      </c>
      <c r="Q1712" t="s">
        <v>35</v>
      </c>
      <c r="R1712">
        <v>1</v>
      </c>
      <c r="S1712" t="str">
        <f t="shared" si="123"/>
        <v>Very Poor</v>
      </c>
    </row>
    <row r="1713" spans="1:19" x14ac:dyDescent="0.25">
      <c r="A1713" t="s">
        <v>2135</v>
      </c>
      <c r="B1713">
        <v>47</v>
      </c>
      <c r="C1713" t="s">
        <v>29</v>
      </c>
      <c r="D1713" t="s">
        <v>2489</v>
      </c>
      <c r="E1713" t="s">
        <v>18</v>
      </c>
      <c r="F1713" t="s">
        <v>142</v>
      </c>
      <c r="G1713" t="s">
        <v>238</v>
      </c>
      <c r="H1713" t="str">
        <f>TEXT(walmart[[#This Row],[Purchase_Date]],"DDD")</f>
        <v>Wed</v>
      </c>
      <c r="I1713" t="str">
        <f>TEXT(walmart[[#This Row],[Purchase_Date]],"MMM")</f>
        <v>Apr</v>
      </c>
      <c r="J1713" t="str">
        <f>TEXT(walmart[[#This Row],[Purchase_Date]],"YYY")</f>
        <v>2024</v>
      </c>
      <c r="K1713" s="3">
        <v>485.26</v>
      </c>
      <c r="L1713" t="str">
        <f t="shared" si="120"/>
        <v>5% off</v>
      </c>
      <c r="N1713" t="str">
        <f t="shared" si="121"/>
        <v>Yes</v>
      </c>
      <c r="O1713" t="s">
        <v>34</v>
      </c>
      <c r="P1713" s="3">
        <f t="shared" si="122"/>
        <v>485.26</v>
      </c>
      <c r="Q1713" t="s">
        <v>35</v>
      </c>
      <c r="R1713">
        <v>3</v>
      </c>
      <c r="S1713" t="str">
        <f t="shared" si="123"/>
        <v>Average</v>
      </c>
    </row>
    <row r="1714" spans="1:19" x14ac:dyDescent="0.25">
      <c r="A1714" t="s">
        <v>2136</v>
      </c>
      <c r="B1714">
        <v>25</v>
      </c>
      <c r="C1714" t="s">
        <v>16</v>
      </c>
      <c r="D1714" t="s">
        <v>2490</v>
      </c>
      <c r="E1714" t="s">
        <v>18</v>
      </c>
      <c r="F1714" t="s">
        <v>77</v>
      </c>
      <c r="G1714" t="s">
        <v>104</v>
      </c>
      <c r="H1714" t="str">
        <f>TEXT(walmart[[#This Row],[Purchase_Date]],"DDD")</f>
        <v>Sat</v>
      </c>
      <c r="I1714" t="str">
        <f>TEXT(walmart[[#This Row],[Purchase_Date]],"MMM")</f>
        <v>Mar</v>
      </c>
      <c r="J1714" t="str">
        <f>TEXT(walmart[[#This Row],[Purchase_Date]],"YYY")</f>
        <v>2025</v>
      </c>
      <c r="K1714" s="3">
        <v>116.78</v>
      </c>
      <c r="L1714" t="str">
        <f t="shared" si="120"/>
        <v>0% off</v>
      </c>
      <c r="N1714" t="str">
        <f t="shared" si="121"/>
        <v>No</v>
      </c>
      <c r="O1714" t="s">
        <v>21</v>
      </c>
      <c r="P1714" s="3">
        <f t="shared" si="122"/>
        <v>116.78</v>
      </c>
      <c r="Q1714" t="s">
        <v>35</v>
      </c>
      <c r="R1714">
        <v>2</v>
      </c>
      <c r="S1714" t="str">
        <f t="shared" si="123"/>
        <v>Poor</v>
      </c>
    </row>
    <row r="1715" spans="1:19" x14ac:dyDescent="0.25">
      <c r="A1715" t="s">
        <v>2137</v>
      </c>
      <c r="B1715">
        <v>36</v>
      </c>
      <c r="C1715" t="s">
        <v>29</v>
      </c>
      <c r="D1715" t="s">
        <v>2471</v>
      </c>
      <c r="E1715" t="s">
        <v>18</v>
      </c>
      <c r="F1715" t="s">
        <v>59</v>
      </c>
      <c r="G1715" t="s">
        <v>459</v>
      </c>
      <c r="H1715" t="str">
        <f>TEXT(walmart[[#This Row],[Purchase_Date]],"DDD")</f>
        <v>Tue</v>
      </c>
      <c r="I1715" t="str">
        <f>TEXT(walmart[[#This Row],[Purchase_Date]],"MMM")</f>
        <v>Aug</v>
      </c>
      <c r="J1715" t="str">
        <f>TEXT(walmart[[#This Row],[Purchase_Date]],"YYY")</f>
        <v>2024</v>
      </c>
      <c r="K1715" s="3">
        <v>78.349999999999994</v>
      </c>
      <c r="L1715" t="str">
        <f t="shared" si="120"/>
        <v>0% off</v>
      </c>
      <c r="N1715" t="str">
        <f t="shared" si="121"/>
        <v>No</v>
      </c>
      <c r="O1715" t="s">
        <v>21</v>
      </c>
      <c r="P1715" s="3">
        <f t="shared" si="122"/>
        <v>78.349999999999994</v>
      </c>
      <c r="Q1715" t="s">
        <v>47</v>
      </c>
      <c r="R1715">
        <v>1</v>
      </c>
      <c r="S1715" t="str">
        <f t="shared" si="123"/>
        <v>Very Poor</v>
      </c>
    </row>
    <row r="1716" spans="1:19" x14ac:dyDescent="0.25">
      <c r="A1716" t="s">
        <v>2138</v>
      </c>
      <c r="B1716">
        <v>61</v>
      </c>
      <c r="C1716" t="s">
        <v>16</v>
      </c>
      <c r="D1716" t="s">
        <v>2491</v>
      </c>
      <c r="E1716" t="s">
        <v>55</v>
      </c>
      <c r="F1716" t="s">
        <v>67</v>
      </c>
      <c r="G1716" t="s">
        <v>258</v>
      </c>
      <c r="H1716" t="str">
        <f>TEXT(walmart[[#This Row],[Purchase_Date]],"DDD")</f>
        <v>Fri</v>
      </c>
      <c r="I1716" t="str">
        <f>TEXT(walmart[[#This Row],[Purchase_Date]],"MMM")</f>
        <v>Oct</v>
      </c>
      <c r="J1716" t="str">
        <f>TEXT(walmart[[#This Row],[Purchase_Date]],"YYY")</f>
        <v>2024</v>
      </c>
      <c r="K1716" s="3">
        <v>452.97</v>
      </c>
      <c r="L1716" t="str">
        <f t="shared" si="120"/>
        <v>5% off</v>
      </c>
      <c r="N1716" t="str">
        <f t="shared" si="121"/>
        <v>Yes</v>
      </c>
      <c r="O1716" t="s">
        <v>21</v>
      </c>
      <c r="P1716" s="3">
        <f t="shared" si="122"/>
        <v>452.97</v>
      </c>
      <c r="Q1716" t="s">
        <v>27</v>
      </c>
      <c r="R1716">
        <v>4</v>
      </c>
      <c r="S1716" t="str">
        <f t="shared" si="123"/>
        <v>Good</v>
      </c>
    </row>
    <row r="1717" spans="1:19" x14ac:dyDescent="0.25">
      <c r="A1717" t="s">
        <v>2139</v>
      </c>
      <c r="B1717">
        <v>46</v>
      </c>
      <c r="C1717" t="s">
        <v>16</v>
      </c>
      <c r="D1717" t="s">
        <v>2492</v>
      </c>
      <c r="E1717" t="s">
        <v>31</v>
      </c>
      <c r="F1717" t="s">
        <v>112</v>
      </c>
      <c r="G1717" t="s">
        <v>126</v>
      </c>
      <c r="H1717" t="str">
        <f>TEXT(walmart[[#This Row],[Purchase_Date]],"DDD")</f>
        <v>Sat</v>
      </c>
      <c r="I1717" t="str">
        <f>TEXT(walmart[[#This Row],[Purchase_Date]],"MMM")</f>
        <v>Oct</v>
      </c>
      <c r="J1717" t="str">
        <f>TEXT(walmart[[#This Row],[Purchase_Date]],"YYY")</f>
        <v>2024</v>
      </c>
      <c r="K1717" s="3">
        <v>492.1</v>
      </c>
      <c r="L1717" t="str">
        <f t="shared" si="120"/>
        <v>5% off</v>
      </c>
      <c r="N1717" t="str">
        <f t="shared" si="121"/>
        <v>Yes</v>
      </c>
      <c r="O1717" t="s">
        <v>34</v>
      </c>
      <c r="P1717" s="3">
        <f t="shared" si="122"/>
        <v>492.1</v>
      </c>
      <c r="Q1717" t="s">
        <v>27</v>
      </c>
      <c r="R1717">
        <v>1</v>
      </c>
      <c r="S1717" t="str">
        <f t="shared" si="123"/>
        <v>Very Poor</v>
      </c>
    </row>
    <row r="1718" spans="1:19" x14ac:dyDescent="0.25">
      <c r="A1718" t="s">
        <v>2140</v>
      </c>
      <c r="B1718">
        <v>66</v>
      </c>
      <c r="C1718" t="s">
        <v>29</v>
      </c>
      <c r="D1718" t="s">
        <v>2493</v>
      </c>
      <c r="E1718" t="s">
        <v>55</v>
      </c>
      <c r="F1718" t="s">
        <v>100</v>
      </c>
      <c r="G1718" t="s">
        <v>502</v>
      </c>
      <c r="H1718" t="str">
        <f>TEXT(walmart[[#This Row],[Purchase_Date]],"DDD")</f>
        <v>Thu</v>
      </c>
      <c r="I1718" t="str">
        <f>TEXT(walmart[[#This Row],[Purchase_Date]],"MMM")</f>
        <v>Jul</v>
      </c>
      <c r="J1718" t="str">
        <f>TEXT(walmart[[#This Row],[Purchase_Date]],"YYY")</f>
        <v>2024</v>
      </c>
      <c r="K1718" s="3">
        <v>592.26</v>
      </c>
      <c r="L1718" t="str">
        <f t="shared" si="120"/>
        <v>10% off</v>
      </c>
      <c r="N1718" t="str">
        <f t="shared" si="121"/>
        <v>Yes</v>
      </c>
      <c r="O1718" t="s">
        <v>34</v>
      </c>
      <c r="P1718" s="3">
        <f t="shared" si="122"/>
        <v>592.26</v>
      </c>
      <c r="Q1718" t="s">
        <v>27</v>
      </c>
      <c r="R1718">
        <v>5</v>
      </c>
      <c r="S1718" t="str">
        <f t="shared" si="123"/>
        <v>Excellent</v>
      </c>
    </row>
    <row r="1719" spans="1:19" x14ac:dyDescent="0.25">
      <c r="A1719" t="s">
        <v>2141</v>
      </c>
      <c r="B1719">
        <v>35</v>
      </c>
      <c r="C1719" t="s">
        <v>29</v>
      </c>
      <c r="D1719" t="s">
        <v>2494</v>
      </c>
      <c r="E1719" t="s">
        <v>55</v>
      </c>
      <c r="F1719" t="s">
        <v>64</v>
      </c>
      <c r="G1719" t="s">
        <v>369</v>
      </c>
      <c r="H1719" t="str">
        <f>TEXT(walmart[[#This Row],[Purchase_Date]],"DDD")</f>
        <v>Fri</v>
      </c>
      <c r="I1719" t="str">
        <f>TEXT(walmart[[#This Row],[Purchase_Date]],"MMM")</f>
        <v>Aug</v>
      </c>
      <c r="J1719" t="str">
        <f>TEXT(walmart[[#This Row],[Purchase_Date]],"YYY")</f>
        <v>2024</v>
      </c>
      <c r="K1719" s="3">
        <v>374.92</v>
      </c>
      <c r="L1719" t="str">
        <f t="shared" si="120"/>
        <v>5% off</v>
      </c>
      <c r="N1719" t="str">
        <f t="shared" si="121"/>
        <v>Yes</v>
      </c>
      <c r="O1719" t="s">
        <v>21</v>
      </c>
      <c r="P1719" s="3">
        <f t="shared" si="122"/>
        <v>374.92</v>
      </c>
      <c r="Q1719" t="s">
        <v>22</v>
      </c>
      <c r="R1719">
        <v>5</v>
      </c>
      <c r="S1719" t="str">
        <f t="shared" si="123"/>
        <v>Excellent</v>
      </c>
    </row>
    <row r="1720" spans="1:19" x14ac:dyDescent="0.25">
      <c r="A1720" t="s">
        <v>2142</v>
      </c>
      <c r="B1720">
        <v>41</v>
      </c>
      <c r="C1720" t="s">
        <v>16</v>
      </c>
      <c r="D1720" t="s">
        <v>2495</v>
      </c>
      <c r="E1720" t="s">
        <v>42</v>
      </c>
      <c r="F1720" t="s">
        <v>103</v>
      </c>
      <c r="G1720" t="s">
        <v>89</v>
      </c>
      <c r="H1720" t="str">
        <f>TEXT(walmart[[#This Row],[Purchase_Date]],"DDD")</f>
        <v>Wed</v>
      </c>
      <c r="I1720" t="str">
        <f>TEXT(walmart[[#This Row],[Purchase_Date]],"MMM")</f>
        <v>Jun</v>
      </c>
      <c r="J1720" t="str">
        <f>TEXT(walmart[[#This Row],[Purchase_Date]],"YYY")</f>
        <v>2024</v>
      </c>
      <c r="K1720" s="3">
        <v>315.56</v>
      </c>
      <c r="L1720" t="str">
        <f t="shared" si="120"/>
        <v>5% off</v>
      </c>
      <c r="N1720" t="str">
        <f t="shared" si="121"/>
        <v>Yes</v>
      </c>
      <c r="O1720" t="s">
        <v>34</v>
      </c>
      <c r="P1720" s="3">
        <f t="shared" si="122"/>
        <v>315.56</v>
      </c>
      <c r="Q1720" t="s">
        <v>27</v>
      </c>
      <c r="R1720">
        <v>3</v>
      </c>
      <c r="S1720" t="str">
        <f t="shared" si="123"/>
        <v>Average</v>
      </c>
    </row>
    <row r="1721" spans="1:19" x14ac:dyDescent="0.25">
      <c r="A1721" t="s">
        <v>2143</v>
      </c>
      <c r="B1721">
        <v>40</v>
      </c>
      <c r="C1721" t="s">
        <v>16</v>
      </c>
      <c r="D1721" t="s">
        <v>2496</v>
      </c>
      <c r="E1721" t="s">
        <v>55</v>
      </c>
      <c r="F1721" t="s">
        <v>100</v>
      </c>
      <c r="G1721" t="s">
        <v>609</v>
      </c>
      <c r="H1721" t="str">
        <f>TEXT(walmart[[#This Row],[Purchase_Date]],"DDD")</f>
        <v>Sat</v>
      </c>
      <c r="I1721" t="str">
        <f>TEXT(walmart[[#This Row],[Purchase_Date]],"MMM")</f>
        <v>Sep</v>
      </c>
      <c r="J1721" t="str">
        <f>TEXT(walmart[[#This Row],[Purchase_Date]],"YYY")</f>
        <v>2024</v>
      </c>
      <c r="K1721" s="3">
        <v>592.26</v>
      </c>
      <c r="L1721" t="str">
        <f t="shared" si="120"/>
        <v>10% off</v>
      </c>
      <c r="N1721" t="str">
        <f t="shared" si="121"/>
        <v>Yes</v>
      </c>
      <c r="O1721" t="s">
        <v>34</v>
      </c>
      <c r="P1721" s="3">
        <f t="shared" si="122"/>
        <v>592.26</v>
      </c>
      <c r="Q1721" t="s">
        <v>35</v>
      </c>
      <c r="R1721">
        <v>2</v>
      </c>
      <c r="S1721" t="str">
        <f t="shared" si="123"/>
        <v>Poor</v>
      </c>
    </row>
    <row r="1722" spans="1:19" x14ac:dyDescent="0.25">
      <c r="A1722" t="s">
        <v>2144</v>
      </c>
      <c r="B1722">
        <v>62</v>
      </c>
      <c r="C1722" t="s">
        <v>16</v>
      </c>
      <c r="D1722" t="s">
        <v>2497</v>
      </c>
      <c r="E1722" t="s">
        <v>55</v>
      </c>
      <c r="F1722" t="s">
        <v>64</v>
      </c>
      <c r="G1722" t="s">
        <v>1283</v>
      </c>
      <c r="H1722" t="str">
        <f>TEXT(walmart[[#This Row],[Purchase_Date]],"DDD")</f>
        <v>Wed</v>
      </c>
      <c r="I1722" t="str">
        <f>TEXT(walmart[[#This Row],[Purchase_Date]],"MMM")</f>
        <v>Nov</v>
      </c>
      <c r="J1722" t="str">
        <f>TEXT(walmart[[#This Row],[Purchase_Date]],"YYY")</f>
        <v>2024</v>
      </c>
      <c r="K1722" s="3">
        <v>374.92</v>
      </c>
      <c r="L1722" t="str">
        <f t="shared" si="120"/>
        <v>5% off</v>
      </c>
      <c r="N1722" t="str">
        <f t="shared" si="121"/>
        <v>Yes</v>
      </c>
      <c r="O1722" t="s">
        <v>34</v>
      </c>
      <c r="P1722" s="3">
        <f t="shared" si="122"/>
        <v>374.92</v>
      </c>
      <c r="Q1722" t="s">
        <v>22</v>
      </c>
      <c r="R1722">
        <v>2</v>
      </c>
      <c r="S1722" t="str">
        <f t="shared" si="123"/>
        <v>Poor</v>
      </c>
    </row>
    <row r="1723" spans="1:19" x14ac:dyDescent="0.25">
      <c r="A1723" t="s">
        <v>2145</v>
      </c>
      <c r="B1723">
        <v>56</v>
      </c>
      <c r="C1723" t="s">
        <v>16</v>
      </c>
      <c r="D1723" t="s">
        <v>2498</v>
      </c>
      <c r="E1723" t="s">
        <v>24</v>
      </c>
      <c r="F1723" t="s">
        <v>25</v>
      </c>
      <c r="G1723" t="s">
        <v>258</v>
      </c>
      <c r="H1723" t="str">
        <f>TEXT(walmart[[#This Row],[Purchase_Date]],"DDD")</f>
        <v>Fri</v>
      </c>
      <c r="I1723" t="str">
        <f>TEXT(walmart[[#This Row],[Purchase_Date]],"MMM")</f>
        <v>Oct</v>
      </c>
      <c r="J1723" t="str">
        <f>TEXT(walmart[[#This Row],[Purchase_Date]],"YYY")</f>
        <v>2024</v>
      </c>
      <c r="K1723" s="3">
        <v>67.040000000000006</v>
      </c>
      <c r="L1723" t="str">
        <f t="shared" si="120"/>
        <v>0% off</v>
      </c>
      <c r="N1723" t="str">
        <f t="shared" si="121"/>
        <v>No</v>
      </c>
      <c r="O1723" t="s">
        <v>21</v>
      </c>
      <c r="P1723" s="3">
        <f t="shared" si="122"/>
        <v>67.040000000000006</v>
      </c>
      <c r="Q1723" t="s">
        <v>27</v>
      </c>
      <c r="R1723">
        <v>2</v>
      </c>
      <c r="S1723" t="str">
        <f t="shared" si="123"/>
        <v>Poor</v>
      </c>
    </row>
    <row r="1724" spans="1:19" x14ac:dyDescent="0.25">
      <c r="A1724" t="s">
        <v>2146</v>
      </c>
      <c r="B1724">
        <v>31</v>
      </c>
      <c r="C1724" t="s">
        <v>29</v>
      </c>
      <c r="D1724" t="s">
        <v>2499</v>
      </c>
      <c r="E1724" t="s">
        <v>55</v>
      </c>
      <c r="F1724" t="s">
        <v>100</v>
      </c>
      <c r="G1724" t="s">
        <v>199</v>
      </c>
      <c r="H1724" t="str">
        <f>TEXT(walmart[[#This Row],[Purchase_Date]],"DDD")</f>
        <v>Sun</v>
      </c>
      <c r="I1724" t="str">
        <f>TEXT(walmart[[#This Row],[Purchase_Date]],"MMM")</f>
        <v>May</v>
      </c>
      <c r="J1724" t="str">
        <f>TEXT(walmart[[#This Row],[Purchase_Date]],"YYY")</f>
        <v>2024</v>
      </c>
      <c r="K1724" s="3">
        <v>592.26</v>
      </c>
      <c r="L1724" t="str">
        <f t="shared" si="120"/>
        <v>10% off</v>
      </c>
      <c r="N1724" t="str">
        <f t="shared" si="121"/>
        <v>Yes</v>
      </c>
      <c r="O1724" t="s">
        <v>21</v>
      </c>
      <c r="P1724" s="3">
        <f t="shared" si="122"/>
        <v>592.26</v>
      </c>
      <c r="Q1724" t="s">
        <v>27</v>
      </c>
      <c r="R1724">
        <v>3</v>
      </c>
      <c r="S1724" t="str">
        <f t="shared" si="123"/>
        <v>Average</v>
      </c>
    </row>
    <row r="1725" spans="1:19" x14ac:dyDescent="0.25">
      <c r="A1725" t="s">
        <v>2147</v>
      </c>
      <c r="B1725">
        <v>33</v>
      </c>
      <c r="C1725" t="s">
        <v>16</v>
      </c>
      <c r="D1725" t="s">
        <v>2500</v>
      </c>
      <c r="E1725" t="s">
        <v>42</v>
      </c>
      <c r="F1725" t="s">
        <v>103</v>
      </c>
      <c r="G1725" t="s">
        <v>594</v>
      </c>
      <c r="H1725" t="str">
        <f>TEXT(walmart[[#This Row],[Purchase_Date]],"DDD")</f>
        <v>Thu</v>
      </c>
      <c r="I1725" t="str">
        <f>TEXT(walmart[[#This Row],[Purchase_Date]],"MMM")</f>
        <v>Nov</v>
      </c>
      <c r="J1725" t="str">
        <f>TEXT(walmart[[#This Row],[Purchase_Date]],"YYY")</f>
        <v>2024</v>
      </c>
      <c r="K1725" s="3">
        <v>315.56</v>
      </c>
      <c r="L1725" t="str">
        <f t="shared" si="120"/>
        <v>5% off</v>
      </c>
      <c r="N1725" t="str">
        <f t="shared" si="121"/>
        <v>Yes</v>
      </c>
      <c r="O1725" t="s">
        <v>34</v>
      </c>
      <c r="P1725" s="3">
        <f t="shared" si="122"/>
        <v>315.56</v>
      </c>
      <c r="Q1725" t="s">
        <v>47</v>
      </c>
      <c r="R1725">
        <v>5</v>
      </c>
      <c r="S1725" t="str">
        <f t="shared" si="123"/>
        <v>Excellent</v>
      </c>
    </row>
    <row r="1726" spans="1:19" x14ac:dyDescent="0.25">
      <c r="A1726" t="s">
        <v>2148</v>
      </c>
      <c r="B1726">
        <v>21</v>
      </c>
      <c r="C1726" t="s">
        <v>16</v>
      </c>
      <c r="D1726" t="s">
        <v>2501</v>
      </c>
      <c r="E1726" t="s">
        <v>73</v>
      </c>
      <c r="F1726" t="s">
        <v>91</v>
      </c>
      <c r="G1726" t="s">
        <v>1131</v>
      </c>
      <c r="H1726" t="str">
        <f>TEXT(walmart[[#This Row],[Purchase_Date]],"DDD")</f>
        <v>Sat</v>
      </c>
      <c r="I1726" t="str">
        <f>TEXT(walmart[[#This Row],[Purchase_Date]],"MMM")</f>
        <v>Jan</v>
      </c>
      <c r="J1726" t="str">
        <f>TEXT(walmart[[#This Row],[Purchase_Date]],"YYY")</f>
        <v>2025</v>
      </c>
      <c r="K1726" s="3">
        <v>418.55</v>
      </c>
      <c r="L1726" t="str">
        <f t="shared" si="120"/>
        <v>5% off</v>
      </c>
      <c r="N1726" t="str">
        <f t="shared" si="121"/>
        <v>Yes</v>
      </c>
      <c r="O1726" t="s">
        <v>21</v>
      </c>
      <c r="P1726" s="3">
        <f t="shared" si="122"/>
        <v>418.55</v>
      </c>
      <c r="Q1726" t="s">
        <v>47</v>
      </c>
      <c r="R1726">
        <v>4</v>
      </c>
      <c r="S1726" t="str">
        <f t="shared" si="123"/>
        <v>Good</v>
      </c>
    </row>
    <row r="1727" spans="1:19" x14ac:dyDescent="0.25">
      <c r="A1727" t="s">
        <v>2149</v>
      </c>
      <c r="B1727">
        <v>63</v>
      </c>
      <c r="C1727" t="s">
        <v>29</v>
      </c>
      <c r="D1727" t="s">
        <v>2502</v>
      </c>
      <c r="E1727" t="s">
        <v>55</v>
      </c>
      <c r="F1727" t="s">
        <v>64</v>
      </c>
      <c r="G1727" t="s">
        <v>285</v>
      </c>
      <c r="H1727" t="str">
        <f>TEXT(walmart[[#This Row],[Purchase_Date]],"DDD")</f>
        <v>Sun</v>
      </c>
      <c r="I1727" t="str">
        <f>TEXT(walmart[[#This Row],[Purchase_Date]],"MMM")</f>
        <v>Feb</v>
      </c>
      <c r="J1727" t="str">
        <f>TEXT(walmart[[#This Row],[Purchase_Date]],"YYY")</f>
        <v>2025</v>
      </c>
      <c r="K1727" s="3">
        <v>374.92</v>
      </c>
      <c r="L1727" t="str">
        <f t="shared" si="120"/>
        <v>5% off</v>
      </c>
      <c r="N1727" t="str">
        <f t="shared" si="121"/>
        <v>Yes</v>
      </c>
      <c r="O1727" t="s">
        <v>21</v>
      </c>
      <c r="P1727" s="3">
        <f t="shared" si="122"/>
        <v>374.92</v>
      </c>
      <c r="Q1727" t="s">
        <v>47</v>
      </c>
      <c r="R1727">
        <v>5</v>
      </c>
      <c r="S1727" t="str">
        <f t="shared" si="123"/>
        <v>Excellent</v>
      </c>
    </row>
    <row r="1728" spans="1:19" x14ac:dyDescent="0.25">
      <c r="A1728" t="s">
        <v>2150</v>
      </c>
      <c r="B1728">
        <v>18</v>
      </c>
      <c r="C1728" t="s">
        <v>16</v>
      </c>
      <c r="D1728" t="s">
        <v>2503</v>
      </c>
      <c r="E1728" t="s">
        <v>73</v>
      </c>
      <c r="F1728" t="s">
        <v>74</v>
      </c>
      <c r="G1728" t="s">
        <v>600</v>
      </c>
      <c r="H1728" t="str">
        <f>TEXT(walmart[[#This Row],[Purchase_Date]],"DDD")</f>
        <v>Sun</v>
      </c>
      <c r="I1728" t="str">
        <f>TEXT(walmart[[#This Row],[Purchase_Date]],"MMM")</f>
        <v>Dec</v>
      </c>
      <c r="J1728" t="str">
        <f>TEXT(walmart[[#This Row],[Purchase_Date]],"YYY")</f>
        <v>2024</v>
      </c>
      <c r="K1728" s="3">
        <v>782.29</v>
      </c>
      <c r="L1728" t="str">
        <f t="shared" si="120"/>
        <v>15% off</v>
      </c>
      <c r="N1728" t="str">
        <f t="shared" si="121"/>
        <v>Yes</v>
      </c>
      <c r="O1728" t="s">
        <v>21</v>
      </c>
      <c r="P1728" s="3">
        <f t="shared" si="122"/>
        <v>782.29</v>
      </c>
      <c r="Q1728" t="s">
        <v>22</v>
      </c>
      <c r="R1728">
        <v>3</v>
      </c>
      <c r="S1728" t="str">
        <f t="shared" si="123"/>
        <v>Average</v>
      </c>
    </row>
    <row r="1729" spans="1:19" x14ac:dyDescent="0.25">
      <c r="A1729" t="s">
        <v>2151</v>
      </c>
      <c r="B1729">
        <v>37</v>
      </c>
      <c r="C1729" t="s">
        <v>16</v>
      </c>
      <c r="D1729" t="s">
        <v>2504</v>
      </c>
      <c r="E1729" t="s">
        <v>24</v>
      </c>
      <c r="F1729" t="s">
        <v>25</v>
      </c>
      <c r="G1729" t="s">
        <v>1001</v>
      </c>
      <c r="H1729" t="str">
        <f>TEXT(walmart[[#This Row],[Purchase_Date]],"DDD")</f>
        <v>Thu</v>
      </c>
      <c r="I1729" t="str">
        <f>TEXT(walmart[[#This Row],[Purchase_Date]],"MMM")</f>
        <v>Aug</v>
      </c>
      <c r="J1729" t="str">
        <f>TEXT(walmart[[#This Row],[Purchase_Date]],"YYY")</f>
        <v>2024</v>
      </c>
      <c r="K1729" s="3">
        <v>67.040000000000006</v>
      </c>
      <c r="L1729" t="str">
        <f t="shared" si="120"/>
        <v>0% off</v>
      </c>
      <c r="N1729" t="str">
        <f t="shared" si="121"/>
        <v>No</v>
      </c>
      <c r="O1729" t="s">
        <v>34</v>
      </c>
      <c r="P1729" s="3">
        <f t="shared" si="122"/>
        <v>67.040000000000006</v>
      </c>
      <c r="Q1729" t="s">
        <v>22</v>
      </c>
      <c r="R1729">
        <v>4</v>
      </c>
      <c r="S1729" t="str">
        <f t="shared" si="123"/>
        <v>Good</v>
      </c>
    </row>
    <row r="1730" spans="1:19" x14ac:dyDescent="0.25">
      <c r="A1730" t="s">
        <v>2152</v>
      </c>
      <c r="B1730">
        <v>21</v>
      </c>
      <c r="C1730" t="s">
        <v>29</v>
      </c>
      <c r="D1730" t="s">
        <v>2505</v>
      </c>
      <c r="E1730" t="s">
        <v>73</v>
      </c>
      <c r="F1730" t="s">
        <v>74</v>
      </c>
      <c r="G1730" t="s">
        <v>1478</v>
      </c>
      <c r="H1730" t="str">
        <f>TEXT(walmart[[#This Row],[Purchase_Date]],"DDD")</f>
        <v>Mon</v>
      </c>
      <c r="I1730" t="str">
        <f>TEXT(walmart[[#This Row],[Purchase_Date]],"MMM")</f>
        <v>Sep</v>
      </c>
      <c r="J1730" t="str">
        <f>TEXT(walmart[[#This Row],[Purchase_Date]],"YYY")</f>
        <v>2024</v>
      </c>
      <c r="K1730" s="3">
        <v>782.29</v>
      </c>
      <c r="L1730" t="str">
        <f t="shared" si="120"/>
        <v>15% off</v>
      </c>
      <c r="N1730" t="str">
        <f t="shared" si="121"/>
        <v>Yes</v>
      </c>
      <c r="O1730" t="s">
        <v>34</v>
      </c>
      <c r="P1730" s="3">
        <f t="shared" si="122"/>
        <v>782.29</v>
      </c>
      <c r="Q1730" t="s">
        <v>35</v>
      </c>
      <c r="R1730">
        <v>2</v>
      </c>
      <c r="S1730" t="str">
        <f t="shared" si="123"/>
        <v>Poor</v>
      </c>
    </row>
    <row r="1731" spans="1:19" x14ac:dyDescent="0.25">
      <c r="A1731" t="s">
        <v>2153</v>
      </c>
      <c r="B1731">
        <v>58</v>
      </c>
      <c r="C1731" t="s">
        <v>29</v>
      </c>
      <c r="D1731" t="s">
        <v>2506</v>
      </c>
      <c r="E1731" t="s">
        <v>24</v>
      </c>
      <c r="F1731" t="s">
        <v>186</v>
      </c>
      <c r="G1731" t="s">
        <v>306</v>
      </c>
      <c r="H1731" t="str">
        <f>TEXT(walmart[[#This Row],[Purchase_Date]],"DDD")</f>
        <v>Sat</v>
      </c>
      <c r="I1731" t="str">
        <f>TEXT(walmart[[#This Row],[Purchase_Date]],"MMM")</f>
        <v>Dec</v>
      </c>
      <c r="J1731" t="str">
        <f>TEXT(walmart[[#This Row],[Purchase_Date]],"YYY")</f>
        <v>2024</v>
      </c>
      <c r="K1731" s="3">
        <v>527.16999999999996</v>
      </c>
      <c r="L1731" t="str">
        <f t="shared" ref="L1731:L1794" si="124">IF(K1731&lt;150,"0% off",IF(K1731&lt;500,"5% off",IF(K1731&lt;700,"10% off",IF(K1731&lt;900,"15% off","20% off"))))</f>
        <v>10% off</v>
      </c>
      <c r="N1731" t="str">
        <f t="shared" ref="N1731:N1794" si="125">IF(L1731="0% off", "No", "Yes")</f>
        <v>Yes</v>
      </c>
      <c r="O1731" t="s">
        <v>34</v>
      </c>
      <c r="P1731" s="3">
        <f t="shared" ref="P1731:P1794" si="126">K1731-M1731</f>
        <v>527.16999999999996</v>
      </c>
      <c r="Q1731" t="s">
        <v>35</v>
      </c>
      <c r="R1731">
        <v>3</v>
      </c>
      <c r="S1731" t="str">
        <f t="shared" ref="S1731:S1794" si="127">IF(R1731=5, "Excellent", IF(R1731=4, "Good", IF(R1731=3, "Average", IF(R1731=2, "Poor", IF(R1731=1, "Very Poor", "Invalid Rating")))))</f>
        <v>Average</v>
      </c>
    </row>
    <row r="1732" spans="1:19" x14ac:dyDescent="0.25">
      <c r="A1732" t="s">
        <v>2154</v>
      </c>
      <c r="B1732">
        <v>44</v>
      </c>
      <c r="C1732" t="s">
        <v>29</v>
      </c>
      <c r="D1732" t="s">
        <v>2507</v>
      </c>
      <c r="E1732" t="s">
        <v>42</v>
      </c>
      <c r="F1732" t="s">
        <v>120</v>
      </c>
      <c r="G1732" t="s">
        <v>113</v>
      </c>
      <c r="H1732" t="str">
        <f>TEXT(walmart[[#This Row],[Purchase_Date]],"DDD")</f>
        <v>Wed</v>
      </c>
      <c r="I1732" t="str">
        <f>TEXT(walmart[[#This Row],[Purchase_Date]],"MMM")</f>
        <v>Nov</v>
      </c>
      <c r="J1732" t="str">
        <f>TEXT(walmart[[#This Row],[Purchase_Date]],"YYY")</f>
        <v>2024</v>
      </c>
      <c r="K1732" s="3">
        <v>260.77999999999997</v>
      </c>
      <c r="L1732" t="str">
        <f t="shared" si="124"/>
        <v>5% off</v>
      </c>
      <c r="N1732" t="str">
        <f t="shared" si="125"/>
        <v>Yes</v>
      </c>
      <c r="O1732" t="s">
        <v>21</v>
      </c>
      <c r="P1732" s="3">
        <f t="shared" si="126"/>
        <v>260.77999999999997</v>
      </c>
      <c r="Q1732" t="s">
        <v>35</v>
      </c>
      <c r="R1732">
        <v>1</v>
      </c>
      <c r="S1732" t="str">
        <f t="shared" si="127"/>
        <v>Very Poor</v>
      </c>
    </row>
    <row r="1733" spans="1:19" x14ac:dyDescent="0.25">
      <c r="A1733" t="s">
        <v>2155</v>
      </c>
      <c r="B1733">
        <v>60</v>
      </c>
      <c r="C1733" t="s">
        <v>16</v>
      </c>
      <c r="D1733" t="s">
        <v>2508</v>
      </c>
      <c r="E1733" t="s">
        <v>24</v>
      </c>
      <c r="F1733" t="s">
        <v>209</v>
      </c>
      <c r="G1733" t="s">
        <v>193</v>
      </c>
      <c r="H1733" t="str">
        <f>TEXT(walmart[[#This Row],[Purchase_Date]],"DDD")</f>
        <v>Thu</v>
      </c>
      <c r="I1733" t="str">
        <f>TEXT(walmart[[#This Row],[Purchase_Date]],"MMM")</f>
        <v>May</v>
      </c>
      <c r="J1733" t="str">
        <f>TEXT(walmart[[#This Row],[Purchase_Date]],"YYY")</f>
        <v>2024</v>
      </c>
      <c r="K1733" s="3">
        <v>775.75</v>
      </c>
      <c r="L1733" t="str">
        <f t="shared" si="124"/>
        <v>15% off</v>
      </c>
      <c r="N1733" t="str">
        <f t="shared" si="125"/>
        <v>Yes</v>
      </c>
      <c r="O1733" t="s">
        <v>34</v>
      </c>
      <c r="P1733" s="3">
        <f t="shared" si="126"/>
        <v>775.75</v>
      </c>
      <c r="Q1733" t="s">
        <v>27</v>
      </c>
      <c r="R1733">
        <v>1</v>
      </c>
      <c r="S1733" t="str">
        <f t="shared" si="127"/>
        <v>Very Poor</v>
      </c>
    </row>
    <row r="1734" spans="1:19" x14ac:dyDescent="0.25">
      <c r="A1734" t="s">
        <v>2156</v>
      </c>
      <c r="B1734">
        <v>32</v>
      </c>
      <c r="C1734" t="s">
        <v>16</v>
      </c>
      <c r="D1734" t="s">
        <v>2509</v>
      </c>
      <c r="E1734" t="s">
        <v>55</v>
      </c>
      <c r="F1734" t="s">
        <v>56</v>
      </c>
      <c r="G1734" t="s">
        <v>153</v>
      </c>
      <c r="H1734" t="str">
        <f>TEXT(walmart[[#This Row],[Purchase_Date]],"DDD")</f>
        <v>Thu</v>
      </c>
      <c r="I1734" t="str">
        <f>TEXT(walmart[[#This Row],[Purchase_Date]],"MMM")</f>
        <v>Dec</v>
      </c>
      <c r="J1734" t="str">
        <f>TEXT(walmart[[#This Row],[Purchase_Date]],"YYY")</f>
        <v>2024</v>
      </c>
      <c r="K1734" s="3">
        <v>76.81</v>
      </c>
      <c r="L1734" t="str">
        <f t="shared" si="124"/>
        <v>0% off</v>
      </c>
      <c r="N1734" t="str">
        <f t="shared" si="125"/>
        <v>No</v>
      </c>
      <c r="O1734" t="s">
        <v>21</v>
      </c>
      <c r="P1734" s="3">
        <f t="shared" si="126"/>
        <v>76.81</v>
      </c>
      <c r="Q1734" t="s">
        <v>27</v>
      </c>
      <c r="R1734">
        <v>2</v>
      </c>
      <c r="S1734" t="str">
        <f t="shared" si="127"/>
        <v>Poor</v>
      </c>
    </row>
    <row r="1735" spans="1:19" x14ac:dyDescent="0.25">
      <c r="A1735" t="s">
        <v>2157</v>
      </c>
      <c r="B1735">
        <v>51</v>
      </c>
      <c r="C1735" t="s">
        <v>29</v>
      </c>
      <c r="D1735" t="s">
        <v>2510</v>
      </c>
      <c r="E1735" t="s">
        <v>24</v>
      </c>
      <c r="F1735" t="s">
        <v>209</v>
      </c>
      <c r="G1735" t="s">
        <v>463</v>
      </c>
      <c r="H1735" t="str">
        <f>TEXT(walmart[[#This Row],[Purchase_Date]],"DDD")</f>
        <v>Mon</v>
      </c>
      <c r="I1735" t="str">
        <f>TEXT(walmart[[#This Row],[Purchase_Date]],"MMM")</f>
        <v>Mar</v>
      </c>
      <c r="J1735" t="str">
        <f>TEXT(walmart[[#This Row],[Purchase_Date]],"YYY")</f>
        <v>2025</v>
      </c>
      <c r="K1735" s="3">
        <v>775.75</v>
      </c>
      <c r="L1735" t="str">
        <f t="shared" si="124"/>
        <v>15% off</v>
      </c>
      <c r="N1735" t="str">
        <f t="shared" si="125"/>
        <v>Yes</v>
      </c>
      <c r="O1735" t="s">
        <v>34</v>
      </c>
      <c r="P1735" s="3">
        <f t="shared" si="126"/>
        <v>775.75</v>
      </c>
      <c r="Q1735" t="s">
        <v>35</v>
      </c>
      <c r="R1735">
        <v>4</v>
      </c>
      <c r="S1735" t="str">
        <f t="shared" si="127"/>
        <v>Good</v>
      </c>
    </row>
    <row r="1736" spans="1:19" x14ac:dyDescent="0.25">
      <c r="A1736" t="s">
        <v>2158</v>
      </c>
      <c r="B1736">
        <v>63</v>
      </c>
      <c r="C1736" t="s">
        <v>16</v>
      </c>
      <c r="D1736" t="s">
        <v>2511</v>
      </c>
      <c r="E1736" t="s">
        <v>37</v>
      </c>
      <c r="F1736" t="s">
        <v>117</v>
      </c>
      <c r="G1736" t="s">
        <v>981</v>
      </c>
      <c r="H1736" t="str">
        <f>TEXT(walmart[[#This Row],[Purchase_Date]],"DDD")</f>
        <v>Sat</v>
      </c>
      <c r="I1736" t="str">
        <f>TEXT(walmart[[#This Row],[Purchase_Date]],"MMM")</f>
        <v>Mar</v>
      </c>
      <c r="J1736" t="str">
        <f>TEXT(walmart[[#This Row],[Purchase_Date]],"YYY")</f>
        <v>2025</v>
      </c>
      <c r="K1736" s="3">
        <v>165.68</v>
      </c>
      <c r="L1736" t="str">
        <f t="shared" si="124"/>
        <v>5% off</v>
      </c>
      <c r="N1736" t="str">
        <f t="shared" si="125"/>
        <v>Yes</v>
      </c>
      <c r="O1736" t="s">
        <v>34</v>
      </c>
      <c r="P1736" s="3">
        <f t="shared" si="126"/>
        <v>165.68</v>
      </c>
      <c r="Q1736" t="s">
        <v>35</v>
      </c>
      <c r="R1736">
        <v>5</v>
      </c>
      <c r="S1736" t="str">
        <f t="shared" si="127"/>
        <v>Excellent</v>
      </c>
    </row>
    <row r="1737" spans="1:19" x14ac:dyDescent="0.25">
      <c r="A1737" t="s">
        <v>2159</v>
      </c>
      <c r="B1737">
        <v>70</v>
      </c>
      <c r="C1737" t="s">
        <v>29</v>
      </c>
      <c r="D1737" t="s">
        <v>2512</v>
      </c>
      <c r="E1737" t="s">
        <v>37</v>
      </c>
      <c r="F1737" t="s">
        <v>117</v>
      </c>
      <c r="G1737" t="s">
        <v>952</v>
      </c>
      <c r="H1737" t="str">
        <f>TEXT(walmart[[#This Row],[Purchase_Date]],"DDD")</f>
        <v>Sun</v>
      </c>
      <c r="I1737" t="str">
        <f>TEXT(walmart[[#This Row],[Purchase_Date]],"MMM")</f>
        <v>Sep</v>
      </c>
      <c r="J1737" t="str">
        <f>TEXT(walmart[[#This Row],[Purchase_Date]],"YYY")</f>
        <v>2024</v>
      </c>
      <c r="K1737" s="3">
        <v>165.68</v>
      </c>
      <c r="L1737" t="str">
        <f t="shared" si="124"/>
        <v>5% off</v>
      </c>
      <c r="N1737" t="str">
        <f t="shared" si="125"/>
        <v>Yes</v>
      </c>
      <c r="O1737" t="s">
        <v>34</v>
      </c>
      <c r="P1737" s="3">
        <f t="shared" si="126"/>
        <v>165.68</v>
      </c>
      <c r="Q1737" t="s">
        <v>22</v>
      </c>
      <c r="R1737">
        <v>5</v>
      </c>
      <c r="S1737" t="str">
        <f t="shared" si="127"/>
        <v>Excellent</v>
      </c>
    </row>
    <row r="1738" spans="1:19" x14ac:dyDescent="0.25">
      <c r="A1738" t="s">
        <v>2160</v>
      </c>
      <c r="B1738">
        <v>64</v>
      </c>
      <c r="C1738" t="s">
        <v>29</v>
      </c>
      <c r="D1738" t="s">
        <v>2513</v>
      </c>
      <c r="E1738" t="s">
        <v>31</v>
      </c>
      <c r="F1738" t="s">
        <v>300</v>
      </c>
      <c r="G1738" t="s">
        <v>1514</v>
      </c>
      <c r="H1738" t="str">
        <f>TEXT(walmart[[#This Row],[Purchase_Date]],"DDD")</f>
        <v>Thu</v>
      </c>
      <c r="I1738" t="str">
        <f>TEXT(walmart[[#This Row],[Purchase_Date]],"MMM")</f>
        <v>Aug</v>
      </c>
      <c r="J1738" t="str">
        <f>TEXT(walmart[[#This Row],[Purchase_Date]],"YYY")</f>
        <v>2024</v>
      </c>
      <c r="K1738" s="3">
        <v>340.04</v>
      </c>
      <c r="L1738" t="str">
        <f t="shared" si="124"/>
        <v>5% off</v>
      </c>
      <c r="N1738" t="str">
        <f t="shared" si="125"/>
        <v>Yes</v>
      </c>
      <c r="O1738" t="s">
        <v>34</v>
      </c>
      <c r="P1738" s="3">
        <f t="shared" si="126"/>
        <v>340.04</v>
      </c>
      <c r="Q1738" t="s">
        <v>47</v>
      </c>
      <c r="R1738">
        <v>2</v>
      </c>
      <c r="S1738" t="str">
        <f t="shared" si="127"/>
        <v>Poor</v>
      </c>
    </row>
    <row r="1739" spans="1:19" x14ac:dyDescent="0.25">
      <c r="A1739" t="s">
        <v>2161</v>
      </c>
      <c r="B1739">
        <v>59</v>
      </c>
      <c r="C1739" t="s">
        <v>16</v>
      </c>
      <c r="D1739" t="s">
        <v>2514</v>
      </c>
      <c r="E1739" t="s">
        <v>37</v>
      </c>
      <c r="F1739" t="s">
        <v>117</v>
      </c>
      <c r="G1739" t="s">
        <v>981</v>
      </c>
      <c r="H1739" t="str">
        <f>TEXT(walmart[[#This Row],[Purchase_Date]],"DDD")</f>
        <v>Sat</v>
      </c>
      <c r="I1739" t="str">
        <f>TEXT(walmart[[#This Row],[Purchase_Date]],"MMM")</f>
        <v>Mar</v>
      </c>
      <c r="J1739" t="str">
        <f>TEXT(walmart[[#This Row],[Purchase_Date]],"YYY")</f>
        <v>2025</v>
      </c>
      <c r="K1739" s="3">
        <v>165.68</v>
      </c>
      <c r="L1739" t="str">
        <f t="shared" si="124"/>
        <v>5% off</v>
      </c>
      <c r="N1739" t="str">
        <f t="shared" si="125"/>
        <v>Yes</v>
      </c>
      <c r="O1739" t="s">
        <v>21</v>
      </c>
      <c r="P1739" s="3">
        <f t="shared" si="126"/>
        <v>165.68</v>
      </c>
      <c r="Q1739" t="s">
        <v>35</v>
      </c>
      <c r="R1739">
        <v>2</v>
      </c>
      <c r="S1739" t="str">
        <f t="shared" si="127"/>
        <v>Poor</v>
      </c>
    </row>
    <row r="1740" spans="1:19" x14ac:dyDescent="0.25">
      <c r="A1740" t="s">
        <v>2162</v>
      </c>
      <c r="B1740">
        <v>63</v>
      </c>
      <c r="C1740" t="s">
        <v>29</v>
      </c>
      <c r="D1740" t="s">
        <v>2515</v>
      </c>
      <c r="E1740" t="s">
        <v>18</v>
      </c>
      <c r="F1740" t="s">
        <v>142</v>
      </c>
      <c r="G1740" t="s">
        <v>1079</v>
      </c>
      <c r="H1740" t="str">
        <f>TEXT(walmart[[#This Row],[Purchase_Date]],"DDD")</f>
        <v>Mon</v>
      </c>
      <c r="I1740" t="str">
        <f>TEXT(walmart[[#This Row],[Purchase_Date]],"MMM")</f>
        <v>May</v>
      </c>
      <c r="J1740" t="str">
        <f>TEXT(walmart[[#This Row],[Purchase_Date]],"YYY")</f>
        <v>2024</v>
      </c>
      <c r="K1740" s="3">
        <v>485.26</v>
      </c>
      <c r="L1740" t="str">
        <f t="shared" si="124"/>
        <v>5% off</v>
      </c>
      <c r="N1740" t="str">
        <f t="shared" si="125"/>
        <v>Yes</v>
      </c>
      <c r="O1740" t="s">
        <v>34</v>
      </c>
      <c r="P1740" s="3">
        <f t="shared" si="126"/>
        <v>485.26</v>
      </c>
      <c r="Q1740" t="s">
        <v>35</v>
      </c>
      <c r="R1740">
        <v>5</v>
      </c>
      <c r="S1740" t="str">
        <f t="shared" si="127"/>
        <v>Excellent</v>
      </c>
    </row>
    <row r="1741" spans="1:19" x14ac:dyDescent="0.25">
      <c r="A1741" t="s">
        <v>2163</v>
      </c>
      <c r="B1741">
        <v>51</v>
      </c>
      <c r="C1741" t="s">
        <v>29</v>
      </c>
      <c r="D1741" t="s">
        <v>2516</v>
      </c>
      <c r="E1741" t="s">
        <v>55</v>
      </c>
      <c r="F1741" t="s">
        <v>100</v>
      </c>
      <c r="G1741" t="s">
        <v>126</v>
      </c>
      <c r="H1741" t="str">
        <f>TEXT(walmart[[#This Row],[Purchase_Date]],"DDD")</f>
        <v>Sat</v>
      </c>
      <c r="I1741" t="str">
        <f>TEXT(walmart[[#This Row],[Purchase_Date]],"MMM")</f>
        <v>Oct</v>
      </c>
      <c r="J1741" t="str">
        <f>TEXT(walmart[[#This Row],[Purchase_Date]],"YYY")</f>
        <v>2024</v>
      </c>
      <c r="K1741" s="3">
        <v>592.26</v>
      </c>
      <c r="L1741" t="str">
        <f t="shared" si="124"/>
        <v>10% off</v>
      </c>
      <c r="N1741" t="str">
        <f t="shared" si="125"/>
        <v>Yes</v>
      </c>
      <c r="O1741" t="s">
        <v>34</v>
      </c>
      <c r="P1741" s="3">
        <f t="shared" si="126"/>
        <v>592.26</v>
      </c>
      <c r="Q1741" t="s">
        <v>27</v>
      </c>
      <c r="R1741">
        <v>1</v>
      </c>
      <c r="S1741" t="str">
        <f t="shared" si="127"/>
        <v>Very Poor</v>
      </c>
    </row>
    <row r="1742" spans="1:19" x14ac:dyDescent="0.25">
      <c r="A1742" t="s">
        <v>2164</v>
      </c>
      <c r="B1742">
        <v>28</v>
      </c>
      <c r="C1742" t="s">
        <v>16</v>
      </c>
      <c r="D1742" t="s">
        <v>2517</v>
      </c>
      <c r="E1742" t="s">
        <v>37</v>
      </c>
      <c r="F1742" t="s">
        <v>117</v>
      </c>
      <c r="G1742" t="s">
        <v>913</v>
      </c>
      <c r="H1742" t="str">
        <f>TEXT(walmart[[#This Row],[Purchase_Date]],"DDD")</f>
        <v>Thu</v>
      </c>
      <c r="I1742" t="str">
        <f>TEXT(walmart[[#This Row],[Purchase_Date]],"MMM")</f>
        <v>Jan</v>
      </c>
      <c r="J1742" t="str">
        <f>TEXT(walmart[[#This Row],[Purchase_Date]],"YYY")</f>
        <v>2025</v>
      </c>
      <c r="K1742" s="3">
        <v>165.68</v>
      </c>
      <c r="L1742" t="str">
        <f t="shared" si="124"/>
        <v>5% off</v>
      </c>
      <c r="N1742" t="str">
        <f t="shared" si="125"/>
        <v>Yes</v>
      </c>
      <c r="O1742" t="s">
        <v>21</v>
      </c>
      <c r="P1742" s="3">
        <f t="shared" si="126"/>
        <v>165.68</v>
      </c>
      <c r="Q1742" t="s">
        <v>35</v>
      </c>
      <c r="R1742">
        <v>5</v>
      </c>
      <c r="S1742" t="str">
        <f t="shared" si="127"/>
        <v>Excellent</v>
      </c>
    </row>
    <row r="1743" spans="1:19" x14ac:dyDescent="0.25">
      <c r="A1743" t="s">
        <v>2165</v>
      </c>
      <c r="B1743">
        <v>36</v>
      </c>
      <c r="C1743" t="s">
        <v>29</v>
      </c>
      <c r="D1743" t="s">
        <v>2518</v>
      </c>
      <c r="E1743" t="s">
        <v>37</v>
      </c>
      <c r="F1743" t="s">
        <v>117</v>
      </c>
      <c r="G1743" t="s">
        <v>1091</v>
      </c>
      <c r="H1743" t="str">
        <f>TEXT(walmart[[#This Row],[Purchase_Date]],"DDD")</f>
        <v>Thu</v>
      </c>
      <c r="I1743" t="str">
        <f>TEXT(walmart[[#This Row],[Purchase_Date]],"MMM")</f>
        <v>Aug</v>
      </c>
      <c r="J1743" t="str">
        <f>TEXT(walmart[[#This Row],[Purchase_Date]],"YYY")</f>
        <v>2024</v>
      </c>
      <c r="K1743" s="3">
        <v>165.68</v>
      </c>
      <c r="L1743" t="str">
        <f t="shared" si="124"/>
        <v>5% off</v>
      </c>
      <c r="N1743" t="str">
        <f t="shared" si="125"/>
        <v>Yes</v>
      </c>
      <c r="O1743" t="s">
        <v>34</v>
      </c>
      <c r="P1743" s="3">
        <f t="shared" si="126"/>
        <v>165.68</v>
      </c>
      <c r="Q1743" t="s">
        <v>47</v>
      </c>
      <c r="R1743">
        <v>1</v>
      </c>
      <c r="S1743" t="str">
        <f t="shared" si="127"/>
        <v>Very Poor</v>
      </c>
    </row>
    <row r="1744" spans="1:19" x14ac:dyDescent="0.25">
      <c r="A1744" t="s">
        <v>2166</v>
      </c>
      <c r="B1744">
        <v>24</v>
      </c>
      <c r="C1744" t="s">
        <v>16</v>
      </c>
      <c r="D1744" t="s">
        <v>2519</v>
      </c>
      <c r="E1744" t="s">
        <v>31</v>
      </c>
      <c r="F1744" t="s">
        <v>300</v>
      </c>
      <c r="G1744" t="s">
        <v>600</v>
      </c>
      <c r="H1744" t="str">
        <f>TEXT(walmart[[#This Row],[Purchase_Date]],"DDD")</f>
        <v>Sun</v>
      </c>
      <c r="I1744" t="str">
        <f>TEXT(walmart[[#This Row],[Purchase_Date]],"MMM")</f>
        <v>Dec</v>
      </c>
      <c r="J1744" t="str">
        <f>TEXT(walmart[[#This Row],[Purchase_Date]],"YYY")</f>
        <v>2024</v>
      </c>
      <c r="K1744" s="3">
        <v>340.04</v>
      </c>
      <c r="L1744" t="str">
        <f t="shared" si="124"/>
        <v>5% off</v>
      </c>
      <c r="N1744" t="str">
        <f t="shared" si="125"/>
        <v>Yes</v>
      </c>
      <c r="O1744" t="s">
        <v>34</v>
      </c>
      <c r="P1744" s="3">
        <f t="shared" si="126"/>
        <v>340.04</v>
      </c>
      <c r="Q1744" t="s">
        <v>22</v>
      </c>
      <c r="R1744">
        <v>5</v>
      </c>
      <c r="S1744" t="str">
        <f t="shared" si="127"/>
        <v>Excellent</v>
      </c>
    </row>
    <row r="1745" spans="1:19" x14ac:dyDescent="0.25">
      <c r="A1745" t="s">
        <v>2167</v>
      </c>
      <c r="B1745">
        <v>51</v>
      </c>
      <c r="C1745" t="s">
        <v>29</v>
      </c>
      <c r="D1745" t="s">
        <v>2520</v>
      </c>
      <c r="E1745" t="s">
        <v>31</v>
      </c>
      <c r="F1745" t="s">
        <v>169</v>
      </c>
      <c r="G1745" t="s">
        <v>950</v>
      </c>
      <c r="H1745" t="str">
        <f>TEXT(walmart[[#This Row],[Purchase_Date]],"DDD")</f>
        <v>Tue</v>
      </c>
      <c r="I1745" t="str">
        <f>TEXT(walmart[[#This Row],[Purchase_Date]],"MMM")</f>
        <v>May</v>
      </c>
      <c r="J1745" t="str">
        <f>TEXT(walmart[[#This Row],[Purchase_Date]],"YYY")</f>
        <v>2024</v>
      </c>
      <c r="K1745" s="3">
        <v>52.44</v>
      </c>
      <c r="L1745" t="str">
        <f t="shared" si="124"/>
        <v>0% off</v>
      </c>
      <c r="N1745" t="str">
        <f t="shared" si="125"/>
        <v>No</v>
      </c>
      <c r="O1745" t="s">
        <v>34</v>
      </c>
      <c r="P1745" s="3">
        <f t="shared" si="126"/>
        <v>52.44</v>
      </c>
      <c r="Q1745" t="s">
        <v>22</v>
      </c>
      <c r="R1745">
        <v>1</v>
      </c>
      <c r="S1745" t="str">
        <f t="shared" si="127"/>
        <v>Very Poor</v>
      </c>
    </row>
    <row r="1746" spans="1:19" x14ac:dyDescent="0.25">
      <c r="A1746" t="s">
        <v>2168</v>
      </c>
      <c r="B1746">
        <v>66</v>
      </c>
      <c r="C1746" t="s">
        <v>29</v>
      </c>
      <c r="D1746" t="s">
        <v>2521</v>
      </c>
      <c r="E1746" t="s">
        <v>37</v>
      </c>
      <c r="F1746" t="s">
        <v>97</v>
      </c>
      <c r="G1746" t="s">
        <v>46</v>
      </c>
      <c r="H1746" t="str">
        <f>TEXT(walmart[[#This Row],[Purchase_Date]],"DDD")</f>
        <v>Thu</v>
      </c>
      <c r="I1746" t="str">
        <f>TEXT(walmart[[#This Row],[Purchase_Date]],"MMM")</f>
        <v>May</v>
      </c>
      <c r="J1746" t="str">
        <f>TEXT(walmart[[#This Row],[Purchase_Date]],"YYY")</f>
        <v>2024</v>
      </c>
      <c r="K1746" s="3">
        <v>855.21</v>
      </c>
      <c r="L1746" t="str">
        <f t="shared" si="124"/>
        <v>15% off</v>
      </c>
      <c r="N1746" t="str">
        <f t="shared" si="125"/>
        <v>Yes</v>
      </c>
      <c r="O1746" t="s">
        <v>21</v>
      </c>
      <c r="P1746" s="3">
        <f t="shared" si="126"/>
        <v>855.21</v>
      </c>
      <c r="Q1746" t="s">
        <v>35</v>
      </c>
      <c r="R1746">
        <v>3</v>
      </c>
      <c r="S1746" t="str">
        <f t="shared" si="127"/>
        <v>Average</v>
      </c>
    </row>
    <row r="1747" spans="1:19" x14ac:dyDescent="0.25">
      <c r="A1747" t="s">
        <v>2169</v>
      </c>
      <c r="B1747">
        <v>34</v>
      </c>
      <c r="C1747" t="s">
        <v>29</v>
      </c>
      <c r="D1747" t="s">
        <v>2522</v>
      </c>
      <c r="E1747" t="s">
        <v>18</v>
      </c>
      <c r="F1747" t="s">
        <v>77</v>
      </c>
      <c r="G1747" t="s">
        <v>215</v>
      </c>
      <c r="H1747" t="str">
        <f>TEXT(walmart[[#This Row],[Purchase_Date]],"DDD")</f>
        <v>Mon</v>
      </c>
      <c r="I1747" t="str">
        <f>TEXT(walmart[[#This Row],[Purchase_Date]],"MMM")</f>
        <v>Feb</v>
      </c>
      <c r="J1747" t="str">
        <f>TEXT(walmart[[#This Row],[Purchase_Date]],"YYY")</f>
        <v>2025</v>
      </c>
      <c r="K1747" s="3">
        <v>116.78</v>
      </c>
      <c r="L1747" t="str">
        <f t="shared" si="124"/>
        <v>0% off</v>
      </c>
      <c r="N1747" t="str">
        <f t="shared" si="125"/>
        <v>No</v>
      </c>
      <c r="O1747" t="s">
        <v>34</v>
      </c>
      <c r="P1747" s="3">
        <f t="shared" si="126"/>
        <v>116.78</v>
      </c>
      <c r="Q1747" t="s">
        <v>27</v>
      </c>
      <c r="R1747">
        <v>2</v>
      </c>
      <c r="S1747" t="str">
        <f t="shared" si="127"/>
        <v>Poor</v>
      </c>
    </row>
    <row r="1748" spans="1:19" x14ac:dyDescent="0.25">
      <c r="A1748" t="s">
        <v>2170</v>
      </c>
      <c r="B1748">
        <v>33</v>
      </c>
      <c r="C1748" t="s">
        <v>16</v>
      </c>
      <c r="D1748" t="s">
        <v>2485</v>
      </c>
      <c r="E1748" t="s">
        <v>55</v>
      </c>
      <c r="F1748" t="s">
        <v>64</v>
      </c>
      <c r="G1748" t="s">
        <v>741</v>
      </c>
      <c r="H1748" t="str">
        <f>TEXT(walmart[[#This Row],[Purchase_Date]],"DDD")</f>
        <v>Mon</v>
      </c>
      <c r="I1748" t="str">
        <f>TEXT(walmart[[#This Row],[Purchase_Date]],"MMM")</f>
        <v>Sep</v>
      </c>
      <c r="J1748" t="str">
        <f>TEXT(walmart[[#This Row],[Purchase_Date]],"YYY")</f>
        <v>2024</v>
      </c>
      <c r="K1748" s="3">
        <v>374.92</v>
      </c>
      <c r="L1748" t="str">
        <f t="shared" si="124"/>
        <v>5% off</v>
      </c>
      <c r="N1748" t="str">
        <f t="shared" si="125"/>
        <v>Yes</v>
      </c>
      <c r="O1748" t="s">
        <v>34</v>
      </c>
      <c r="P1748" s="3">
        <f t="shared" si="126"/>
        <v>374.92</v>
      </c>
      <c r="Q1748" t="s">
        <v>47</v>
      </c>
      <c r="R1748">
        <v>3</v>
      </c>
      <c r="S1748" t="str">
        <f t="shared" si="127"/>
        <v>Average</v>
      </c>
    </row>
    <row r="1749" spans="1:19" x14ac:dyDescent="0.25">
      <c r="A1749" t="s">
        <v>2171</v>
      </c>
      <c r="B1749">
        <v>43</v>
      </c>
      <c r="C1749" t="s">
        <v>16</v>
      </c>
      <c r="D1749" t="s">
        <v>2523</v>
      </c>
      <c r="E1749" t="s">
        <v>37</v>
      </c>
      <c r="F1749" t="s">
        <v>117</v>
      </c>
      <c r="G1749" t="s">
        <v>1001</v>
      </c>
      <c r="H1749" t="str">
        <f>TEXT(walmart[[#This Row],[Purchase_Date]],"DDD")</f>
        <v>Thu</v>
      </c>
      <c r="I1749" t="str">
        <f>TEXT(walmart[[#This Row],[Purchase_Date]],"MMM")</f>
        <v>Aug</v>
      </c>
      <c r="J1749" t="str">
        <f>TEXT(walmart[[#This Row],[Purchase_Date]],"YYY")</f>
        <v>2024</v>
      </c>
      <c r="K1749" s="3">
        <v>165.68</v>
      </c>
      <c r="L1749" t="str">
        <f t="shared" si="124"/>
        <v>5% off</v>
      </c>
      <c r="N1749" t="str">
        <f t="shared" si="125"/>
        <v>Yes</v>
      </c>
      <c r="O1749" t="s">
        <v>21</v>
      </c>
      <c r="P1749" s="3">
        <f t="shared" si="126"/>
        <v>165.68</v>
      </c>
      <c r="Q1749" t="s">
        <v>22</v>
      </c>
      <c r="R1749">
        <v>2</v>
      </c>
      <c r="S1749" t="str">
        <f t="shared" si="127"/>
        <v>Poor</v>
      </c>
    </row>
    <row r="1750" spans="1:19" x14ac:dyDescent="0.25">
      <c r="A1750" t="s">
        <v>2172</v>
      </c>
      <c r="B1750">
        <v>34</v>
      </c>
      <c r="C1750" t="s">
        <v>29</v>
      </c>
      <c r="D1750" t="s">
        <v>2518</v>
      </c>
      <c r="E1750" t="s">
        <v>37</v>
      </c>
      <c r="F1750" t="s">
        <v>117</v>
      </c>
      <c r="G1750" t="s">
        <v>1414</v>
      </c>
      <c r="H1750" t="str">
        <f>TEXT(walmart[[#This Row],[Purchase_Date]],"DDD")</f>
        <v>Mon</v>
      </c>
      <c r="I1750" t="str">
        <f>TEXT(walmart[[#This Row],[Purchase_Date]],"MMM")</f>
        <v>Dec</v>
      </c>
      <c r="J1750" t="str">
        <f>TEXT(walmart[[#This Row],[Purchase_Date]],"YYY")</f>
        <v>2024</v>
      </c>
      <c r="K1750" s="3">
        <v>165.68</v>
      </c>
      <c r="L1750" t="str">
        <f t="shared" si="124"/>
        <v>5% off</v>
      </c>
      <c r="N1750" t="str">
        <f t="shared" si="125"/>
        <v>Yes</v>
      </c>
      <c r="O1750" t="s">
        <v>34</v>
      </c>
      <c r="P1750" s="3">
        <f t="shared" si="126"/>
        <v>165.68</v>
      </c>
      <c r="Q1750" t="s">
        <v>35</v>
      </c>
      <c r="R1750">
        <v>5</v>
      </c>
      <c r="S1750" t="str">
        <f t="shared" si="127"/>
        <v>Excellent</v>
      </c>
    </row>
    <row r="1751" spans="1:19" x14ac:dyDescent="0.25">
      <c r="A1751" t="s">
        <v>2173</v>
      </c>
      <c r="B1751">
        <v>24</v>
      </c>
      <c r="C1751" t="s">
        <v>16</v>
      </c>
      <c r="D1751" t="s">
        <v>2524</v>
      </c>
      <c r="E1751" t="s">
        <v>55</v>
      </c>
      <c r="F1751" t="s">
        <v>64</v>
      </c>
      <c r="G1751" t="s">
        <v>1339</v>
      </c>
      <c r="H1751" t="str">
        <f>TEXT(walmart[[#This Row],[Purchase_Date]],"DDD")</f>
        <v>Wed</v>
      </c>
      <c r="I1751" t="str">
        <f>TEXT(walmart[[#This Row],[Purchase_Date]],"MMM")</f>
        <v>Oct</v>
      </c>
      <c r="J1751" t="str">
        <f>TEXT(walmart[[#This Row],[Purchase_Date]],"YYY")</f>
        <v>2024</v>
      </c>
      <c r="K1751" s="3">
        <v>374.92</v>
      </c>
      <c r="L1751" t="str">
        <f t="shared" si="124"/>
        <v>5% off</v>
      </c>
      <c r="N1751" t="str">
        <f t="shared" si="125"/>
        <v>Yes</v>
      </c>
      <c r="O1751" t="s">
        <v>21</v>
      </c>
      <c r="P1751" s="3">
        <f t="shared" si="126"/>
        <v>374.92</v>
      </c>
      <c r="Q1751" t="s">
        <v>27</v>
      </c>
      <c r="R1751">
        <v>2</v>
      </c>
      <c r="S1751" t="str">
        <f t="shared" si="127"/>
        <v>Poor</v>
      </c>
    </row>
    <row r="1752" spans="1:19" x14ac:dyDescent="0.25">
      <c r="A1752" t="s">
        <v>2174</v>
      </c>
      <c r="B1752">
        <v>43</v>
      </c>
      <c r="C1752" t="s">
        <v>16</v>
      </c>
      <c r="D1752" t="s">
        <v>2525</v>
      </c>
      <c r="E1752" t="s">
        <v>73</v>
      </c>
      <c r="F1752" t="s">
        <v>138</v>
      </c>
      <c r="G1752" t="s">
        <v>60</v>
      </c>
      <c r="H1752" t="str">
        <f>TEXT(walmart[[#This Row],[Purchase_Date]],"DDD")</f>
        <v>Wed</v>
      </c>
      <c r="I1752" t="str">
        <f>TEXT(walmart[[#This Row],[Purchase_Date]],"MMM")</f>
        <v>Oct</v>
      </c>
      <c r="J1752" t="str">
        <f>TEXT(walmart[[#This Row],[Purchase_Date]],"YYY")</f>
        <v>2024</v>
      </c>
      <c r="K1752" s="3">
        <v>461.81</v>
      </c>
      <c r="L1752" t="str">
        <f t="shared" si="124"/>
        <v>5% off</v>
      </c>
      <c r="N1752" t="str">
        <f t="shared" si="125"/>
        <v>Yes</v>
      </c>
      <c r="O1752" t="s">
        <v>21</v>
      </c>
      <c r="P1752" s="3">
        <f t="shared" si="126"/>
        <v>461.81</v>
      </c>
      <c r="Q1752" t="s">
        <v>47</v>
      </c>
      <c r="R1752">
        <v>2</v>
      </c>
      <c r="S1752" t="str">
        <f t="shared" si="127"/>
        <v>Poor</v>
      </c>
    </row>
    <row r="1753" spans="1:19" x14ac:dyDescent="0.25">
      <c r="A1753" t="s">
        <v>2175</v>
      </c>
      <c r="B1753">
        <v>36</v>
      </c>
      <c r="C1753" t="s">
        <v>29</v>
      </c>
      <c r="D1753" t="s">
        <v>2487</v>
      </c>
      <c r="E1753" t="s">
        <v>31</v>
      </c>
      <c r="F1753" t="s">
        <v>300</v>
      </c>
      <c r="G1753" t="s">
        <v>576</v>
      </c>
      <c r="H1753" t="str">
        <f>TEXT(walmart[[#This Row],[Purchase_Date]],"DDD")</f>
        <v>Mon</v>
      </c>
      <c r="I1753" t="str">
        <f>TEXT(walmart[[#This Row],[Purchase_Date]],"MMM")</f>
        <v>Sep</v>
      </c>
      <c r="J1753" t="str">
        <f>TEXT(walmart[[#This Row],[Purchase_Date]],"YYY")</f>
        <v>2024</v>
      </c>
      <c r="K1753" s="3">
        <v>340.04</v>
      </c>
      <c r="L1753" t="str">
        <f t="shared" si="124"/>
        <v>5% off</v>
      </c>
      <c r="N1753" t="str">
        <f t="shared" si="125"/>
        <v>Yes</v>
      </c>
      <c r="O1753" t="s">
        <v>34</v>
      </c>
      <c r="P1753" s="3">
        <f t="shared" si="126"/>
        <v>340.04</v>
      </c>
      <c r="Q1753" t="s">
        <v>35</v>
      </c>
      <c r="R1753">
        <v>5</v>
      </c>
      <c r="S1753" t="str">
        <f t="shared" si="127"/>
        <v>Excellent</v>
      </c>
    </row>
    <row r="1754" spans="1:19" x14ac:dyDescent="0.25">
      <c r="A1754" t="s">
        <v>2176</v>
      </c>
      <c r="B1754">
        <v>69</v>
      </c>
      <c r="C1754" t="s">
        <v>29</v>
      </c>
      <c r="D1754" t="s">
        <v>2519</v>
      </c>
      <c r="E1754" t="s">
        <v>73</v>
      </c>
      <c r="F1754" t="s">
        <v>94</v>
      </c>
      <c r="G1754" t="s">
        <v>157</v>
      </c>
      <c r="H1754" t="str">
        <f>TEXT(walmart[[#This Row],[Purchase_Date]],"DDD")</f>
        <v>Mon</v>
      </c>
      <c r="I1754" t="str">
        <f>TEXT(walmart[[#This Row],[Purchase_Date]],"MMM")</f>
        <v>Jun</v>
      </c>
      <c r="J1754" t="str">
        <f>TEXT(walmart[[#This Row],[Purchase_Date]],"YYY")</f>
        <v>2024</v>
      </c>
      <c r="K1754" s="3">
        <v>965.09</v>
      </c>
      <c r="L1754" t="str">
        <f t="shared" si="124"/>
        <v>20% off</v>
      </c>
      <c r="N1754" t="str">
        <f t="shared" si="125"/>
        <v>Yes</v>
      </c>
      <c r="O1754" t="s">
        <v>21</v>
      </c>
      <c r="P1754" s="3">
        <f t="shared" si="126"/>
        <v>965.09</v>
      </c>
      <c r="Q1754" t="s">
        <v>47</v>
      </c>
      <c r="R1754">
        <v>2</v>
      </c>
      <c r="S1754" t="str">
        <f t="shared" si="127"/>
        <v>Poor</v>
      </c>
    </row>
    <row r="1755" spans="1:19" x14ac:dyDescent="0.25">
      <c r="A1755" t="s">
        <v>2177</v>
      </c>
      <c r="B1755">
        <v>40</v>
      </c>
      <c r="C1755" t="s">
        <v>29</v>
      </c>
      <c r="D1755" t="s">
        <v>2520</v>
      </c>
      <c r="E1755" t="s">
        <v>24</v>
      </c>
      <c r="F1755" t="s">
        <v>25</v>
      </c>
      <c r="G1755" t="s">
        <v>2178</v>
      </c>
      <c r="H1755" t="str">
        <f>TEXT(walmart[[#This Row],[Purchase_Date]],"DDD")</f>
        <v>Sat</v>
      </c>
      <c r="I1755" t="str">
        <f>TEXT(walmart[[#This Row],[Purchase_Date]],"MMM")</f>
        <v>Nov</v>
      </c>
      <c r="J1755" t="str">
        <f>TEXT(walmart[[#This Row],[Purchase_Date]],"YYY")</f>
        <v>2024</v>
      </c>
      <c r="K1755" s="3">
        <v>67.040000000000006</v>
      </c>
      <c r="L1755" t="str">
        <f t="shared" si="124"/>
        <v>0% off</v>
      </c>
      <c r="N1755" t="str">
        <f t="shared" si="125"/>
        <v>No</v>
      </c>
      <c r="O1755" t="s">
        <v>21</v>
      </c>
      <c r="P1755" s="3">
        <f t="shared" si="126"/>
        <v>67.040000000000006</v>
      </c>
      <c r="Q1755" t="s">
        <v>35</v>
      </c>
      <c r="R1755">
        <v>1</v>
      </c>
      <c r="S1755" t="str">
        <f t="shared" si="127"/>
        <v>Very Poor</v>
      </c>
    </row>
    <row r="1756" spans="1:19" x14ac:dyDescent="0.25">
      <c r="A1756" t="s">
        <v>2179</v>
      </c>
      <c r="B1756">
        <v>70</v>
      </c>
      <c r="C1756" t="s">
        <v>16</v>
      </c>
      <c r="D1756" t="s">
        <v>2526</v>
      </c>
      <c r="E1756" t="s">
        <v>24</v>
      </c>
      <c r="F1756" t="s">
        <v>186</v>
      </c>
      <c r="G1756" t="s">
        <v>407</v>
      </c>
      <c r="H1756" t="str">
        <f>TEXT(walmart[[#This Row],[Purchase_Date]],"DDD")</f>
        <v>Tue</v>
      </c>
      <c r="I1756" t="str">
        <f>TEXT(walmart[[#This Row],[Purchase_Date]],"MMM")</f>
        <v>Jul</v>
      </c>
      <c r="J1756" t="str">
        <f>TEXT(walmart[[#This Row],[Purchase_Date]],"YYY")</f>
        <v>2024</v>
      </c>
      <c r="K1756" s="3">
        <v>527.16999999999996</v>
      </c>
      <c r="L1756" t="str">
        <f t="shared" si="124"/>
        <v>10% off</v>
      </c>
      <c r="N1756" t="str">
        <f t="shared" si="125"/>
        <v>Yes</v>
      </c>
      <c r="O1756" t="s">
        <v>34</v>
      </c>
      <c r="P1756" s="3">
        <f t="shared" si="126"/>
        <v>527.16999999999996</v>
      </c>
      <c r="Q1756" t="s">
        <v>35</v>
      </c>
      <c r="R1756">
        <v>5</v>
      </c>
      <c r="S1756" t="str">
        <f t="shared" si="127"/>
        <v>Excellent</v>
      </c>
    </row>
    <row r="1757" spans="1:19" x14ac:dyDescent="0.25">
      <c r="A1757" t="s">
        <v>2180</v>
      </c>
      <c r="B1757">
        <v>43</v>
      </c>
      <c r="C1757" t="s">
        <v>16</v>
      </c>
      <c r="D1757" t="s">
        <v>2527</v>
      </c>
      <c r="E1757" t="s">
        <v>55</v>
      </c>
      <c r="F1757" t="s">
        <v>100</v>
      </c>
      <c r="G1757" t="s">
        <v>694</v>
      </c>
      <c r="H1757" t="str">
        <f>TEXT(walmart[[#This Row],[Purchase_Date]],"DDD")</f>
        <v>Thu</v>
      </c>
      <c r="I1757" t="str">
        <f>TEXT(walmart[[#This Row],[Purchase_Date]],"MMM")</f>
        <v>Dec</v>
      </c>
      <c r="J1757" t="str">
        <f>TEXT(walmart[[#This Row],[Purchase_Date]],"YYY")</f>
        <v>2024</v>
      </c>
      <c r="K1757" s="3">
        <v>592.26</v>
      </c>
      <c r="L1757" t="str">
        <f t="shared" si="124"/>
        <v>10% off</v>
      </c>
      <c r="N1757" t="str">
        <f t="shared" si="125"/>
        <v>Yes</v>
      </c>
      <c r="O1757" t="s">
        <v>21</v>
      </c>
      <c r="P1757" s="3">
        <f t="shared" si="126"/>
        <v>592.26</v>
      </c>
      <c r="Q1757" t="s">
        <v>22</v>
      </c>
      <c r="R1757">
        <v>1</v>
      </c>
      <c r="S1757" t="str">
        <f t="shared" si="127"/>
        <v>Very Poor</v>
      </c>
    </row>
    <row r="1758" spans="1:19" x14ac:dyDescent="0.25">
      <c r="A1758" t="s">
        <v>2181</v>
      </c>
      <c r="B1758">
        <v>28</v>
      </c>
      <c r="C1758" t="s">
        <v>16</v>
      </c>
      <c r="D1758" t="s">
        <v>2528</v>
      </c>
      <c r="E1758" t="s">
        <v>73</v>
      </c>
      <c r="F1758" t="s">
        <v>91</v>
      </c>
      <c r="G1758" t="s">
        <v>1613</v>
      </c>
      <c r="H1758" t="str">
        <f>TEXT(walmart[[#This Row],[Purchase_Date]],"DDD")</f>
        <v>Tue</v>
      </c>
      <c r="I1758" t="str">
        <f>TEXT(walmart[[#This Row],[Purchase_Date]],"MMM")</f>
        <v>Jan</v>
      </c>
      <c r="J1758" t="str">
        <f>TEXT(walmart[[#This Row],[Purchase_Date]],"YYY")</f>
        <v>2025</v>
      </c>
      <c r="K1758" s="3">
        <v>418.55</v>
      </c>
      <c r="L1758" t="str">
        <f t="shared" si="124"/>
        <v>5% off</v>
      </c>
      <c r="N1758" t="str">
        <f t="shared" si="125"/>
        <v>Yes</v>
      </c>
      <c r="O1758" t="s">
        <v>34</v>
      </c>
      <c r="P1758" s="3">
        <f t="shared" si="126"/>
        <v>418.55</v>
      </c>
      <c r="Q1758" t="s">
        <v>47</v>
      </c>
      <c r="R1758">
        <v>3</v>
      </c>
      <c r="S1758" t="str">
        <f t="shared" si="127"/>
        <v>Average</v>
      </c>
    </row>
    <row r="1759" spans="1:19" x14ac:dyDescent="0.25">
      <c r="A1759" t="s">
        <v>2182</v>
      </c>
      <c r="B1759">
        <v>63</v>
      </c>
      <c r="C1759" t="s">
        <v>16</v>
      </c>
      <c r="D1759" t="s">
        <v>2529</v>
      </c>
      <c r="E1759" t="s">
        <v>73</v>
      </c>
      <c r="F1759" t="s">
        <v>91</v>
      </c>
      <c r="G1759" t="s">
        <v>801</v>
      </c>
      <c r="H1759" t="str">
        <f>TEXT(walmart[[#This Row],[Purchase_Date]],"DDD")</f>
        <v>Sat</v>
      </c>
      <c r="I1759" t="str">
        <f>TEXT(walmart[[#This Row],[Purchase_Date]],"MMM")</f>
        <v>Jan</v>
      </c>
      <c r="J1759" t="str">
        <f>TEXT(walmart[[#This Row],[Purchase_Date]],"YYY")</f>
        <v>2025</v>
      </c>
      <c r="K1759" s="3">
        <v>418.55</v>
      </c>
      <c r="L1759" t="str">
        <f t="shared" si="124"/>
        <v>5% off</v>
      </c>
      <c r="N1759" t="str">
        <f t="shared" si="125"/>
        <v>Yes</v>
      </c>
      <c r="O1759" t="s">
        <v>21</v>
      </c>
      <c r="P1759" s="3">
        <f t="shared" si="126"/>
        <v>418.55</v>
      </c>
      <c r="Q1759" t="s">
        <v>27</v>
      </c>
      <c r="R1759">
        <v>3</v>
      </c>
      <c r="S1759" t="str">
        <f t="shared" si="127"/>
        <v>Average</v>
      </c>
    </row>
    <row r="1760" spans="1:19" x14ac:dyDescent="0.25">
      <c r="A1760" t="s">
        <v>2183</v>
      </c>
      <c r="B1760">
        <v>69</v>
      </c>
      <c r="C1760" t="s">
        <v>29</v>
      </c>
      <c r="D1760" t="s">
        <v>2530</v>
      </c>
      <c r="E1760" t="s">
        <v>37</v>
      </c>
      <c r="F1760" t="s">
        <v>97</v>
      </c>
      <c r="G1760" t="s">
        <v>2184</v>
      </c>
      <c r="H1760" t="str">
        <f>TEXT(walmart[[#This Row],[Purchase_Date]],"DDD")</f>
        <v>Tue</v>
      </c>
      <c r="I1760" t="str">
        <f>TEXT(walmart[[#This Row],[Purchase_Date]],"MMM")</f>
        <v>May</v>
      </c>
      <c r="J1760" t="str">
        <f>TEXT(walmart[[#This Row],[Purchase_Date]],"YYY")</f>
        <v>2024</v>
      </c>
      <c r="K1760" s="3">
        <v>855.21</v>
      </c>
      <c r="L1760" t="str">
        <f t="shared" si="124"/>
        <v>15% off</v>
      </c>
      <c r="N1760" t="str">
        <f t="shared" si="125"/>
        <v>Yes</v>
      </c>
      <c r="O1760" t="s">
        <v>34</v>
      </c>
      <c r="P1760" s="3">
        <f t="shared" si="126"/>
        <v>855.21</v>
      </c>
      <c r="Q1760" t="s">
        <v>27</v>
      </c>
      <c r="R1760">
        <v>1</v>
      </c>
      <c r="S1760" t="str">
        <f t="shared" si="127"/>
        <v>Very Poor</v>
      </c>
    </row>
    <row r="1761" spans="1:19" x14ac:dyDescent="0.25">
      <c r="A1761" t="s">
        <v>2185</v>
      </c>
      <c r="B1761">
        <v>31</v>
      </c>
      <c r="C1761" t="s">
        <v>16</v>
      </c>
      <c r="D1761" t="s">
        <v>2531</v>
      </c>
      <c r="E1761" t="s">
        <v>24</v>
      </c>
      <c r="F1761" t="s">
        <v>186</v>
      </c>
      <c r="G1761" t="s">
        <v>65</v>
      </c>
      <c r="H1761" t="str">
        <f>TEXT(walmart[[#This Row],[Purchase_Date]],"DDD")</f>
        <v>Wed</v>
      </c>
      <c r="I1761" t="str">
        <f>TEXT(walmart[[#This Row],[Purchase_Date]],"MMM")</f>
        <v>Mar</v>
      </c>
      <c r="J1761" t="str">
        <f>TEXT(walmart[[#This Row],[Purchase_Date]],"YYY")</f>
        <v>2025</v>
      </c>
      <c r="K1761" s="3">
        <v>527.16999999999996</v>
      </c>
      <c r="L1761" t="str">
        <f t="shared" si="124"/>
        <v>10% off</v>
      </c>
      <c r="N1761" t="str">
        <f t="shared" si="125"/>
        <v>Yes</v>
      </c>
      <c r="O1761" t="s">
        <v>34</v>
      </c>
      <c r="P1761" s="3">
        <f t="shared" si="126"/>
        <v>527.16999999999996</v>
      </c>
      <c r="Q1761" t="s">
        <v>27</v>
      </c>
      <c r="R1761">
        <v>4</v>
      </c>
      <c r="S1761" t="str">
        <f t="shared" si="127"/>
        <v>Good</v>
      </c>
    </row>
    <row r="1762" spans="1:19" x14ac:dyDescent="0.25">
      <c r="A1762" t="s">
        <v>2186</v>
      </c>
      <c r="B1762">
        <v>68</v>
      </c>
      <c r="C1762" t="s">
        <v>29</v>
      </c>
      <c r="D1762" t="s">
        <v>2532</v>
      </c>
      <c r="E1762" t="s">
        <v>18</v>
      </c>
      <c r="F1762" t="s">
        <v>19</v>
      </c>
      <c r="G1762" t="s">
        <v>447</v>
      </c>
      <c r="H1762" t="str">
        <f>TEXT(walmart[[#This Row],[Purchase_Date]],"DDD")</f>
        <v>Sat</v>
      </c>
      <c r="I1762" t="str">
        <f>TEXT(walmart[[#This Row],[Purchase_Date]],"MMM")</f>
        <v>Nov</v>
      </c>
      <c r="J1762" t="str">
        <f>TEXT(walmart[[#This Row],[Purchase_Date]],"YYY")</f>
        <v>2024</v>
      </c>
      <c r="K1762" s="3">
        <v>697.86</v>
      </c>
      <c r="L1762" t="str">
        <f t="shared" si="124"/>
        <v>10% off</v>
      </c>
      <c r="N1762" t="str">
        <f t="shared" si="125"/>
        <v>Yes</v>
      </c>
      <c r="O1762" t="s">
        <v>21</v>
      </c>
      <c r="P1762" s="3">
        <f t="shared" si="126"/>
        <v>697.86</v>
      </c>
      <c r="Q1762" t="s">
        <v>35</v>
      </c>
      <c r="R1762">
        <v>3</v>
      </c>
      <c r="S1762" t="str">
        <f t="shared" si="127"/>
        <v>Average</v>
      </c>
    </row>
    <row r="1763" spans="1:19" x14ac:dyDescent="0.25">
      <c r="A1763" t="s">
        <v>2187</v>
      </c>
      <c r="B1763">
        <v>44</v>
      </c>
      <c r="C1763" t="s">
        <v>29</v>
      </c>
      <c r="D1763" t="s">
        <v>2533</v>
      </c>
      <c r="E1763" t="s">
        <v>37</v>
      </c>
      <c r="F1763" t="s">
        <v>82</v>
      </c>
      <c r="G1763" t="s">
        <v>437</v>
      </c>
      <c r="H1763" t="str">
        <f>TEXT(walmart[[#This Row],[Purchase_Date]],"DDD")</f>
        <v>Sat</v>
      </c>
      <c r="I1763" t="str">
        <f>TEXT(walmart[[#This Row],[Purchase_Date]],"MMM")</f>
        <v>Jul</v>
      </c>
      <c r="J1763" t="str">
        <f>TEXT(walmart[[#This Row],[Purchase_Date]],"YYY")</f>
        <v>2024</v>
      </c>
      <c r="K1763" s="3">
        <v>270.41000000000003</v>
      </c>
      <c r="L1763" t="str">
        <f t="shared" si="124"/>
        <v>5% off</v>
      </c>
      <c r="N1763" t="str">
        <f t="shared" si="125"/>
        <v>Yes</v>
      </c>
      <c r="O1763" t="s">
        <v>21</v>
      </c>
      <c r="P1763" s="3">
        <f t="shared" si="126"/>
        <v>270.41000000000003</v>
      </c>
      <c r="Q1763" t="s">
        <v>35</v>
      </c>
      <c r="R1763">
        <v>2</v>
      </c>
      <c r="S1763" t="str">
        <f t="shared" si="127"/>
        <v>Poor</v>
      </c>
    </row>
    <row r="1764" spans="1:19" x14ac:dyDescent="0.25">
      <c r="A1764" t="s">
        <v>2188</v>
      </c>
      <c r="B1764">
        <v>62</v>
      </c>
      <c r="C1764" t="s">
        <v>16</v>
      </c>
      <c r="D1764" t="s">
        <v>2534</v>
      </c>
      <c r="E1764" t="s">
        <v>31</v>
      </c>
      <c r="F1764" t="s">
        <v>300</v>
      </c>
      <c r="G1764" t="s">
        <v>888</v>
      </c>
      <c r="H1764" t="str">
        <f>TEXT(walmart[[#This Row],[Purchase_Date]],"DDD")</f>
        <v>Tue</v>
      </c>
      <c r="I1764" t="str">
        <f>TEXT(walmart[[#This Row],[Purchase_Date]],"MMM")</f>
        <v>Sep</v>
      </c>
      <c r="J1764" t="str">
        <f>TEXT(walmart[[#This Row],[Purchase_Date]],"YYY")</f>
        <v>2024</v>
      </c>
      <c r="K1764" s="3">
        <v>340.04</v>
      </c>
      <c r="L1764" t="str">
        <f t="shared" si="124"/>
        <v>5% off</v>
      </c>
      <c r="N1764" t="str">
        <f t="shared" si="125"/>
        <v>Yes</v>
      </c>
      <c r="O1764" t="s">
        <v>34</v>
      </c>
      <c r="P1764" s="3">
        <f t="shared" si="126"/>
        <v>340.04</v>
      </c>
      <c r="Q1764" t="s">
        <v>35</v>
      </c>
      <c r="R1764">
        <v>3</v>
      </c>
      <c r="S1764" t="str">
        <f t="shared" si="127"/>
        <v>Average</v>
      </c>
    </row>
    <row r="1765" spans="1:19" x14ac:dyDescent="0.25">
      <c r="A1765" t="s">
        <v>2189</v>
      </c>
      <c r="B1765">
        <v>19</v>
      </c>
      <c r="C1765" t="s">
        <v>16</v>
      </c>
      <c r="D1765" t="s">
        <v>2535</v>
      </c>
      <c r="E1765" t="s">
        <v>18</v>
      </c>
      <c r="F1765" t="s">
        <v>19</v>
      </c>
      <c r="G1765" t="s">
        <v>287</v>
      </c>
      <c r="H1765" t="str">
        <f>TEXT(walmart[[#This Row],[Purchase_Date]],"DDD")</f>
        <v>Sun</v>
      </c>
      <c r="I1765" t="str">
        <f>TEXT(walmart[[#This Row],[Purchase_Date]],"MMM")</f>
        <v>Jul</v>
      </c>
      <c r="J1765" t="str">
        <f>TEXT(walmart[[#This Row],[Purchase_Date]],"YYY")</f>
        <v>2024</v>
      </c>
      <c r="K1765" s="3">
        <v>697.86</v>
      </c>
      <c r="L1765" t="str">
        <f t="shared" si="124"/>
        <v>10% off</v>
      </c>
      <c r="N1765" t="str">
        <f t="shared" si="125"/>
        <v>Yes</v>
      </c>
      <c r="O1765" t="s">
        <v>34</v>
      </c>
      <c r="P1765" s="3">
        <f t="shared" si="126"/>
        <v>697.86</v>
      </c>
      <c r="Q1765" t="s">
        <v>35</v>
      </c>
      <c r="R1765">
        <v>4</v>
      </c>
      <c r="S1765" t="str">
        <f t="shared" si="127"/>
        <v>Good</v>
      </c>
    </row>
    <row r="1766" spans="1:19" x14ac:dyDescent="0.25">
      <c r="A1766" t="s">
        <v>2190</v>
      </c>
      <c r="B1766">
        <v>19</v>
      </c>
      <c r="C1766" t="s">
        <v>16</v>
      </c>
      <c r="D1766" t="s">
        <v>2518</v>
      </c>
      <c r="E1766" t="s">
        <v>42</v>
      </c>
      <c r="F1766" t="s">
        <v>52</v>
      </c>
      <c r="G1766" t="s">
        <v>189</v>
      </c>
      <c r="H1766" t="str">
        <f>TEXT(walmart[[#This Row],[Purchase_Date]],"DDD")</f>
        <v>Sat</v>
      </c>
      <c r="I1766" t="str">
        <f>TEXT(walmart[[#This Row],[Purchase_Date]],"MMM")</f>
        <v>Jun</v>
      </c>
      <c r="J1766" t="str">
        <f>TEXT(walmart[[#This Row],[Purchase_Date]],"YYY")</f>
        <v>2024</v>
      </c>
      <c r="K1766" s="3">
        <v>988.77</v>
      </c>
      <c r="L1766" t="str">
        <f t="shared" si="124"/>
        <v>20% off</v>
      </c>
      <c r="N1766" t="str">
        <f t="shared" si="125"/>
        <v>Yes</v>
      </c>
      <c r="O1766" t="s">
        <v>34</v>
      </c>
      <c r="P1766" s="3">
        <f t="shared" si="126"/>
        <v>988.77</v>
      </c>
      <c r="Q1766" t="s">
        <v>27</v>
      </c>
      <c r="R1766">
        <v>1</v>
      </c>
      <c r="S1766" t="str">
        <f t="shared" si="127"/>
        <v>Very Poor</v>
      </c>
    </row>
    <row r="1767" spans="1:19" x14ac:dyDescent="0.25">
      <c r="A1767" t="s">
        <v>2191</v>
      </c>
      <c r="B1767">
        <v>58</v>
      </c>
      <c r="C1767" t="s">
        <v>29</v>
      </c>
      <c r="D1767" t="s">
        <v>2536</v>
      </c>
      <c r="E1767" t="s">
        <v>73</v>
      </c>
      <c r="F1767" t="s">
        <v>91</v>
      </c>
      <c r="G1767" t="s">
        <v>323</v>
      </c>
      <c r="H1767" t="str">
        <f>TEXT(walmart[[#This Row],[Purchase_Date]],"DDD")</f>
        <v>Tue</v>
      </c>
      <c r="I1767" t="str">
        <f>TEXT(walmart[[#This Row],[Purchase_Date]],"MMM")</f>
        <v>Feb</v>
      </c>
      <c r="J1767" t="str">
        <f>TEXT(walmart[[#This Row],[Purchase_Date]],"YYY")</f>
        <v>2025</v>
      </c>
      <c r="K1767" s="3">
        <v>418.55</v>
      </c>
      <c r="L1767" t="str">
        <f t="shared" si="124"/>
        <v>5% off</v>
      </c>
      <c r="N1767" t="str">
        <f t="shared" si="125"/>
        <v>Yes</v>
      </c>
      <c r="O1767" t="s">
        <v>34</v>
      </c>
      <c r="P1767" s="3">
        <f t="shared" si="126"/>
        <v>418.55</v>
      </c>
      <c r="Q1767" t="s">
        <v>22</v>
      </c>
      <c r="R1767">
        <v>3</v>
      </c>
      <c r="S1767" t="str">
        <f t="shared" si="127"/>
        <v>Average</v>
      </c>
    </row>
    <row r="1768" spans="1:19" x14ac:dyDescent="0.25">
      <c r="A1768" t="s">
        <v>2192</v>
      </c>
      <c r="B1768">
        <v>26</v>
      </c>
      <c r="C1768" t="s">
        <v>29</v>
      </c>
      <c r="D1768" t="s">
        <v>2537</v>
      </c>
      <c r="E1768" t="s">
        <v>42</v>
      </c>
      <c r="F1768" t="s">
        <v>43</v>
      </c>
      <c r="G1768" t="s">
        <v>882</v>
      </c>
      <c r="H1768" t="str">
        <f>TEXT(walmart[[#This Row],[Purchase_Date]],"DDD")</f>
        <v>Sat</v>
      </c>
      <c r="I1768" t="str">
        <f>TEXT(walmart[[#This Row],[Purchase_Date]],"MMM")</f>
        <v>Sep</v>
      </c>
      <c r="J1768" t="str">
        <f>TEXT(walmart[[#This Row],[Purchase_Date]],"YYY")</f>
        <v>2024</v>
      </c>
      <c r="K1768" s="3">
        <v>512.94000000000005</v>
      </c>
      <c r="L1768" t="str">
        <f t="shared" si="124"/>
        <v>10% off</v>
      </c>
      <c r="N1768" t="str">
        <f t="shared" si="125"/>
        <v>Yes</v>
      </c>
      <c r="O1768" t="s">
        <v>21</v>
      </c>
      <c r="P1768" s="3">
        <f t="shared" si="126"/>
        <v>512.94000000000005</v>
      </c>
      <c r="Q1768" t="s">
        <v>47</v>
      </c>
      <c r="R1768">
        <v>4</v>
      </c>
      <c r="S1768" t="str">
        <f t="shared" si="127"/>
        <v>Good</v>
      </c>
    </row>
    <row r="1769" spans="1:19" x14ac:dyDescent="0.25">
      <c r="A1769" t="s">
        <v>2193</v>
      </c>
      <c r="B1769">
        <v>51</v>
      </c>
      <c r="C1769" t="s">
        <v>29</v>
      </c>
      <c r="D1769" t="s">
        <v>2538</v>
      </c>
      <c r="E1769" t="s">
        <v>73</v>
      </c>
      <c r="F1769" t="s">
        <v>91</v>
      </c>
      <c r="G1769" t="s">
        <v>110</v>
      </c>
      <c r="H1769" t="str">
        <f>TEXT(walmart[[#This Row],[Purchase_Date]],"DDD")</f>
        <v>Wed</v>
      </c>
      <c r="I1769" t="str">
        <f>TEXT(walmart[[#This Row],[Purchase_Date]],"MMM")</f>
        <v>Feb</v>
      </c>
      <c r="J1769" t="str">
        <f>TEXT(walmart[[#This Row],[Purchase_Date]],"YYY")</f>
        <v>2025</v>
      </c>
      <c r="K1769" s="3">
        <v>418.55</v>
      </c>
      <c r="L1769" t="str">
        <f t="shared" si="124"/>
        <v>5% off</v>
      </c>
      <c r="N1769" t="str">
        <f t="shared" si="125"/>
        <v>Yes</v>
      </c>
      <c r="O1769" t="s">
        <v>34</v>
      </c>
      <c r="P1769" s="3">
        <f t="shared" si="126"/>
        <v>418.55</v>
      </c>
      <c r="Q1769" t="s">
        <v>47</v>
      </c>
      <c r="R1769">
        <v>4</v>
      </c>
      <c r="S1769" t="str">
        <f t="shared" si="127"/>
        <v>Good</v>
      </c>
    </row>
    <row r="1770" spans="1:19" x14ac:dyDescent="0.25">
      <c r="A1770" t="s">
        <v>2194</v>
      </c>
      <c r="B1770">
        <v>24</v>
      </c>
      <c r="C1770" t="s">
        <v>16</v>
      </c>
      <c r="D1770" t="s">
        <v>2539</v>
      </c>
      <c r="E1770" t="s">
        <v>18</v>
      </c>
      <c r="F1770" t="s">
        <v>59</v>
      </c>
      <c r="G1770" t="s">
        <v>536</v>
      </c>
      <c r="H1770" t="str">
        <f>TEXT(walmart[[#This Row],[Purchase_Date]],"DDD")</f>
        <v>Tue</v>
      </c>
      <c r="I1770" t="str">
        <f>TEXT(walmart[[#This Row],[Purchase_Date]],"MMM")</f>
        <v>Jul</v>
      </c>
      <c r="J1770" t="str">
        <f>TEXT(walmart[[#This Row],[Purchase_Date]],"YYY")</f>
        <v>2024</v>
      </c>
      <c r="K1770" s="3">
        <v>78.349999999999994</v>
      </c>
      <c r="L1770" t="str">
        <f t="shared" si="124"/>
        <v>0% off</v>
      </c>
      <c r="N1770" t="str">
        <f t="shared" si="125"/>
        <v>No</v>
      </c>
      <c r="O1770" t="s">
        <v>21</v>
      </c>
      <c r="P1770" s="3">
        <f t="shared" si="126"/>
        <v>78.349999999999994</v>
      </c>
      <c r="Q1770" t="s">
        <v>27</v>
      </c>
      <c r="R1770">
        <v>4</v>
      </c>
      <c r="S1770" t="str">
        <f t="shared" si="127"/>
        <v>Good</v>
      </c>
    </row>
    <row r="1771" spans="1:19" x14ac:dyDescent="0.25">
      <c r="A1771" t="s">
        <v>2195</v>
      </c>
      <c r="B1771">
        <v>40</v>
      </c>
      <c r="C1771" t="s">
        <v>16</v>
      </c>
      <c r="D1771" t="s">
        <v>2540</v>
      </c>
      <c r="E1771" t="s">
        <v>37</v>
      </c>
      <c r="F1771" t="s">
        <v>38</v>
      </c>
      <c r="G1771" t="s">
        <v>968</v>
      </c>
      <c r="H1771" t="str">
        <f>TEXT(walmart[[#This Row],[Purchase_Date]],"DDD")</f>
        <v>Sat</v>
      </c>
      <c r="I1771" t="str">
        <f>TEXT(walmart[[#This Row],[Purchase_Date]],"MMM")</f>
        <v>Jan</v>
      </c>
      <c r="J1771" t="str">
        <f>TEXT(walmart[[#This Row],[Purchase_Date]],"YYY")</f>
        <v>2025</v>
      </c>
      <c r="K1771" s="3">
        <v>211.46</v>
      </c>
      <c r="L1771" t="str">
        <f t="shared" si="124"/>
        <v>5% off</v>
      </c>
      <c r="N1771" t="str">
        <f t="shared" si="125"/>
        <v>Yes</v>
      </c>
      <c r="O1771" t="s">
        <v>21</v>
      </c>
      <c r="P1771" s="3">
        <f t="shared" si="126"/>
        <v>211.46</v>
      </c>
      <c r="Q1771" t="s">
        <v>35</v>
      </c>
      <c r="R1771">
        <v>4</v>
      </c>
      <c r="S1771" t="str">
        <f t="shared" si="127"/>
        <v>Good</v>
      </c>
    </row>
    <row r="1772" spans="1:19" x14ac:dyDescent="0.25">
      <c r="A1772" t="s">
        <v>2196</v>
      </c>
      <c r="B1772">
        <v>27</v>
      </c>
      <c r="C1772" t="s">
        <v>29</v>
      </c>
      <c r="D1772" t="s">
        <v>2488</v>
      </c>
      <c r="E1772" t="s">
        <v>18</v>
      </c>
      <c r="F1772" t="s">
        <v>19</v>
      </c>
      <c r="G1772" t="s">
        <v>1365</v>
      </c>
      <c r="H1772" t="str">
        <f>TEXT(walmart[[#This Row],[Purchase_Date]],"DDD")</f>
        <v>Thu</v>
      </c>
      <c r="I1772" t="str">
        <f>TEXT(walmart[[#This Row],[Purchase_Date]],"MMM")</f>
        <v>Jan</v>
      </c>
      <c r="J1772" t="str">
        <f>TEXT(walmart[[#This Row],[Purchase_Date]],"YYY")</f>
        <v>2025</v>
      </c>
      <c r="K1772" s="3">
        <v>697.86</v>
      </c>
      <c r="L1772" t="str">
        <f t="shared" si="124"/>
        <v>10% off</v>
      </c>
      <c r="N1772" t="str">
        <f t="shared" si="125"/>
        <v>Yes</v>
      </c>
      <c r="O1772" t="s">
        <v>34</v>
      </c>
      <c r="P1772" s="3">
        <f t="shared" si="126"/>
        <v>697.86</v>
      </c>
      <c r="Q1772" t="s">
        <v>47</v>
      </c>
      <c r="R1772">
        <v>2</v>
      </c>
      <c r="S1772" t="str">
        <f t="shared" si="127"/>
        <v>Poor</v>
      </c>
    </row>
    <row r="1773" spans="1:19" x14ac:dyDescent="0.25">
      <c r="A1773" t="s">
        <v>2197</v>
      </c>
      <c r="B1773">
        <v>60</v>
      </c>
      <c r="C1773" t="s">
        <v>16</v>
      </c>
      <c r="D1773" t="s">
        <v>2541</v>
      </c>
      <c r="E1773" t="s">
        <v>42</v>
      </c>
      <c r="F1773" t="s">
        <v>120</v>
      </c>
      <c r="G1773" t="s">
        <v>252</v>
      </c>
      <c r="H1773" t="str">
        <f>TEXT(walmart[[#This Row],[Purchase_Date]],"DDD")</f>
        <v>Tue</v>
      </c>
      <c r="I1773" t="str">
        <f>TEXT(walmart[[#This Row],[Purchase_Date]],"MMM")</f>
        <v>Jun</v>
      </c>
      <c r="J1773" t="str">
        <f>TEXT(walmart[[#This Row],[Purchase_Date]],"YYY")</f>
        <v>2024</v>
      </c>
      <c r="K1773" s="3">
        <v>260.77999999999997</v>
      </c>
      <c r="L1773" t="str">
        <f t="shared" si="124"/>
        <v>5% off</v>
      </c>
      <c r="N1773" t="str">
        <f t="shared" si="125"/>
        <v>Yes</v>
      </c>
      <c r="O1773" t="s">
        <v>34</v>
      </c>
      <c r="P1773" s="3">
        <f t="shared" si="126"/>
        <v>260.77999999999997</v>
      </c>
      <c r="Q1773" t="s">
        <v>27</v>
      </c>
      <c r="R1773">
        <v>4</v>
      </c>
      <c r="S1773" t="str">
        <f t="shared" si="127"/>
        <v>Good</v>
      </c>
    </row>
    <row r="1774" spans="1:19" x14ac:dyDescent="0.25">
      <c r="A1774" t="s">
        <v>2198</v>
      </c>
      <c r="B1774">
        <v>60</v>
      </c>
      <c r="C1774" t="s">
        <v>29</v>
      </c>
      <c r="D1774" t="s">
        <v>2542</v>
      </c>
      <c r="E1774" t="s">
        <v>24</v>
      </c>
      <c r="F1774" t="s">
        <v>186</v>
      </c>
      <c r="G1774" t="s">
        <v>195</v>
      </c>
      <c r="H1774" t="str">
        <f>TEXT(walmart[[#This Row],[Purchase_Date]],"DDD")</f>
        <v>Thu</v>
      </c>
      <c r="I1774" t="str">
        <f>TEXT(walmart[[#This Row],[Purchase_Date]],"MMM")</f>
        <v>Feb</v>
      </c>
      <c r="J1774" t="str">
        <f>TEXT(walmart[[#This Row],[Purchase_Date]],"YYY")</f>
        <v>2025</v>
      </c>
      <c r="K1774" s="3">
        <v>527.16999999999996</v>
      </c>
      <c r="L1774" t="str">
        <f t="shared" si="124"/>
        <v>10% off</v>
      </c>
      <c r="N1774" t="str">
        <f t="shared" si="125"/>
        <v>Yes</v>
      </c>
      <c r="O1774" t="s">
        <v>34</v>
      </c>
      <c r="P1774" s="3">
        <f t="shared" si="126"/>
        <v>527.16999999999996</v>
      </c>
      <c r="Q1774" t="s">
        <v>22</v>
      </c>
      <c r="R1774">
        <v>3</v>
      </c>
      <c r="S1774" t="str">
        <f t="shared" si="127"/>
        <v>Average</v>
      </c>
    </row>
    <row r="1775" spans="1:19" x14ac:dyDescent="0.25">
      <c r="A1775" t="s">
        <v>2199</v>
      </c>
      <c r="B1775">
        <v>20</v>
      </c>
      <c r="C1775" t="s">
        <v>16</v>
      </c>
      <c r="D1775" t="s">
        <v>2543</v>
      </c>
      <c r="E1775" t="s">
        <v>73</v>
      </c>
      <c r="F1775" t="s">
        <v>138</v>
      </c>
      <c r="G1775" t="s">
        <v>2184</v>
      </c>
      <c r="H1775" t="str">
        <f>TEXT(walmart[[#This Row],[Purchase_Date]],"DDD")</f>
        <v>Tue</v>
      </c>
      <c r="I1775" t="str">
        <f>TEXT(walmart[[#This Row],[Purchase_Date]],"MMM")</f>
        <v>May</v>
      </c>
      <c r="J1775" t="str">
        <f>TEXT(walmart[[#This Row],[Purchase_Date]],"YYY")</f>
        <v>2024</v>
      </c>
      <c r="K1775" s="3">
        <v>461.81</v>
      </c>
      <c r="L1775" t="str">
        <f t="shared" si="124"/>
        <v>5% off</v>
      </c>
      <c r="N1775" t="str">
        <f t="shared" si="125"/>
        <v>Yes</v>
      </c>
      <c r="O1775" t="s">
        <v>34</v>
      </c>
      <c r="P1775" s="3">
        <f t="shared" si="126"/>
        <v>461.81</v>
      </c>
      <c r="Q1775" t="s">
        <v>47</v>
      </c>
      <c r="R1775">
        <v>4</v>
      </c>
      <c r="S1775" t="str">
        <f t="shared" si="127"/>
        <v>Good</v>
      </c>
    </row>
    <row r="1776" spans="1:19" x14ac:dyDescent="0.25">
      <c r="A1776" t="s">
        <v>2200</v>
      </c>
      <c r="B1776">
        <v>57</v>
      </c>
      <c r="C1776" t="s">
        <v>29</v>
      </c>
      <c r="D1776" t="s">
        <v>2544</v>
      </c>
      <c r="E1776" t="s">
        <v>24</v>
      </c>
      <c r="F1776" t="s">
        <v>25</v>
      </c>
      <c r="G1776" t="s">
        <v>622</v>
      </c>
      <c r="H1776" t="str">
        <f>TEXT(walmart[[#This Row],[Purchase_Date]],"DDD")</f>
        <v>Mon</v>
      </c>
      <c r="I1776" t="str">
        <f>TEXT(walmart[[#This Row],[Purchase_Date]],"MMM")</f>
        <v>Dec</v>
      </c>
      <c r="J1776" t="str">
        <f>TEXT(walmart[[#This Row],[Purchase_Date]],"YYY")</f>
        <v>2024</v>
      </c>
      <c r="K1776" s="3">
        <v>67.040000000000006</v>
      </c>
      <c r="L1776" t="str">
        <f t="shared" si="124"/>
        <v>0% off</v>
      </c>
      <c r="N1776" t="str">
        <f t="shared" si="125"/>
        <v>No</v>
      </c>
      <c r="O1776" t="s">
        <v>21</v>
      </c>
      <c r="P1776" s="3">
        <f t="shared" si="126"/>
        <v>67.040000000000006</v>
      </c>
      <c r="Q1776" t="s">
        <v>47</v>
      </c>
      <c r="R1776">
        <v>2</v>
      </c>
      <c r="S1776" t="str">
        <f t="shared" si="127"/>
        <v>Poor</v>
      </c>
    </row>
    <row r="1777" spans="1:19" x14ac:dyDescent="0.25">
      <c r="A1777" t="s">
        <v>2201</v>
      </c>
      <c r="B1777">
        <v>42</v>
      </c>
      <c r="C1777" t="s">
        <v>16</v>
      </c>
      <c r="D1777" t="s">
        <v>2545</v>
      </c>
      <c r="E1777" t="s">
        <v>37</v>
      </c>
      <c r="F1777" t="s">
        <v>97</v>
      </c>
      <c r="G1777" t="s">
        <v>287</v>
      </c>
      <c r="H1777" t="str">
        <f>TEXT(walmart[[#This Row],[Purchase_Date]],"DDD")</f>
        <v>Sun</v>
      </c>
      <c r="I1777" t="str">
        <f>TEXT(walmart[[#This Row],[Purchase_Date]],"MMM")</f>
        <v>Jul</v>
      </c>
      <c r="J1777" t="str">
        <f>TEXT(walmart[[#This Row],[Purchase_Date]],"YYY")</f>
        <v>2024</v>
      </c>
      <c r="K1777" s="3">
        <v>855.21</v>
      </c>
      <c r="L1777" t="str">
        <f t="shared" si="124"/>
        <v>15% off</v>
      </c>
      <c r="N1777" t="str">
        <f t="shared" si="125"/>
        <v>Yes</v>
      </c>
      <c r="O1777" t="s">
        <v>21</v>
      </c>
      <c r="P1777" s="3">
        <f t="shared" si="126"/>
        <v>855.21</v>
      </c>
      <c r="Q1777" t="s">
        <v>22</v>
      </c>
      <c r="R1777">
        <v>4</v>
      </c>
      <c r="S1777" t="str">
        <f t="shared" si="127"/>
        <v>Good</v>
      </c>
    </row>
    <row r="1778" spans="1:19" x14ac:dyDescent="0.25">
      <c r="A1778" t="s">
        <v>2202</v>
      </c>
      <c r="B1778">
        <v>53</v>
      </c>
      <c r="C1778" t="s">
        <v>29</v>
      </c>
      <c r="D1778" t="s">
        <v>2546</v>
      </c>
      <c r="E1778" t="s">
        <v>37</v>
      </c>
      <c r="F1778" t="s">
        <v>82</v>
      </c>
      <c r="G1778" t="s">
        <v>508</v>
      </c>
      <c r="H1778" t="str">
        <f>TEXT(walmart[[#This Row],[Purchase_Date]],"DDD")</f>
        <v>Thu</v>
      </c>
      <c r="I1778" t="str">
        <f>TEXT(walmart[[#This Row],[Purchase_Date]],"MMM")</f>
        <v>Jul</v>
      </c>
      <c r="J1778" t="str">
        <f>TEXT(walmart[[#This Row],[Purchase_Date]],"YYY")</f>
        <v>2024</v>
      </c>
      <c r="K1778" s="3">
        <v>270.41000000000003</v>
      </c>
      <c r="L1778" t="str">
        <f t="shared" si="124"/>
        <v>5% off</v>
      </c>
      <c r="N1778" t="str">
        <f t="shared" si="125"/>
        <v>Yes</v>
      </c>
      <c r="O1778" t="s">
        <v>21</v>
      </c>
      <c r="P1778" s="3">
        <f t="shared" si="126"/>
        <v>270.41000000000003</v>
      </c>
      <c r="Q1778" t="s">
        <v>47</v>
      </c>
      <c r="R1778">
        <v>3</v>
      </c>
      <c r="S1778" t="str">
        <f t="shared" si="127"/>
        <v>Average</v>
      </c>
    </row>
    <row r="1779" spans="1:19" x14ac:dyDescent="0.25">
      <c r="A1779" t="s">
        <v>2203</v>
      </c>
      <c r="B1779">
        <v>65</v>
      </c>
      <c r="C1779" t="s">
        <v>16</v>
      </c>
      <c r="D1779" t="s">
        <v>2547</v>
      </c>
      <c r="E1779" t="s">
        <v>24</v>
      </c>
      <c r="F1779" t="s">
        <v>25</v>
      </c>
      <c r="G1779" t="s">
        <v>791</v>
      </c>
      <c r="H1779" t="str">
        <f>TEXT(walmart[[#This Row],[Purchase_Date]],"DDD")</f>
        <v>Thu</v>
      </c>
      <c r="I1779" t="str">
        <f>TEXT(walmart[[#This Row],[Purchase_Date]],"MMM")</f>
        <v>Sep</v>
      </c>
      <c r="J1779" t="str">
        <f>TEXT(walmart[[#This Row],[Purchase_Date]],"YYY")</f>
        <v>2024</v>
      </c>
      <c r="K1779" s="3">
        <v>67.040000000000006</v>
      </c>
      <c r="L1779" t="str">
        <f t="shared" si="124"/>
        <v>0% off</v>
      </c>
      <c r="N1779" t="str">
        <f t="shared" si="125"/>
        <v>No</v>
      </c>
      <c r="O1779" t="s">
        <v>34</v>
      </c>
      <c r="P1779" s="3">
        <f t="shared" si="126"/>
        <v>67.040000000000006</v>
      </c>
      <c r="Q1779" t="s">
        <v>22</v>
      </c>
      <c r="R1779">
        <v>1</v>
      </c>
      <c r="S1779" t="str">
        <f t="shared" si="127"/>
        <v>Very Poor</v>
      </c>
    </row>
    <row r="1780" spans="1:19" x14ac:dyDescent="0.25">
      <c r="A1780" t="s">
        <v>2204</v>
      </c>
      <c r="B1780">
        <v>50</v>
      </c>
      <c r="C1780" t="s">
        <v>29</v>
      </c>
      <c r="D1780" t="s">
        <v>2548</v>
      </c>
      <c r="E1780" t="s">
        <v>18</v>
      </c>
      <c r="F1780" t="s">
        <v>19</v>
      </c>
      <c r="G1780" t="s">
        <v>210</v>
      </c>
      <c r="H1780" t="str">
        <f>TEXT(walmart[[#This Row],[Purchase_Date]],"DDD")</f>
        <v>Thu</v>
      </c>
      <c r="I1780" t="str">
        <f>TEXT(walmart[[#This Row],[Purchase_Date]],"MMM")</f>
        <v>Jun</v>
      </c>
      <c r="J1780" t="str">
        <f>TEXT(walmart[[#This Row],[Purchase_Date]],"YYY")</f>
        <v>2024</v>
      </c>
      <c r="K1780" s="3">
        <v>697.86</v>
      </c>
      <c r="L1780" t="str">
        <f t="shared" si="124"/>
        <v>10% off</v>
      </c>
      <c r="N1780" t="str">
        <f t="shared" si="125"/>
        <v>Yes</v>
      </c>
      <c r="O1780" t="s">
        <v>21</v>
      </c>
      <c r="P1780" s="3">
        <f t="shared" si="126"/>
        <v>697.86</v>
      </c>
      <c r="Q1780" t="s">
        <v>22</v>
      </c>
      <c r="R1780">
        <v>4</v>
      </c>
      <c r="S1780" t="str">
        <f t="shared" si="127"/>
        <v>Good</v>
      </c>
    </row>
    <row r="1781" spans="1:19" x14ac:dyDescent="0.25">
      <c r="A1781" t="s">
        <v>2205</v>
      </c>
      <c r="B1781">
        <v>23</v>
      </c>
      <c r="C1781" t="s">
        <v>16</v>
      </c>
      <c r="D1781" t="s">
        <v>2549</v>
      </c>
      <c r="E1781" t="s">
        <v>31</v>
      </c>
      <c r="F1781" t="s">
        <v>112</v>
      </c>
      <c r="G1781" t="s">
        <v>147</v>
      </c>
      <c r="H1781" t="str">
        <f>TEXT(walmart[[#This Row],[Purchase_Date]],"DDD")</f>
        <v>Sat</v>
      </c>
      <c r="I1781" t="str">
        <f>TEXT(walmart[[#This Row],[Purchase_Date]],"MMM")</f>
        <v>Apr</v>
      </c>
      <c r="J1781" t="str">
        <f>TEXT(walmart[[#This Row],[Purchase_Date]],"YYY")</f>
        <v>2024</v>
      </c>
      <c r="K1781" s="3">
        <v>492.1</v>
      </c>
      <c r="L1781" t="str">
        <f t="shared" si="124"/>
        <v>5% off</v>
      </c>
      <c r="N1781" t="str">
        <f t="shared" si="125"/>
        <v>Yes</v>
      </c>
      <c r="O1781" t="s">
        <v>34</v>
      </c>
      <c r="P1781" s="3">
        <f t="shared" si="126"/>
        <v>492.1</v>
      </c>
      <c r="Q1781" t="s">
        <v>22</v>
      </c>
      <c r="R1781">
        <v>3</v>
      </c>
      <c r="S1781" t="str">
        <f t="shared" si="127"/>
        <v>Average</v>
      </c>
    </row>
    <row r="1782" spans="1:19" x14ac:dyDescent="0.25">
      <c r="A1782" t="s">
        <v>2206</v>
      </c>
      <c r="B1782">
        <v>68</v>
      </c>
      <c r="C1782" t="s">
        <v>16</v>
      </c>
      <c r="D1782" t="s">
        <v>2550</v>
      </c>
      <c r="E1782" t="s">
        <v>73</v>
      </c>
      <c r="F1782" t="s">
        <v>91</v>
      </c>
      <c r="G1782" t="s">
        <v>98</v>
      </c>
      <c r="H1782" t="str">
        <f>TEXT(walmart[[#This Row],[Purchase_Date]],"DDD")</f>
        <v>Sun</v>
      </c>
      <c r="I1782" t="str">
        <f>TEXT(walmart[[#This Row],[Purchase_Date]],"MMM")</f>
        <v>Aug</v>
      </c>
      <c r="J1782" t="str">
        <f>TEXT(walmart[[#This Row],[Purchase_Date]],"YYY")</f>
        <v>2024</v>
      </c>
      <c r="K1782" s="3">
        <v>418.55</v>
      </c>
      <c r="L1782" t="str">
        <f t="shared" si="124"/>
        <v>5% off</v>
      </c>
      <c r="N1782" t="str">
        <f t="shared" si="125"/>
        <v>Yes</v>
      </c>
      <c r="O1782" t="s">
        <v>21</v>
      </c>
      <c r="P1782" s="3">
        <f t="shared" si="126"/>
        <v>418.55</v>
      </c>
      <c r="Q1782" t="s">
        <v>27</v>
      </c>
      <c r="R1782">
        <v>1</v>
      </c>
      <c r="S1782" t="str">
        <f t="shared" si="127"/>
        <v>Very Poor</v>
      </c>
    </row>
    <row r="1783" spans="1:19" x14ac:dyDescent="0.25">
      <c r="A1783" t="s">
        <v>2207</v>
      </c>
      <c r="B1783">
        <v>59</v>
      </c>
      <c r="C1783" t="s">
        <v>29</v>
      </c>
      <c r="D1783" t="s">
        <v>2551</v>
      </c>
      <c r="E1783" t="s">
        <v>42</v>
      </c>
      <c r="F1783" t="s">
        <v>103</v>
      </c>
      <c r="G1783" t="s">
        <v>639</v>
      </c>
      <c r="H1783" t="str">
        <f>TEXT(walmart[[#This Row],[Purchase_Date]],"DDD")</f>
        <v>Fri</v>
      </c>
      <c r="I1783" t="str">
        <f>TEXT(walmart[[#This Row],[Purchase_Date]],"MMM")</f>
        <v>Jun</v>
      </c>
      <c r="J1783" t="str">
        <f>TEXT(walmart[[#This Row],[Purchase_Date]],"YYY")</f>
        <v>2024</v>
      </c>
      <c r="K1783" s="3">
        <v>315.56</v>
      </c>
      <c r="L1783" t="str">
        <f t="shared" si="124"/>
        <v>5% off</v>
      </c>
      <c r="N1783" t="str">
        <f t="shared" si="125"/>
        <v>Yes</v>
      </c>
      <c r="O1783" t="s">
        <v>21</v>
      </c>
      <c r="P1783" s="3">
        <f t="shared" si="126"/>
        <v>315.56</v>
      </c>
      <c r="Q1783" t="s">
        <v>22</v>
      </c>
      <c r="R1783">
        <v>5</v>
      </c>
      <c r="S1783" t="str">
        <f t="shared" si="127"/>
        <v>Excellent</v>
      </c>
    </row>
    <row r="1784" spans="1:19" x14ac:dyDescent="0.25">
      <c r="A1784" t="s">
        <v>2208</v>
      </c>
      <c r="B1784">
        <v>69</v>
      </c>
      <c r="C1784" t="s">
        <v>16</v>
      </c>
      <c r="D1784" t="s">
        <v>2552</v>
      </c>
      <c r="E1784" t="s">
        <v>55</v>
      </c>
      <c r="F1784" t="s">
        <v>67</v>
      </c>
      <c r="G1784" t="s">
        <v>171</v>
      </c>
      <c r="H1784" t="str">
        <f>TEXT(walmart[[#This Row],[Purchase_Date]],"DDD")</f>
        <v>Tue</v>
      </c>
      <c r="I1784" t="str">
        <f>TEXT(walmart[[#This Row],[Purchase_Date]],"MMM")</f>
        <v>Nov</v>
      </c>
      <c r="J1784" t="str">
        <f>TEXT(walmart[[#This Row],[Purchase_Date]],"YYY")</f>
        <v>2024</v>
      </c>
      <c r="K1784" s="3">
        <v>452.97</v>
      </c>
      <c r="L1784" t="str">
        <f t="shared" si="124"/>
        <v>5% off</v>
      </c>
      <c r="N1784" t="str">
        <f t="shared" si="125"/>
        <v>Yes</v>
      </c>
      <c r="O1784" t="s">
        <v>21</v>
      </c>
      <c r="P1784" s="3">
        <f t="shared" si="126"/>
        <v>452.97</v>
      </c>
      <c r="Q1784" t="s">
        <v>22</v>
      </c>
      <c r="R1784">
        <v>2</v>
      </c>
      <c r="S1784" t="str">
        <f t="shared" si="127"/>
        <v>Poor</v>
      </c>
    </row>
    <row r="1785" spans="1:19" x14ac:dyDescent="0.25">
      <c r="A1785" t="s">
        <v>2209</v>
      </c>
      <c r="B1785">
        <v>27</v>
      </c>
      <c r="C1785" t="s">
        <v>16</v>
      </c>
      <c r="D1785" t="s">
        <v>2553</v>
      </c>
      <c r="E1785" t="s">
        <v>31</v>
      </c>
      <c r="F1785" t="s">
        <v>169</v>
      </c>
      <c r="G1785" t="s">
        <v>480</v>
      </c>
      <c r="H1785" t="str">
        <f>TEXT(walmart[[#This Row],[Purchase_Date]],"DDD")</f>
        <v>Mon</v>
      </c>
      <c r="I1785" t="str">
        <f>TEXT(walmart[[#This Row],[Purchase_Date]],"MMM")</f>
        <v>Oct</v>
      </c>
      <c r="J1785" t="str">
        <f>TEXT(walmart[[#This Row],[Purchase_Date]],"YYY")</f>
        <v>2024</v>
      </c>
      <c r="K1785" s="3">
        <v>52.44</v>
      </c>
      <c r="L1785" t="str">
        <f t="shared" si="124"/>
        <v>0% off</v>
      </c>
      <c r="N1785" t="str">
        <f t="shared" si="125"/>
        <v>No</v>
      </c>
      <c r="O1785" t="s">
        <v>34</v>
      </c>
      <c r="P1785" s="3">
        <f t="shared" si="126"/>
        <v>52.44</v>
      </c>
      <c r="Q1785" t="s">
        <v>47</v>
      </c>
      <c r="R1785">
        <v>4</v>
      </c>
      <c r="S1785" t="str">
        <f t="shared" si="127"/>
        <v>Good</v>
      </c>
    </row>
    <row r="1786" spans="1:19" x14ac:dyDescent="0.25">
      <c r="A1786" t="s">
        <v>2210</v>
      </c>
      <c r="B1786">
        <v>34</v>
      </c>
      <c r="C1786" t="s">
        <v>16</v>
      </c>
      <c r="D1786" t="s">
        <v>2554</v>
      </c>
      <c r="E1786" t="s">
        <v>24</v>
      </c>
      <c r="F1786" t="s">
        <v>162</v>
      </c>
      <c r="G1786" t="s">
        <v>130</v>
      </c>
      <c r="H1786" t="str">
        <f>TEXT(walmart[[#This Row],[Purchase_Date]],"DDD")</f>
        <v>Mon</v>
      </c>
      <c r="I1786" t="str">
        <f>TEXT(walmart[[#This Row],[Purchase_Date]],"MMM")</f>
        <v>Nov</v>
      </c>
      <c r="J1786" t="str">
        <f>TEXT(walmart[[#This Row],[Purchase_Date]],"YYY")</f>
        <v>2024</v>
      </c>
      <c r="K1786" s="3">
        <v>362.55</v>
      </c>
      <c r="L1786" t="str">
        <f t="shared" si="124"/>
        <v>5% off</v>
      </c>
      <c r="N1786" t="str">
        <f t="shared" si="125"/>
        <v>Yes</v>
      </c>
      <c r="O1786" t="s">
        <v>34</v>
      </c>
      <c r="P1786" s="3">
        <f t="shared" si="126"/>
        <v>362.55</v>
      </c>
      <c r="Q1786" t="s">
        <v>35</v>
      </c>
      <c r="R1786">
        <v>4</v>
      </c>
      <c r="S1786" t="str">
        <f t="shared" si="127"/>
        <v>Good</v>
      </c>
    </row>
    <row r="1787" spans="1:19" x14ac:dyDescent="0.25">
      <c r="A1787" t="s">
        <v>2211</v>
      </c>
      <c r="B1787">
        <v>19</v>
      </c>
      <c r="C1787" t="s">
        <v>29</v>
      </c>
      <c r="D1787" t="s">
        <v>2555</v>
      </c>
      <c r="E1787" t="s">
        <v>73</v>
      </c>
      <c r="F1787" t="s">
        <v>91</v>
      </c>
      <c r="G1787" t="s">
        <v>1414</v>
      </c>
      <c r="H1787" t="str">
        <f>TEXT(walmart[[#This Row],[Purchase_Date]],"DDD")</f>
        <v>Mon</v>
      </c>
      <c r="I1787" t="str">
        <f>TEXT(walmart[[#This Row],[Purchase_Date]],"MMM")</f>
        <v>Dec</v>
      </c>
      <c r="J1787" t="str">
        <f>TEXT(walmart[[#This Row],[Purchase_Date]],"YYY")</f>
        <v>2024</v>
      </c>
      <c r="K1787" s="3">
        <v>418.55</v>
      </c>
      <c r="L1787" t="str">
        <f t="shared" si="124"/>
        <v>5% off</v>
      </c>
      <c r="N1787" t="str">
        <f t="shared" si="125"/>
        <v>Yes</v>
      </c>
      <c r="O1787" t="s">
        <v>21</v>
      </c>
      <c r="P1787" s="3">
        <f t="shared" si="126"/>
        <v>418.55</v>
      </c>
      <c r="Q1787" t="s">
        <v>22</v>
      </c>
      <c r="R1787">
        <v>4</v>
      </c>
      <c r="S1787" t="str">
        <f t="shared" si="127"/>
        <v>Good</v>
      </c>
    </row>
    <row r="1788" spans="1:19" x14ac:dyDescent="0.25">
      <c r="A1788" t="s">
        <v>2212</v>
      </c>
      <c r="B1788">
        <v>51</v>
      </c>
      <c r="C1788" t="s">
        <v>29</v>
      </c>
      <c r="D1788" t="s">
        <v>2556</v>
      </c>
      <c r="E1788" t="s">
        <v>24</v>
      </c>
      <c r="F1788" t="s">
        <v>162</v>
      </c>
      <c r="G1788" t="s">
        <v>502</v>
      </c>
      <c r="H1788" t="str">
        <f>TEXT(walmart[[#This Row],[Purchase_Date]],"DDD")</f>
        <v>Thu</v>
      </c>
      <c r="I1788" t="str">
        <f>TEXT(walmart[[#This Row],[Purchase_Date]],"MMM")</f>
        <v>Jul</v>
      </c>
      <c r="J1788" t="str">
        <f>TEXT(walmart[[#This Row],[Purchase_Date]],"YYY")</f>
        <v>2024</v>
      </c>
      <c r="K1788" s="3">
        <v>362.55</v>
      </c>
      <c r="L1788" t="str">
        <f t="shared" si="124"/>
        <v>5% off</v>
      </c>
      <c r="N1788" t="str">
        <f t="shared" si="125"/>
        <v>Yes</v>
      </c>
      <c r="O1788" t="s">
        <v>34</v>
      </c>
      <c r="P1788" s="3">
        <f t="shared" si="126"/>
        <v>362.55</v>
      </c>
      <c r="Q1788" t="s">
        <v>35</v>
      </c>
      <c r="R1788">
        <v>4</v>
      </c>
      <c r="S1788" t="str">
        <f t="shared" si="127"/>
        <v>Good</v>
      </c>
    </row>
    <row r="1789" spans="1:19" x14ac:dyDescent="0.25">
      <c r="A1789" t="s">
        <v>2213</v>
      </c>
      <c r="B1789">
        <v>39</v>
      </c>
      <c r="C1789" t="s">
        <v>16</v>
      </c>
      <c r="D1789" t="s">
        <v>2557</v>
      </c>
      <c r="E1789" t="s">
        <v>24</v>
      </c>
      <c r="F1789" t="s">
        <v>162</v>
      </c>
      <c r="G1789" t="s">
        <v>764</v>
      </c>
      <c r="H1789" t="str">
        <f>TEXT(walmart[[#This Row],[Purchase_Date]],"DDD")</f>
        <v>Sun</v>
      </c>
      <c r="I1789" t="str">
        <f>TEXT(walmart[[#This Row],[Purchase_Date]],"MMM")</f>
        <v>Apr</v>
      </c>
      <c r="J1789" t="str">
        <f>TEXT(walmart[[#This Row],[Purchase_Date]],"YYY")</f>
        <v>2024</v>
      </c>
      <c r="K1789" s="3">
        <v>362.55</v>
      </c>
      <c r="L1789" t="str">
        <f t="shared" si="124"/>
        <v>5% off</v>
      </c>
      <c r="N1789" t="str">
        <f t="shared" si="125"/>
        <v>Yes</v>
      </c>
      <c r="O1789" t="s">
        <v>34</v>
      </c>
      <c r="P1789" s="3">
        <f t="shared" si="126"/>
        <v>362.55</v>
      </c>
      <c r="Q1789" t="s">
        <v>27</v>
      </c>
      <c r="R1789">
        <v>5</v>
      </c>
      <c r="S1789" t="str">
        <f t="shared" si="127"/>
        <v>Excellent</v>
      </c>
    </row>
    <row r="1790" spans="1:19" x14ac:dyDescent="0.25">
      <c r="A1790" t="s">
        <v>2214</v>
      </c>
      <c r="B1790">
        <v>41</v>
      </c>
      <c r="C1790" t="s">
        <v>29</v>
      </c>
      <c r="D1790" t="s">
        <v>2558</v>
      </c>
      <c r="E1790" t="s">
        <v>42</v>
      </c>
      <c r="F1790" t="s">
        <v>43</v>
      </c>
      <c r="G1790" t="s">
        <v>555</v>
      </c>
      <c r="H1790" t="str">
        <f>TEXT(walmart[[#This Row],[Purchase_Date]],"DDD")</f>
        <v>Mon</v>
      </c>
      <c r="I1790" t="str">
        <f>TEXT(walmart[[#This Row],[Purchase_Date]],"MMM")</f>
        <v>Sep</v>
      </c>
      <c r="J1790" t="str">
        <f>TEXT(walmart[[#This Row],[Purchase_Date]],"YYY")</f>
        <v>2024</v>
      </c>
      <c r="K1790" s="3">
        <v>512.94000000000005</v>
      </c>
      <c r="L1790" t="str">
        <f t="shared" si="124"/>
        <v>10% off</v>
      </c>
      <c r="N1790" t="str">
        <f t="shared" si="125"/>
        <v>Yes</v>
      </c>
      <c r="O1790" t="s">
        <v>34</v>
      </c>
      <c r="P1790" s="3">
        <f t="shared" si="126"/>
        <v>512.94000000000005</v>
      </c>
      <c r="Q1790" t="s">
        <v>47</v>
      </c>
      <c r="R1790">
        <v>5</v>
      </c>
      <c r="S1790" t="str">
        <f t="shared" si="127"/>
        <v>Excellent</v>
      </c>
    </row>
    <row r="1791" spans="1:19" x14ac:dyDescent="0.25">
      <c r="A1791" t="s">
        <v>2215</v>
      </c>
      <c r="B1791">
        <v>68</v>
      </c>
      <c r="C1791" t="s">
        <v>16</v>
      </c>
      <c r="D1791" t="s">
        <v>2559</v>
      </c>
      <c r="E1791" t="s">
        <v>42</v>
      </c>
      <c r="F1791" t="s">
        <v>43</v>
      </c>
      <c r="G1791" t="s">
        <v>157</v>
      </c>
      <c r="H1791" t="str">
        <f>TEXT(walmart[[#This Row],[Purchase_Date]],"DDD")</f>
        <v>Mon</v>
      </c>
      <c r="I1791" t="str">
        <f>TEXT(walmart[[#This Row],[Purchase_Date]],"MMM")</f>
        <v>Jun</v>
      </c>
      <c r="J1791" t="str">
        <f>TEXT(walmart[[#This Row],[Purchase_Date]],"YYY")</f>
        <v>2024</v>
      </c>
      <c r="K1791" s="3">
        <v>512.94000000000005</v>
      </c>
      <c r="L1791" t="str">
        <f t="shared" si="124"/>
        <v>10% off</v>
      </c>
      <c r="N1791" t="str">
        <f t="shared" si="125"/>
        <v>Yes</v>
      </c>
      <c r="O1791" t="s">
        <v>34</v>
      </c>
      <c r="P1791" s="3">
        <f t="shared" si="126"/>
        <v>512.94000000000005</v>
      </c>
      <c r="Q1791" t="s">
        <v>47</v>
      </c>
      <c r="R1791">
        <v>5</v>
      </c>
      <c r="S1791" t="str">
        <f t="shared" si="127"/>
        <v>Excellent</v>
      </c>
    </row>
    <row r="1792" spans="1:19" x14ac:dyDescent="0.25">
      <c r="A1792" t="s">
        <v>2216</v>
      </c>
      <c r="B1792">
        <v>53</v>
      </c>
      <c r="C1792" t="s">
        <v>16</v>
      </c>
      <c r="D1792" t="s">
        <v>2560</v>
      </c>
      <c r="E1792" t="s">
        <v>37</v>
      </c>
      <c r="F1792" t="s">
        <v>97</v>
      </c>
      <c r="G1792" t="s">
        <v>1074</v>
      </c>
      <c r="H1792" t="str">
        <f>TEXT(walmart[[#This Row],[Purchase_Date]],"DDD")</f>
        <v>Fri</v>
      </c>
      <c r="I1792" t="str">
        <f>TEXT(walmart[[#This Row],[Purchase_Date]],"MMM")</f>
        <v>Jan</v>
      </c>
      <c r="J1792" t="str">
        <f>TEXT(walmart[[#This Row],[Purchase_Date]],"YYY")</f>
        <v>2025</v>
      </c>
      <c r="K1792" s="3">
        <v>855.21</v>
      </c>
      <c r="L1792" t="str">
        <f t="shared" si="124"/>
        <v>15% off</v>
      </c>
      <c r="N1792" t="str">
        <f t="shared" si="125"/>
        <v>Yes</v>
      </c>
      <c r="O1792" t="s">
        <v>34</v>
      </c>
      <c r="P1792" s="3">
        <f t="shared" si="126"/>
        <v>855.21</v>
      </c>
      <c r="Q1792" t="s">
        <v>22</v>
      </c>
      <c r="R1792">
        <v>4</v>
      </c>
      <c r="S1792" t="str">
        <f t="shared" si="127"/>
        <v>Good</v>
      </c>
    </row>
    <row r="1793" spans="1:19" x14ac:dyDescent="0.25">
      <c r="A1793" t="s">
        <v>2217</v>
      </c>
      <c r="B1793">
        <v>21</v>
      </c>
      <c r="C1793" t="s">
        <v>29</v>
      </c>
      <c r="D1793" t="s">
        <v>2561</v>
      </c>
      <c r="E1793" t="s">
        <v>73</v>
      </c>
      <c r="F1793" t="s">
        <v>138</v>
      </c>
      <c r="G1793" t="s">
        <v>492</v>
      </c>
      <c r="H1793" t="str">
        <f>TEXT(walmart[[#This Row],[Purchase_Date]],"DDD")</f>
        <v>Thu</v>
      </c>
      <c r="I1793" t="str">
        <f>TEXT(walmart[[#This Row],[Purchase_Date]],"MMM")</f>
        <v>Oct</v>
      </c>
      <c r="J1793" t="str">
        <f>TEXT(walmart[[#This Row],[Purchase_Date]],"YYY")</f>
        <v>2024</v>
      </c>
      <c r="K1793" s="3">
        <v>461.81</v>
      </c>
      <c r="L1793" t="str">
        <f t="shared" si="124"/>
        <v>5% off</v>
      </c>
      <c r="N1793" t="str">
        <f t="shared" si="125"/>
        <v>Yes</v>
      </c>
      <c r="O1793" t="s">
        <v>21</v>
      </c>
      <c r="P1793" s="3">
        <f t="shared" si="126"/>
        <v>461.81</v>
      </c>
      <c r="Q1793" t="s">
        <v>27</v>
      </c>
      <c r="R1793">
        <v>2</v>
      </c>
      <c r="S1793" t="str">
        <f t="shared" si="127"/>
        <v>Poor</v>
      </c>
    </row>
    <row r="1794" spans="1:19" x14ac:dyDescent="0.25">
      <c r="A1794" t="s">
        <v>2218</v>
      </c>
      <c r="B1794">
        <v>30</v>
      </c>
      <c r="C1794" t="s">
        <v>29</v>
      </c>
      <c r="D1794" t="s">
        <v>2501</v>
      </c>
      <c r="E1794" t="s">
        <v>24</v>
      </c>
      <c r="F1794" t="s">
        <v>162</v>
      </c>
      <c r="G1794" t="s">
        <v>805</v>
      </c>
      <c r="H1794" t="str">
        <f>TEXT(walmart[[#This Row],[Purchase_Date]],"DDD")</f>
        <v>Thu</v>
      </c>
      <c r="I1794" t="str">
        <f>TEXT(walmart[[#This Row],[Purchase_Date]],"MMM")</f>
        <v>Apr</v>
      </c>
      <c r="J1794" t="str">
        <f>TEXT(walmart[[#This Row],[Purchase_Date]],"YYY")</f>
        <v>2024</v>
      </c>
      <c r="K1794" s="3">
        <v>362.55</v>
      </c>
      <c r="L1794" t="str">
        <f t="shared" si="124"/>
        <v>5% off</v>
      </c>
      <c r="N1794" t="str">
        <f t="shared" si="125"/>
        <v>Yes</v>
      </c>
      <c r="O1794" t="s">
        <v>34</v>
      </c>
      <c r="P1794" s="3">
        <f t="shared" si="126"/>
        <v>362.55</v>
      </c>
      <c r="Q1794" t="s">
        <v>27</v>
      </c>
      <c r="R1794">
        <v>4</v>
      </c>
      <c r="S1794" t="str">
        <f t="shared" si="127"/>
        <v>Good</v>
      </c>
    </row>
    <row r="1795" spans="1:19" x14ac:dyDescent="0.25">
      <c r="A1795" t="s">
        <v>2219</v>
      </c>
      <c r="B1795">
        <v>66</v>
      </c>
      <c r="C1795" t="s">
        <v>29</v>
      </c>
      <c r="D1795" t="s">
        <v>2504</v>
      </c>
      <c r="E1795" t="s">
        <v>73</v>
      </c>
      <c r="F1795" t="s">
        <v>91</v>
      </c>
      <c r="G1795" t="s">
        <v>39</v>
      </c>
      <c r="H1795" t="str">
        <f>TEXT(walmart[[#This Row],[Purchase_Date]],"DDD")</f>
        <v>Sat</v>
      </c>
      <c r="I1795" t="str">
        <f>TEXT(walmart[[#This Row],[Purchase_Date]],"MMM")</f>
        <v>Nov</v>
      </c>
      <c r="J1795" t="str">
        <f>TEXT(walmart[[#This Row],[Purchase_Date]],"YYY")</f>
        <v>2024</v>
      </c>
      <c r="K1795" s="3">
        <v>418.55</v>
      </c>
      <c r="L1795" t="str">
        <f t="shared" ref="L1795:L1858" si="128">IF(K1795&lt;150,"0% off",IF(K1795&lt;500,"5% off",IF(K1795&lt;700,"10% off",IF(K1795&lt;900,"15% off","20% off"))))</f>
        <v>5% off</v>
      </c>
      <c r="N1795" t="str">
        <f t="shared" ref="N1795:N1858" si="129">IF(L1795="0% off", "No", "Yes")</f>
        <v>Yes</v>
      </c>
      <c r="O1795" t="s">
        <v>21</v>
      </c>
      <c r="P1795" s="3">
        <f t="shared" ref="P1795:P1858" si="130">K1795-M1795</f>
        <v>418.55</v>
      </c>
      <c r="Q1795" t="s">
        <v>27</v>
      </c>
      <c r="R1795">
        <v>5</v>
      </c>
      <c r="S1795" t="str">
        <f t="shared" ref="S1795:S1858" si="131">IF(R1795=5, "Excellent", IF(R1795=4, "Good", IF(R1795=3, "Average", IF(R1795=2, "Poor", IF(R1795=1, "Very Poor", "Invalid Rating")))))</f>
        <v>Excellent</v>
      </c>
    </row>
    <row r="1796" spans="1:19" x14ac:dyDescent="0.25">
      <c r="A1796" t="s">
        <v>2220</v>
      </c>
      <c r="B1796">
        <v>37</v>
      </c>
      <c r="C1796" t="s">
        <v>16</v>
      </c>
      <c r="D1796" t="s">
        <v>2505</v>
      </c>
      <c r="E1796" t="s">
        <v>73</v>
      </c>
      <c r="F1796" t="s">
        <v>74</v>
      </c>
      <c r="G1796" t="s">
        <v>708</v>
      </c>
      <c r="H1796" t="str">
        <f>TEXT(walmart[[#This Row],[Purchase_Date]],"DDD")</f>
        <v>Mon</v>
      </c>
      <c r="I1796" t="str">
        <f>TEXT(walmart[[#This Row],[Purchase_Date]],"MMM")</f>
        <v>Feb</v>
      </c>
      <c r="J1796" t="str">
        <f>TEXT(walmart[[#This Row],[Purchase_Date]],"YYY")</f>
        <v>2025</v>
      </c>
      <c r="K1796" s="3">
        <v>782.29</v>
      </c>
      <c r="L1796" t="str">
        <f t="shared" si="128"/>
        <v>15% off</v>
      </c>
      <c r="N1796" t="str">
        <f t="shared" si="129"/>
        <v>Yes</v>
      </c>
      <c r="O1796" t="s">
        <v>21</v>
      </c>
      <c r="P1796" s="3">
        <f t="shared" si="130"/>
        <v>782.29</v>
      </c>
      <c r="Q1796" t="s">
        <v>22</v>
      </c>
      <c r="R1796">
        <v>3</v>
      </c>
      <c r="S1796" t="str">
        <f t="shared" si="131"/>
        <v>Average</v>
      </c>
    </row>
    <row r="1797" spans="1:19" x14ac:dyDescent="0.25">
      <c r="A1797" t="s">
        <v>2221</v>
      </c>
      <c r="B1797">
        <v>23</v>
      </c>
      <c r="C1797" t="s">
        <v>16</v>
      </c>
      <c r="D1797" t="s">
        <v>2562</v>
      </c>
      <c r="E1797" t="s">
        <v>37</v>
      </c>
      <c r="F1797" t="s">
        <v>117</v>
      </c>
      <c r="G1797" t="s">
        <v>171</v>
      </c>
      <c r="H1797" t="str">
        <f>TEXT(walmart[[#This Row],[Purchase_Date]],"DDD")</f>
        <v>Tue</v>
      </c>
      <c r="I1797" t="str">
        <f>TEXT(walmart[[#This Row],[Purchase_Date]],"MMM")</f>
        <v>Nov</v>
      </c>
      <c r="J1797" t="str">
        <f>TEXT(walmart[[#This Row],[Purchase_Date]],"YYY")</f>
        <v>2024</v>
      </c>
      <c r="K1797" s="3">
        <v>165.68</v>
      </c>
      <c r="L1797" t="str">
        <f t="shared" si="128"/>
        <v>5% off</v>
      </c>
      <c r="N1797" t="str">
        <f t="shared" si="129"/>
        <v>Yes</v>
      </c>
      <c r="O1797" t="s">
        <v>21</v>
      </c>
      <c r="P1797" s="3">
        <f t="shared" si="130"/>
        <v>165.68</v>
      </c>
      <c r="Q1797" t="s">
        <v>27</v>
      </c>
      <c r="R1797">
        <v>4</v>
      </c>
      <c r="S1797" t="str">
        <f t="shared" si="131"/>
        <v>Good</v>
      </c>
    </row>
    <row r="1798" spans="1:19" x14ac:dyDescent="0.25">
      <c r="A1798" t="s">
        <v>2222</v>
      </c>
      <c r="B1798">
        <v>31</v>
      </c>
      <c r="C1798" t="s">
        <v>29</v>
      </c>
      <c r="D1798" t="s">
        <v>2563</v>
      </c>
      <c r="E1798" t="s">
        <v>18</v>
      </c>
      <c r="F1798" t="s">
        <v>142</v>
      </c>
      <c r="G1798" t="s">
        <v>794</v>
      </c>
      <c r="H1798" t="str">
        <f>TEXT(walmart[[#This Row],[Purchase_Date]],"DDD")</f>
        <v>Wed</v>
      </c>
      <c r="I1798" t="str">
        <f>TEXT(walmart[[#This Row],[Purchase_Date]],"MMM")</f>
        <v>Jan</v>
      </c>
      <c r="J1798" t="str">
        <f>TEXT(walmart[[#This Row],[Purchase_Date]],"YYY")</f>
        <v>2025</v>
      </c>
      <c r="K1798" s="3">
        <v>485.26</v>
      </c>
      <c r="L1798" t="str">
        <f t="shared" si="128"/>
        <v>5% off</v>
      </c>
      <c r="N1798" t="str">
        <f t="shared" si="129"/>
        <v>Yes</v>
      </c>
      <c r="O1798" t="s">
        <v>21</v>
      </c>
      <c r="P1798" s="3">
        <f t="shared" si="130"/>
        <v>485.26</v>
      </c>
      <c r="Q1798" t="s">
        <v>22</v>
      </c>
      <c r="R1798">
        <v>2</v>
      </c>
      <c r="S1798" t="str">
        <f t="shared" si="131"/>
        <v>Poor</v>
      </c>
    </row>
    <row r="1799" spans="1:19" x14ac:dyDescent="0.25">
      <c r="A1799" t="s">
        <v>2223</v>
      </c>
      <c r="B1799">
        <v>24</v>
      </c>
      <c r="C1799" t="s">
        <v>16</v>
      </c>
      <c r="D1799" t="s">
        <v>2564</v>
      </c>
      <c r="E1799" t="s">
        <v>24</v>
      </c>
      <c r="F1799" t="s">
        <v>209</v>
      </c>
      <c r="G1799" t="s">
        <v>733</v>
      </c>
      <c r="H1799" t="str">
        <f>TEXT(walmart[[#This Row],[Purchase_Date]],"DDD")</f>
        <v>Fri</v>
      </c>
      <c r="I1799" t="str">
        <f>TEXT(walmart[[#This Row],[Purchase_Date]],"MMM")</f>
        <v>Dec</v>
      </c>
      <c r="J1799" t="str">
        <f>TEXT(walmart[[#This Row],[Purchase_Date]],"YYY")</f>
        <v>2024</v>
      </c>
      <c r="K1799" s="3">
        <v>775.75</v>
      </c>
      <c r="L1799" t="str">
        <f t="shared" si="128"/>
        <v>15% off</v>
      </c>
      <c r="N1799" t="str">
        <f t="shared" si="129"/>
        <v>Yes</v>
      </c>
      <c r="O1799" t="s">
        <v>34</v>
      </c>
      <c r="P1799" s="3">
        <f t="shared" si="130"/>
        <v>775.75</v>
      </c>
      <c r="Q1799" t="s">
        <v>27</v>
      </c>
      <c r="R1799">
        <v>4</v>
      </c>
      <c r="S1799" t="str">
        <f t="shared" si="131"/>
        <v>Good</v>
      </c>
    </row>
    <row r="1800" spans="1:19" x14ac:dyDescent="0.25">
      <c r="A1800" t="s">
        <v>2224</v>
      </c>
      <c r="B1800">
        <v>32</v>
      </c>
      <c r="C1800" t="s">
        <v>16</v>
      </c>
      <c r="D1800" t="s">
        <v>2565</v>
      </c>
      <c r="E1800" t="s">
        <v>24</v>
      </c>
      <c r="F1800" t="s">
        <v>162</v>
      </c>
      <c r="G1800" t="s">
        <v>1348</v>
      </c>
      <c r="H1800" t="str">
        <f>TEXT(walmart[[#This Row],[Purchase_Date]],"DDD")</f>
        <v>Fri</v>
      </c>
      <c r="I1800" t="str">
        <f>TEXT(walmart[[#This Row],[Purchase_Date]],"MMM")</f>
        <v>Mar</v>
      </c>
      <c r="J1800" t="str">
        <f>TEXT(walmart[[#This Row],[Purchase_Date]],"YYY")</f>
        <v>2024</v>
      </c>
      <c r="K1800" s="3">
        <v>362.55</v>
      </c>
      <c r="L1800" t="str">
        <f t="shared" si="128"/>
        <v>5% off</v>
      </c>
      <c r="N1800" t="str">
        <f t="shared" si="129"/>
        <v>Yes</v>
      </c>
      <c r="O1800" t="s">
        <v>34</v>
      </c>
      <c r="P1800" s="3">
        <f t="shared" si="130"/>
        <v>362.55</v>
      </c>
      <c r="Q1800" t="s">
        <v>35</v>
      </c>
      <c r="R1800">
        <v>4</v>
      </c>
      <c r="S1800" t="str">
        <f t="shared" si="131"/>
        <v>Good</v>
      </c>
    </row>
    <row r="1801" spans="1:19" x14ac:dyDescent="0.25">
      <c r="A1801" t="s">
        <v>2225</v>
      </c>
      <c r="B1801">
        <v>38</v>
      </c>
      <c r="C1801" t="s">
        <v>29</v>
      </c>
      <c r="D1801" t="s">
        <v>2566</v>
      </c>
      <c r="E1801" t="s">
        <v>18</v>
      </c>
      <c r="F1801" t="s">
        <v>19</v>
      </c>
      <c r="G1801" t="s">
        <v>143</v>
      </c>
      <c r="H1801" t="str">
        <f>TEXT(walmart[[#This Row],[Purchase_Date]],"DDD")</f>
        <v>Thu</v>
      </c>
      <c r="I1801" t="str">
        <f>TEXT(walmart[[#This Row],[Purchase_Date]],"MMM")</f>
        <v>Dec</v>
      </c>
      <c r="J1801" t="str">
        <f>TEXT(walmart[[#This Row],[Purchase_Date]],"YYY")</f>
        <v>2024</v>
      </c>
      <c r="K1801" s="3">
        <v>697.86</v>
      </c>
      <c r="L1801" t="str">
        <f t="shared" si="128"/>
        <v>10% off</v>
      </c>
      <c r="N1801" t="str">
        <f t="shared" si="129"/>
        <v>Yes</v>
      </c>
      <c r="O1801" t="s">
        <v>34</v>
      </c>
      <c r="P1801" s="3">
        <f t="shared" si="130"/>
        <v>697.86</v>
      </c>
      <c r="Q1801" t="s">
        <v>47</v>
      </c>
      <c r="R1801">
        <v>5</v>
      </c>
      <c r="S1801" t="str">
        <f t="shared" si="131"/>
        <v>Excellent</v>
      </c>
    </row>
    <row r="1802" spans="1:19" x14ac:dyDescent="0.25">
      <c r="A1802" t="s">
        <v>2226</v>
      </c>
      <c r="B1802">
        <v>32</v>
      </c>
      <c r="C1802" t="s">
        <v>29</v>
      </c>
      <c r="D1802" t="s">
        <v>2433</v>
      </c>
      <c r="E1802" t="s">
        <v>18</v>
      </c>
      <c r="F1802" t="s">
        <v>142</v>
      </c>
      <c r="G1802" t="s">
        <v>441</v>
      </c>
      <c r="H1802" t="str">
        <f>TEXT(walmart[[#This Row],[Purchase_Date]],"DDD")</f>
        <v>Tue</v>
      </c>
      <c r="I1802" t="str">
        <f>TEXT(walmart[[#This Row],[Purchase_Date]],"MMM")</f>
        <v>Apr</v>
      </c>
      <c r="J1802" t="str">
        <f>TEXT(walmart[[#This Row],[Purchase_Date]],"YYY")</f>
        <v>2024</v>
      </c>
      <c r="K1802" s="3">
        <v>485.26</v>
      </c>
      <c r="L1802" t="str">
        <f t="shared" si="128"/>
        <v>5% off</v>
      </c>
      <c r="N1802" t="str">
        <f t="shared" si="129"/>
        <v>Yes</v>
      </c>
      <c r="O1802" t="s">
        <v>21</v>
      </c>
      <c r="P1802" s="3">
        <f t="shared" si="130"/>
        <v>485.26</v>
      </c>
      <c r="Q1802" t="s">
        <v>27</v>
      </c>
      <c r="R1802">
        <v>1</v>
      </c>
      <c r="S1802" t="str">
        <f t="shared" si="131"/>
        <v>Very Poor</v>
      </c>
    </row>
    <row r="1803" spans="1:19" x14ac:dyDescent="0.25">
      <c r="A1803" t="s">
        <v>2227</v>
      </c>
      <c r="B1803">
        <v>23</v>
      </c>
      <c r="C1803" t="s">
        <v>16</v>
      </c>
      <c r="D1803" t="s">
        <v>49</v>
      </c>
      <c r="E1803" t="s">
        <v>55</v>
      </c>
      <c r="F1803" t="s">
        <v>64</v>
      </c>
      <c r="G1803" t="s">
        <v>405</v>
      </c>
      <c r="H1803" t="str">
        <f>TEXT(walmart[[#This Row],[Purchase_Date]],"DDD")</f>
        <v>Tue</v>
      </c>
      <c r="I1803" t="str">
        <f>TEXT(walmart[[#This Row],[Purchase_Date]],"MMM")</f>
        <v>Sep</v>
      </c>
      <c r="J1803" t="str">
        <f>TEXT(walmart[[#This Row],[Purchase_Date]],"YYY")</f>
        <v>2024</v>
      </c>
      <c r="K1803" s="3">
        <v>374.92</v>
      </c>
      <c r="L1803" t="str">
        <f t="shared" si="128"/>
        <v>5% off</v>
      </c>
      <c r="N1803" t="str">
        <f t="shared" si="129"/>
        <v>Yes</v>
      </c>
      <c r="O1803" t="s">
        <v>34</v>
      </c>
      <c r="P1803" s="3">
        <f t="shared" si="130"/>
        <v>374.92</v>
      </c>
      <c r="Q1803" t="s">
        <v>22</v>
      </c>
      <c r="R1803">
        <v>1</v>
      </c>
      <c r="S1803" t="str">
        <f t="shared" si="131"/>
        <v>Very Poor</v>
      </c>
    </row>
    <row r="1804" spans="1:19" x14ac:dyDescent="0.25">
      <c r="A1804" t="s">
        <v>2228</v>
      </c>
      <c r="B1804">
        <v>39</v>
      </c>
      <c r="C1804" t="s">
        <v>16</v>
      </c>
      <c r="D1804" t="s">
        <v>30</v>
      </c>
      <c r="E1804" t="s">
        <v>18</v>
      </c>
      <c r="F1804" t="s">
        <v>142</v>
      </c>
      <c r="G1804" t="s">
        <v>712</v>
      </c>
      <c r="H1804" t="str">
        <f>TEXT(walmart[[#This Row],[Purchase_Date]],"DDD")</f>
        <v>Thu</v>
      </c>
      <c r="I1804" t="str">
        <f>TEXT(walmart[[#This Row],[Purchase_Date]],"MMM")</f>
        <v>May</v>
      </c>
      <c r="J1804" t="str">
        <f>TEXT(walmart[[#This Row],[Purchase_Date]],"YYY")</f>
        <v>2024</v>
      </c>
      <c r="K1804" s="3">
        <v>485.26</v>
      </c>
      <c r="L1804" t="str">
        <f t="shared" si="128"/>
        <v>5% off</v>
      </c>
      <c r="N1804" t="str">
        <f t="shared" si="129"/>
        <v>Yes</v>
      </c>
      <c r="O1804" t="s">
        <v>21</v>
      </c>
      <c r="P1804" s="3">
        <f t="shared" si="130"/>
        <v>485.26</v>
      </c>
      <c r="Q1804" t="s">
        <v>47</v>
      </c>
      <c r="R1804">
        <v>3</v>
      </c>
      <c r="S1804" t="str">
        <f t="shared" si="131"/>
        <v>Average</v>
      </c>
    </row>
    <row r="1805" spans="1:19" x14ac:dyDescent="0.25">
      <c r="A1805" t="s">
        <v>2229</v>
      </c>
      <c r="B1805">
        <v>35</v>
      </c>
      <c r="C1805" t="s">
        <v>16</v>
      </c>
      <c r="D1805" t="s">
        <v>41</v>
      </c>
      <c r="E1805" t="s">
        <v>37</v>
      </c>
      <c r="F1805" t="s">
        <v>82</v>
      </c>
      <c r="G1805" t="s">
        <v>272</v>
      </c>
      <c r="H1805" t="str">
        <f>TEXT(walmart[[#This Row],[Purchase_Date]],"DDD")</f>
        <v>Mon</v>
      </c>
      <c r="I1805" t="str">
        <f>TEXT(walmart[[#This Row],[Purchase_Date]],"MMM")</f>
        <v>Jan</v>
      </c>
      <c r="J1805" t="str">
        <f>TEXT(walmart[[#This Row],[Purchase_Date]],"YYY")</f>
        <v>2025</v>
      </c>
      <c r="K1805" s="3">
        <v>270.41000000000003</v>
      </c>
      <c r="L1805" t="str">
        <f t="shared" si="128"/>
        <v>5% off</v>
      </c>
      <c r="N1805" t="str">
        <f t="shared" si="129"/>
        <v>Yes</v>
      </c>
      <c r="O1805" t="s">
        <v>21</v>
      </c>
      <c r="P1805" s="3">
        <f t="shared" si="130"/>
        <v>270.41000000000003</v>
      </c>
      <c r="Q1805" t="s">
        <v>27</v>
      </c>
      <c r="R1805">
        <v>4</v>
      </c>
      <c r="S1805" t="str">
        <f t="shared" si="131"/>
        <v>Good</v>
      </c>
    </row>
    <row r="1806" spans="1:19" x14ac:dyDescent="0.25">
      <c r="A1806" t="s">
        <v>2230</v>
      </c>
      <c r="B1806">
        <v>36</v>
      </c>
      <c r="C1806" t="s">
        <v>29</v>
      </c>
      <c r="D1806" t="s">
        <v>2434</v>
      </c>
      <c r="E1806" t="s">
        <v>31</v>
      </c>
      <c r="F1806" t="s">
        <v>300</v>
      </c>
      <c r="G1806" t="s">
        <v>388</v>
      </c>
      <c r="H1806" t="str">
        <f>TEXT(walmart[[#This Row],[Purchase_Date]],"DDD")</f>
        <v>Sun</v>
      </c>
      <c r="I1806" t="str">
        <f>TEXT(walmart[[#This Row],[Purchase_Date]],"MMM")</f>
        <v>Nov</v>
      </c>
      <c r="J1806" t="str">
        <f>TEXT(walmart[[#This Row],[Purchase_Date]],"YYY")</f>
        <v>2024</v>
      </c>
      <c r="K1806" s="3">
        <v>340.04</v>
      </c>
      <c r="L1806" t="str">
        <f t="shared" si="128"/>
        <v>5% off</v>
      </c>
      <c r="N1806" t="str">
        <f t="shared" si="129"/>
        <v>Yes</v>
      </c>
      <c r="O1806" t="s">
        <v>34</v>
      </c>
      <c r="P1806" s="3">
        <f t="shared" si="130"/>
        <v>340.04</v>
      </c>
      <c r="Q1806" t="s">
        <v>47</v>
      </c>
      <c r="R1806">
        <v>4</v>
      </c>
      <c r="S1806" t="str">
        <f t="shared" si="131"/>
        <v>Good</v>
      </c>
    </row>
    <row r="1807" spans="1:19" x14ac:dyDescent="0.25">
      <c r="A1807" t="s">
        <v>2231</v>
      </c>
      <c r="B1807">
        <v>55</v>
      </c>
      <c r="C1807" t="s">
        <v>29</v>
      </c>
      <c r="D1807" t="s">
        <v>2435</v>
      </c>
      <c r="E1807" t="s">
        <v>55</v>
      </c>
      <c r="F1807" t="s">
        <v>56</v>
      </c>
      <c r="G1807" t="s">
        <v>83</v>
      </c>
      <c r="H1807" t="str">
        <f>TEXT(walmart[[#This Row],[Purchase_Date]],"DDD")</f>
        <v>Sun</v>
      </c>
      <c r="I1807" t="str">
        <f>TEXT(walmart[[#This Row],[Purchase_Date]],"MMM")</f>
        <v>Apr</v>
      </c>
      <c r="J1807" t="str">
        <f>TEXT(walmart[[#This Row],[Purchase_Date]],"YYY")</f>
        <v>2024</v>
      </c>
      <c r="K1807" s="3">
        <v>76.81</v>
      </c>
      <c r="L1807" t="str">
        <f t="shared" si="128"/>
        <v>0% off</v>
      </c>
      <c r="N1807" t="str">
        <f t="shared" si="129"/>
        <v>No</v>
      </c>
      <c r="O1807" t="s">
        <v>34</v>
      </c>
      <c r="P1807" s="3">
        <f t="shared" si="130"/>
        <v>76.81</v>
      </c>
      <c r="Q1807" t="s">
        <v>27</v>
      </c>
      <c r="R1807">
        <v>2</v>
      </c>
      <c r="S1807" t="str">
        <f t="shared" si="131"/>
        <v>Poor</v>
      </c>
    </row>
    <row r="1808" spans="1:19" x14ac:dyDescent="0.25">
      <c r="A1808" t="s">
        <v>2232</v>
      </c>
      <c r="B1808">
        <v>50</v>
      </c>
      <c r="C1808" t="s">
        <v>29</v>
      </c>
      <c r="D1808" t="s">
        <v>2436</v>
      </c>
      <c r="E1808" t="s">
        <v>31</v>
      </c>
      <c r="F1808" t="s">
        <v>32</v>
      </c>
      <c r="G1808" t="s">
        <v>696</v>
      </c>
      <c r="H1808" t="str">
        <f>TEXT(walmart[[#This Row],[Purchase_Date]],"DDD")</f>
        <v>Thu</v>
      </c>
      <c r="I1808" t="str">
        <f>TEXT(walmart[[#This Row],[Purchase_Date]],"MMM")</f>
        <v>Nov</v>
      </c>
      <c r="J1808" t="str">
        <f>TEXT(walmart[[#This Row],[Purchase_Date]],"YYY")</f>
        <v>2024</v>
      </c>
      <c r="K1808" s="3">
        <v>493.96</v>
      </c>
      <c r="L1808" t="str">
        <f t="shared" si="128"/>
        <v>5% off</v>
      </c>
      <c r="N1808" t="str">
        <f t="shared" si="129"/>
        <v>Yes</v>
      </c>
      <c r="O1808" t="s">
        <v>21</v>
      </c>
      <c r="P1808" s="3">
        <f t="shared" si="130"/>
        <v>493.96</v>
      </c>
      <c r="Q1808" t="s">
        <v>22</v>
      </c>
      <c r="R1808">
        <v>5</v>
      </c>
      <c r="S1808" t="str">
        <f t="shared" si="131"/>
        <v>Excellent</v>
      </c>
    </row>
    <row r="1809" spans="1:19" x14ac:dyDescent="0.25">
      <c r="A1809" t="s">
        <v>2233</v>
      </c>
      <c r="B1809">
        <v>68</v>
      </c>
      <c r="C1809" t="s">
        <v>29</v>
      </c>
      <c r="D1809" t="s">
        <v>2437</v>
      </c>
      <c r="E1809" t="s">
        <v>31</v>
      </c>
      <c r="F1809" t="s">
        <v>169</v>
      </c>
      <c r="G1809" t="s">
        <v>260</v>
      </c>
      <c r="H1809" t="str">
        <f>TEXT(walmart[[#This Row],[Purchase_Date]],"DDD")</f>
        <v>Thu</v>
      </c>
      <c r="I1809" t="str">
        <f>TEXT(walmart[[#This Row],[Purchase_Date]],"MMM")</f>
        <v>Mar</v>
      </c>
      <c r="J1809" t="str">
        <f>TEXT(walmart[[#This Row],[Purchase_Date]],"YYY")</f>
        <v>2025</v>
      </c>
      <c r="K1809" s="3">
        <v>52.44</v>
      </c>
      <c r="L1809" t="str">
        <f t="shared" si="128"/>
        <v>0% off</v>
      </c>
      <c r="N1809" t="str">
        <f t="shared" si="129"/>
        <v>No</v>
      </c>
      <c r="O1809" t="s">
        <v>34</v>
      </c>
      <c r="P1809" s="3">
        <f t="shared" si="130"/>
        <v>52.44</v>
      </c>
      <c r="Q1809" t="s">
        <v>22</v>
      </c>
      <c r="R1809">
        <v>4</v>
      </c>
      <c r="S1809" t="str">
        <f t="shared" si="131"/>
        <v>Good</v>
      </c>
    </row>
    <row r="1810" spans="1:19" x14ac:dyDescent="0.25">
      <c r="A1810" t="s">
        <v>2234</v>
      </c>
      <c r="B1810">
        <v>45</v>
      </c>
      <c r="C1810" t="s">
        <v>16</v>
      </c>
      <c r="D1810" t="s">
        <v>2438</v>
      </c>
      <c r="E1810" t="s">
        <v>24</v>
      </c>
      <c r="F1810" t="s">
        <v>162</v>
      </c>
      <c r="G1810" t="s">
        <v>1793</v>
      </c>
      <c r="H1810" t="str">
        <f>TEXT(walmart[[#This Row],[Purchase_Date]],"DDD")</f>
        <v>Wed</v>
      </c>
      <c r="I1810" t="str">
        <f>TEXT(walmart[[#This Row],[Purchase_Date]],"MMM")</f>
        <v>Jun</v>
      </c>
      <c r="J1810" t="str">
        <f>TEXT(walmart[[#This Row],[Purchase_Date]],"YYY")</f>
        <v>2024</v>
      </c>
      <c r="K1810" s="3">
        <v>362.55</v>
      </c>
      <c r="L1810" t="str">
        <f t="shared" si="128"/>
        <v>5% off</v>
      </c>
      <c r="N1810" t="str">
        <f t="shared" si="129"/>
        <v>Yes</v>
      </c>
      <c r="O1810" t="s">
        <v>34</v>
      </c>
      <c r="P1810" s="3">
        <f t="shared" si="130"/>
        <v>362.55</v>
      </c>
      <c r="Q1810" t="s">
        <v>47</v>
      </c>
      <c r="R1810">
        <v>5</v>
      </c>
      <c r="S1810" t="str">
        <f t="shared" si="131"/>
        <v>Excellent</v>
      </c>
    </row>
    <row r="1811" spans="1:19" x14ac:dyDescent="0.25">
      <c r="A1811" t="s">
        <v>2235</v>
      </c>
      <c r="B1811">
        <v>39</v>
      </c>
      <c r="C1811" t="s">
        <v>16</v>
      </c>
      <c r="D1811" t="s">
        <v>2439</v>
      </c>
      <c r="E1811" t="s">
        <v>18</v>
      </c>
      <c r="F1811" t="s">
        <v>142</v>
      </c>
      <c r="G1811" t="s">
        <v>106</v>
      </c>
      <c r="H1811" t="str">
        <f>TEXT(walmart[[#This Row],[Purchase_Date]],"DDD")</f>
        <v>Sun</v>
      </c>
      <c r="I1811" t="str">
        <f>TEXT(walmart[[#This Row],[Purchase_Date]],"MMM")</f>
        <v>Apr</v>
      </c>
      <c r="J1811" t="str">
        <f>TEXT(walmart[[#This Row],[Purchase_Date]],"YYY")</f>
        <v>2024</v>
      </c>
      <c r="K1811" s="3">
        <v>485.26</v>
      </c>
      <c r="L1811" t="str">
        <f t="shared" si="128"/>
        <v>5% off</v>
      </c>
      <c r="N1811" t="str">
        <f t="shared" si="129"/>
        <v>Yes</v>
      </c>
      <c r="O1811" t="s">
        <v>34</v>
      </c>
      <c r="P1811" s="3">
        <f t="shared" si="130"/>
        <v>485.26</v>
      </c>
      <c r="Q1811" t="s">
        <v>22</v>
      </c>
      <c r="R1811">
        <v>1</v>
      </c>
      <c r="S1811" t="str">
        <f t="shared" si="131"/>
        <v>Very Poor</v>
      </c>
    </row>
    <row r="1812" spans="1:19" x14ac:dyDescent="0.25">
      <c r="A1812" t="s">
        <v>2236</v>
      </c>
      <c r="B1812">
        <v>21</v>
      </c>
      <c r="C1812" t="s">
        <v>29</v>
      </c>
      <c r="D1812" t="s">
        <v>2440</v>
      </c>
      <c r="E1812" t="s">
        <v>42</v>
      </c>
      <c r="F1812" t="s">
        <v>43</v>
      </c>
      <c r="G1812" t="s">
        <v>289</v>
      </c>
      <c r="H1812" t="str">
        <f>TEXT(walmart[[#This Row],[Purchase_Date]],"DDD")</f>
        <v>Sat</v>
      </c>
      <c r="I1812" t="str">
        <f>TEXT(walmart[[#This Row],[Purchase_Date]],"MMM")</f>
        <v>Sep</v>
      </c>
      <c r="J1812" t="str">
        <f>TEXT(walmart[[#This Row],[Purchase_Date]],"YYY")</f>
        <v>2024</v>
      </c>
      <c r="K1812" s="3">
        <v>512.94000000000005</v>
      </c>
      <c r="L1812" t="str">
        <f t="shared" si="128"/>
        <v>10% off</v>
      </c>
      <c r="N1812" t="str">
        <f t="shared" si="129"/>
        <v>Yes</v>
      </c>
      <c r="O1812" t="s">
        <v>21</v>
      </c>
      <c r="P1812" s="3">
        <f t="shared" si="130"/>
        <v>512.94000000000005</v>
      </c>
      <c r="Q1812" t="s">
        <v>22</v>
      </c>
      <c r="R1812">
        <v>1</v>
      </c>
      <c r="S1812" t="str">
        <f t="shared" si="131"/>
        <v>Very Poor</v>
      </c>
    </row>
    <row r="1813" spans="1:19" x14ac:dyDescent="0.25">
      <c r="A1813" t="s">
        <v>2237</v>
      </c>
      <c r="B1813">
        <v>36</v>
      </c>
      <c r="C1813" t="s">
        <v>16</v>
      </c>
      <c r="D1813" t="s">
        <v>2441</v>
      </c>
      <c r="E1813" t="s">
        <v>42</v>
      </c>
      <c r="F1813" t="s">
        <v>103</v>
      </c>
      <c r="G1813" t="s">
        <v>1101</v>
      </c>
      <c r="H1813" t="str">
        <f>TEXT(walmart[[#This Row],[Purchase_Date]],"DDD")</f>
        <v>Thu</v>
      </c>
      <c r="I1813" t="str">
        <f>TEXT(walmart[[#This Row],[Purchase_Date]],"MMM")</f>
        <v>Mar</v>
      </c>
      <c r="J1813" t="str">
        <f>TEXT(walmart[[#This Row],[Purchase_Date]],"YYY")</f>
        <v>2025</v>
      </c>
      <c r="K1813" s="3">
        <v>315.56</v>
      </c>
      <c r="L1813" t="str">
        <f t="shared" si="128"/>
        <v>5% off</v>
      </c>
      <c r="N1813" t="str">
        <f t="shared" si="129"/>
        <v>Yes</v>
      </c>
      <c r="O1813" t="s">
        <v>21</v>
      </c>
      <c r="P1813" s="3">
        <f t="shared" si="130"/>
        <v>315.56</v>
      </c>
      <c r="Q1813" t="s">
        <v>22</v>
      </c>
      <c r="R1813">
        <v>4</v>
      </c>
      <c r="S1813" t="str">
        <f t="shared" si="131"/>
        <v>Good</v>
      </c>
    </row>
    <row r="1814" spans="1:19" x14ac:dyDescent="0.25">
      <c r="A1814" t="s">
        <v>2238</v>
      </c>
      <c r="B1814">
        <v>21</v>
      </c>
      <c r="C1814" t="s">
        <v>16</v>
      </c>
      <c r="D1814" t="s">
        <v>17</v>
      </c>
      <c r="E1814" t="s">
        <v>18</v>
      </c>
      <c r="F1814" t="s">
        <v>77</v>
      </c>
      <c r="G1814" t="s">
        <v>617</v>
      </c>
      <c r="H1814" t="str">
        <f>TEXT(walmart[[#This Row],[Purchase_Date]],"DDD")</f>
        <v>Mon</v>
      </c>
      <c r="I1814" t="str">
        <f>TEXT(walmart[[#This Row],[Purchase_Date]],"MMM")</f>
        <v>Jul</v>
      </c>
      <c r="J1814" t="str">
        <f>TEXT(walmart[[#This Row],[Purchase_Date]],"YYY")</f>
        <v>2024</v>
      </c>
      <c r="K1814" s="3">
        <v>116.78</v>
      </c>
      <c r="L1814" t="str">
        <f t="shared" si="128"/>
        <v>0% off</v>
      </c>
      <c r="N1814" t="str">
        <f t="shared" si="129"/>
        <v>No</v>
      </c>
      <c r="O1814" t="s">
        <v>21</v>
      </c>
      <c r="P1814" s="3">
        <f t="shared" si="130"/>
        <v>116.78</v>
      </c>
      <c r="Q1814" t="s">
        <v>47</v>
      </c>
      <c r="R1814">
        <v>5</v>
      </c>
      <c r="S1814" t="str">
        <f t="shared" si="131"/>
        <v>Excellent</v>
      </c>
    </row>
    <row r="1815" spans="1:19" x14ac:dyDescent="0.25">
      <c r="A1815" t="s">
        <v>2239</v>
      </c>
      <c r="B1815">
        <v>27</v>
      </c>
      <c r="C1815" t="s">
        <v>16</v>
      </c>
      <c r="D1815" t="s">
        <v>2442</v>
      </c>
      <c r="E1815" t="s">
        <v>31</v>
      </c>
      <c r="F1815" t="s">
        <v>32</v>
      </c>
      <c r="G1815" t="s">
        <v>968</v>
      </c>
      <c r="H1815" t="str">
        <f>TEXT(walmart[[#This Row],[Purchase_Date]],"DDD")</f>
        <v>Sat</v>
      </c>
      <c r="I1815" t="str">
        <f>TEXT(walmart[[#This Row],[Purchase_Date]],"MMM")</f>
        <v>Jan</v>
      </c>
      <c r="J1815" t="str">
        <f>TEXT(walmart[[#This Row],[Purchase_Date]],"YYY")</f>
        <v>2025</v>
      </c>
      <c r="K1815" s="3">
        <v>493.96</v>
      </c>
      <c r="L1815" t="str">
        <f t="shared" si="128"/>
        <v>5% off</v>
      </c>
      <c r="N1815" t="str">
        <f t="shared" si="129"/>
        <v>Yes</v>
      </c>
      <c r="O1815" t="s">
        <v>34</v>
      </c>
      <c r="P1815" s="3">
        <f t="shared" si="130"/>
        <v>493.96</v>
      </c>
      <c r="Q1815" t="s">
        <v>22</v>
      </c>
      <c r="R1815">
        <v>2</v>
      </c>
      <c r="S1815" t="str">
        <f t="shared" si="131"/>
        <v>Poor</v>
      </c>
    </row>
    <row r="1816" spans="1:19" x14ac:dyDescent="0.25">
      <c r="A1816" t="s">
        <v>2240</v>
      </c>
      <c r="B1816">
        <v>28</v>
      </c>
      <c r="C1816" t="s">
        <v>16</v>
      </c>
      <c r="D1816" t="s">
        <v>2443</v>
      </c>
      <c r="E1816" t="s">
        <v>55</v>
      </c>
      <c r="F1816" t="s">
        <v>64</v>
      </c>
      <c r="G1816" t="s">
        <v>78</v>
      </c>
      <c r="H1816" t="str">
        <f>TEXT(walmart[[#This Row],[Purchase_Date]],"DDD")</f>
        <v>Mon</v>
      </c>
      <c r="I1816" t="str">
        <f>TEXT(walmart[[#This Row],[Purchase_Date]],"MMM")</f>
        <v>Jul</v>
      </c>
      <c r="J1816" t="str">
        <f>TEXT(walmart[[#This Row],[Purchase_Date]],"YYY")</f>
        <v>2024</v>
      </c>
      <c r="K1816" s="3">
        <v>374.92</v>
      </c>
      <c r="L1816" t="str">
        <f t="shared" si="128"/>
        <v>5% off</v>
      </c>
      <c r="N1816" t="str">
        <f t="shared" si="129"/>
        <v>Yes</v>
      </c>
      <c r="O1816" t="s">
        <v>34</v>
      </c>
      <c r="P1816" s="3">
        <f t="shared" si="130"/>
        <v>374.92</v>
      </c>
      <c r="Q1816" t="s">
        <v>22</v>
      </c>
      <c r="R1816">
        <v>3</v>
      </c>
      <c r="S1816" t="str">
        <f t="shared" si="131"/>
        <v>Average</v>
      </c>
    </row>
    <row r="1817" spans="1:19" x14ac:dyDescent="0.25">
      <c r="A1817" t="s">
        <v>2241</v>
      </c>
      <c r="B1817">
        <v>59</v>
      </c>
      <c r="C1817" t="s">
        <v>29</v>
      </c>
      <c r="D1817" t="s">
        <v>2444</v>
      </c>
      <c r="E1817" t="s">
        <v>18</v>
      </c>
      <c r="F1817" t="s">
        <v>142</v>
      </c>
      <c r="G1817" t="s">
        <v>409</v>
      </c>
      <c r="H1817" t="str">
        <f>TEXT(walmart[[#This Row],[Purchase_Date]],"DDD")</f>
        <v>Wed</v>
      </c>
      <c r="I1817" t="str">
        <f>TEXT(walmart[[#This Row],[Purchase_Date]],"MMM")</f>
        <v>Jul</v>
      </c>
      <c r="J1817" t="str">
        <f>TEXT(walmart[[#This Row],[Purchase_Date]],"YYY")</f>
        <v>2024</v>
      </c>
      <c r="K1817" s="3">
        <v>485.26</v>
      </c>
      <c r="L1817" t="str">
        <f t="shared" si="128"/>
        <v>5% off</v>
      </c>
      <c r="N1817" t="str">
        <f t="shared" si="129"/>
        <v>Yes</v>
      </c>
      <c r="O1817" t="s">
        <v>21</v>
      </c>
      <c r="P1817" s="3">
        <f t="shared" si="130"/>
        <v>485.26</v>
      </c>
      <c r="Q1817" t="s">
        <v>27</v>
      </c>
      <c r="R1817">
        <v>5</v>
      </c>
      <c r="S1817" t="str">
        <f t="shared" si="131"/>
        <v>Excellent</v>
      </c>
    </row>
    <row r="1818" spans="1:19" x14ac:dyDescent="0.25">
      <c r="A1818" t="s">
        <v>2242</v>
      </c>
      <c r="B1818">
        <v>46</v>
      </c>
      <c r="C1818" t="s">
        <v>16</v>
      </c>
      <c r="D1818" t="s">
        <v>2445</v>
      </c>
      <c r="E1818" t="s">
        <v>55</v>
      </c>
      <c r="F1818" t="s">
        <v>100</v>
      </c>
      <c r="G1818" t="s">
        <v>558</v>
      </c>
      <c r="H1818" t="str">
        <f>TEXT(walmart[[#This Row],[Purchase_Date]],"DDD")</f>
        <v>Tue</v>
      </c>
      <c r="I1818" t="str">
        <f>TEXT(walmart[[#This Row],[Purchase_Date]],"MMM")</f>
        <v>Dec</v>
      </c>
      <c r="J1818" t="str">
        <f>TEXT(walmart[[#This Row],[Purchase_Date]],"YYY")</f>
        <v>2024</v>
      </c>
      <c r="K1818" s="3">
        <v>592.26</v>
      </c>
      <c r="L1818" t="str">
        <f t="shared" si="128"/>
        <v>10% off</v>
      </c>
      <c r="N1818" t="str">
        <f t="shared" si="129"/>
        <v>Yes</v>
      </c>
      <c r="O1818" t="s">
        <v>21</v>
      </c>
      <c r="P1818" s="3">
        <f t="shared" si="130"/>
        <v>592.26</v>
      </c>
      <c r="Q1818" t="s">
        <v>47</v>
      </c>
      <c r="R1818">
        <v>2</v>
      </c>
      <c r="S1818" t="str">
        <f t="shared" si="131"/>
        <v>Poor</v>
      </c>
    </row>
    <row r="1819" spans="1:19" x14ac:dyDescent="0.25">
      <c r="A1819" t="s">
        <v>2243</v>
      </c>
      <c r="B1819">
        <v>50</v>
      </c>
      <c r="C1819" t="s">
        <v>29</v>
      </c>
      <c r="D1819" t="s">
        <v>2446</v>
      </c>
      <c r="E1819" t="s">
        <v>55</v>
      </c>
      <c r="F1819" t="s">
        <v>100</v>
      </c>
      <c r="G1819" t="s">
        <v>295</v>
      </c>
      <c r="H1819" t="str">
        <f>TEXT(walmart[[#This Row],[Purchase_Date]],"DDD")</f>
        <v>Sun</v>
      </c>
      <c r="I1819" t="str">
        <f>TEXT(walmart[[#This Row],[Purchase_Date]],"MMM")</f>
        <v>Mar</v>
      </c>
      <c r="J1819" t="str">
        <f>TEXT(walmart[[#This Row],[Purchase_Date]],"YYY")</f>
        <v>2025</v>
      </c>
      <c r="K1819" s="3">
        <v>592.26</v>
      </c>
      <c r="L1819" t="str">
        <f t="shared" si="128"/>
        <v>10% off</v>
      </c>
      <c r="N1819" t="str">
        <f t="shared" si="129"/>
        <v>Yes</v>
      </c>
      <c r="O1819" t="s">
        <v>34</v>
      </c>
      <c r="P1819" s="3">
        <f t="shared" si="130"/>
        <v>592.26</v>
      </c>
      <c r="Q1819" t="s">
        <v>47</v>
      </c>
      <c r="R1819">
        <v>4</v>
      </c>
      <c r="S1819" t="str">
        <f t="shared" si="131"/>
        <v>Good</v>
      </c>
    </row>
    <row r="1820" spans="1:19" x14ac:dyDescent="0.25">
      <c r="A1820" t="s">
        <v>2244</v>
      </c>
      <c r="B1820">
        <v>69</v>
      </c>
      <c r="C1820" t="s">
        <v>29</v>
      </c>
      <c r="D1820" t="s">
        <v>2447</v>
      </c>
      <c r="E1820" t="s">
        <v>18</v>
      </c>
      <c r="F1820" t="s">
        <v>77</v>
      </c>
      <c r="G1820" t="s">
        <v>60</v>
      </c>
      <c r="H1820" t="str">
        <f>TEXT(walmart[[#This Row],[Purchase_Date]],"DDD")</f>
        <v>Wed</v>
      </c>
      <c r="I1820" t="str">
        <f>TEXT(walmart[[#This Row],[Purchase_Date]],"MMM")</f>
        <v>Oct</v>
      </c>
      <c r="J1820" t="str">
        <f>TEXT(walmart[[#This Row],[Purchase_Date]],"YYY")</f>
        <v>2024</v>
      </c>
      <c r="K1820" s="3">
        <v>116.78</v>
      </c>
      <c r="L1820" t="str">
        <f t="shared" si="128"/>
        <v>0% off</v>
      </c>
      <c r="N1820" t="str">
        <f t="shared" si="129"/>
        <v>No</v>
      </c>
      <c r="O1820" t="s">
        <v>34</v>
      </c>
      <c r="P1820" s="3">
        <f t="shared" si="130"/>
        <v>116.78</v>
      </c>
      <c r="Q1820" t="s">
        <v>47</v>
      </c>
      <c r="R1820">
        <v>5</v>
      </c>
      <c r="S1820" t="str">
        <f t="shared" si="131"/>
        <v>Excellent</v>
      </c>
    </row>
    <row r="1821" spans="1:19" x14ac:dyDescent="0.25">
      <c r="A1821" t="s">
        <v>2245</v>
      </c>
      <c r="B1821">
        <v>58</v>
      </c>
      <c r="C1821" t="s">
        <v>29</v>
      </c>
      <c r="D1821" t="s">
        <v>2448</v>
      </c>
      <c r="E1821" t="s">
        <v>42</v>
      </c>
      <c r="F1821" t="s">
        <v>120</v>
      </c>
      <c r="G1821" t="s">
        <v>378</v>
      </c>
      <c r="H1821" t="str">
        <f>TEXT(walmart[[#This Row],[Purchase_Date]],"DDD")</f>
        <v>Sat</v>
      </c>
      <c r="I1821" t="str">
        <f>TEXT(walmart[[#This Row],[Purchase_Date]],"MMM")</f>
        <v>Jun</v>
      </c>
      <c r="J1821" t="str">
        <f>TEXT(walmart[[#This Row],[Purchase_Date]],"YYY")</f>
        <v>2024</v>
      </c>
      <c r="K1821" s="3">
        <v>260.77999999999997</v>
      </c>
      <c r="L1821" t="str">
        <f t="shared" si="128"/>
        <v>5% off</v>
      </c>
      <c r="N1821" t="str">
        <f t="shared" si="129"/>
        <v>Yes</v>
      </c>
      <c r="O1821" t="s">
        <v>34</v>
      </c>
      <c r="P1821" s="3">
        <f t="shared" si="130"/>
        <v>260.77999999999997</v>
      </c>
      <c r="Q1821" t="s">
        <v>27</v>
      </c>
      <c r="R1821">
        <v>5</v>
      </c>
      <c r="S1821" t="str">
        <f t="shared" si="131"/>
        <v>Excellent</v>
      </c>
    </row>
    <row r="1822" spans="1:19" x14ac:dyDescent="0.25">
      <c r="A1822" t="s">
        <v>2246</v>
      </c>
      <c r="B1822">
        <v>21</v>
      </c>
      <c r="C1822" t="s">
        <v>29</v>
      </c>
      <c r="D1822" t="s">
        <v>2449</v>
      </c>
      <c r="E1822" t="s">
        <v>37</v>
      </c>
      <c r="F1822" t="s">
        <v>82</v>
      </c>
      <c r="G1822" t="s">
        <v>1239</v>
      </c>
      <c r="H1822" t="str">
        <f>TEXT(walmart[[#This Row],[Purchase_Date]],"DDD")</f>
        <v>Sun</v>
      </c>
      <c r="I1822" t="str">
        <f>TEXT(walmart[[#This Row],[Purchase_Date]],"MMM")</f>
        <v>Jan</v>
      </c>
      <c r="J1822" t="str">
        <f>TEXT(walmart[[#This Row],[Purchase_Date]],"YYY")</f>
        <v>2025</v>
      </c>
      <c r="K1822" s="3">
        <v>270.41000000000003</v>
      </c>
      <c r="L1822" t="str">
        <f t="shared" si="128"/>
        <v>5% off</v>
      </c>
      <c r="N1822" t="str">
        <f t="shared" si="129"/>
        <v>Yes</v>
      </c>
      <c r="O1822" t="s">
        <v>34</v>
      </c>
      <c r="P1822" s="3">
        <f t="shared" si="130"/>
        <v>270.41000000000003</v>
      </c>
      <c r="Q1822" t="s">
        <v>35</v>
      </c>
      <c r="R1822">
        <v>5</v>
      </c>
      <c r="S1822" t="str">
        <f t="shared" si="131"/>
        <v>Excellent</v>
      </c>
    </row>
    <row r="1823" spans="1:19" x14ac:dyDescent="0.25">
      <c r="A1823" t="s">
        <v>2247</v>
      </c>
      <c r="B1823">
        <v>45</v>
      </c>
      <c r="C1823" t="s">
        <v>16</v>
      </c>
      <c r="D1823" t="s">
        <v>2450</v>
      </c>
      <c r="E1823" t="s">
        <v>55</v>
      </c>
      <c r="F1823" t="s">
        <v>67</v>
      </c>
      <c r="G1823" t="s">
        <v>694</v>
      </c>
      <c r="H1823" t="str">
        <f>TEXT(walmart[[#This Row],[Purchase_Date]],"DDD")</f>
        <v>Thu</v>
      </c>
      <c r="I1823" t="str">
        <f>TEXT(walmart[[#This Row],[Purchase_Date]],"MMM")</f>
        <v>Dec</v>
      </c>
      <c r="J1823" t="str">
        <f>TEXT(walmart[[#This Row],[Purchase_Date]],"YYY")</f>
        <v>2024</v>
      </c>
      <c r="K1823" s="3">
        <v>452.97</v>
      </c>
      <c r="L1823" t="str">
        <f t="shared" si="128"/>
        <v>5% off</v>
      </c>
      <c r="N1823" t="str">
        <f t="shared" si="129"/>
        <v>Yes</v>
      </c>
      <c r="O1823" t="s">
        <v>34</v>
      </c>
      <c r="P1823" s="3">
        <f t="shared" si="130"/>
        <v>452.97</v>
      </c>
      <c r="Q1823" t="s">
        <v>22</v>
      </c>
      <c r="R1823">
        <v>3</v>
      </c>
      <c r="S1823" t="str">
        <f t="shared" si="131"/>
        <v>Average</v>
      </c>
    </row>
    <row r="1824" spans="1:19" x14ac:dyDescent="0.25">
      <c r="A1824" t="s">
        <v>2248</v>
      </c>
      <c r="B1824">
        <v>62</v>
      </c>
      <c r="C1824" t="s">
        <v>29</v>
      </c>
      <c r="D1824" t="s">
        <v>2451</v>
      </c>
      <c r="E1824" t="s">
        <v>24</v>
      </c>
      <c r="F1824" t="s">
        <v>186</v>
      </c>
      <c r="G1824" t="s">
        <v>628</v>
      </c>
      <c r="H1824" t="str">
        <f>TEXT(walmart[[#This Row],[Purchase_Date]],"DDD")</f>
        <v>Wed</v>
      </c>
      <c r="I1824" t="str">
        <f>TEXT(walmart[[#This Row],[Purchase_Date]],"MMM")</f>
        <v>Nov</v>
      </c>
      <c r="J1824" t="str">
        <f>TEXT(walmart[[#This Row],[Purchase_Date]],"YYY")</f>
        <v>2024</v>
      </c>
      <c r="K1824" s="3">
        <v>527.16999999999996</v>
      </c>
      <c r="L1824" t="str">
        <f t="shared" si="128"/>
        <v>10% off</v>
      </c>
      <c r="N1824" t="str">
        <f t="shared" si="129"/>
        <v>Yes</v>
      </c>
      <c r="O1824" t="s">
        <v>21</v>
      </c>
      <c r="P1824" s="3">
        <f t="shared" si="130"/>
        <v>527.16999999999996</v>
      </c>
      <c r="Q1824" t="s">
        <v>47</v>
      </c>
      <c r="R1824">
        <v>1</v>
      </c>
      <c r="S1824" t="str">
        <f t="shared" si="131"/>
        <v>Very Poor</v>
      </c>
    </row>
    <row r="1825" spans="1:19" x14ac:dyDescent="0.25">
      <c r="A1825" t="s">
        <v>2249</v>
      </c>
      <c r="B1825">
        <v>55</v>
      </c>
      <c r="C1825" t="s">
        <v>16</v>
      </c>
      <c r="D1825" t="s">
        <v>2452</v>
      </c>
      <c r="E1825" t="s">
        <v>42</v>
      </c>
      <c r="F1825" t="s">
        <v>52</v>
      </c>
      <c r="G1825" t="s">
        <v>573</v>
      </c>
      <c r="H1825" t="str">
        <f>TEXT(walmart[[#This Row],[Purchase_Date]],"DDD")</f>
        <v>Mon</v>
      </c>
      <c r="I1825" t="str">
        <f>TEXT(walmart[[#This Row],[Purchase_Date]],"MMM")</f>
        <v>Oct</v>
      </c>
      <c r="J1825" t="str">
        <f>TEXT(walmart[[#This Row],[Purchase_Date]],"YYY")</f>
        <v>2024</v>
      </c>
      <c r="K1825" s="3">
        <v>988.77</v>
      </c>
      <c r="L1825" t="str">
        <f t="shared" si="128"/>
        <v>20% off</v>
      </c>
      <c r="N1825" t="str">
        <f t="shared" si="129"/>
        <v>Yes</v>
      </c>
      <c r="O1825" t="s">
        <v>34</v>
      </c>
      <c r="P1825" s="3">
        <f t="shared" si="130"/>
        <v>988.77</v>
      </c>
      <c r="Q1825" t="s">
        <v>27</v>
      </c>
      <c r="R1825">
        <v>1</v>
      </c>
      <c r="S1825" t="str">
        <f t="shared" si="131"/>
        <v>Very Poor</v>
      </c>
    </row>
    <row r="1826" spans="1:19" x14ac:dyDescent="0.25">
      <c r="A1826" t="s">
        <v>2250</v>
      </c>
      <c r="B1826">
        <v>63</v>
      </c>
      <c r="C1826" t="s">
        <v>16</v>
      </c>
      <c r="D1826" t="s">
        <v>2453</v>
      </c>
      <c r="E1826" t="s">
        <v>73</v>
      </c>
      <c r="F1826" t="s">
        <v>91</v>
      </c>
      <c r="G1826" t="s">
        <v>1365</v>
      </c>
      <c r="H1826" t="str">
        <f>TEXT(walmart[[#This Row],[Purchase_Date]],"DDD")</f>
        <v>Thu</v>
      </c>
      <c r="I1826" t="str">
        <f>TEXT(walmart[[#This Row],[Purchase_Date]],"MMM")</f>
        <v>Jan</v>
      </c>
      <c r="J1826" t="str">
        <f>TEXT(walmart[[#This Row],[Purchase_Date]],"YYY")</f>
        <v>2025</v>
      </c>
      <c r="K1826" s="3">
        <v>418.55</v>
      </c>
      <c r="L1826" t="str">
        <f t="shared" si="128"/>
        <v>5% off</v>
      </c>
      <c r="N1826" t="str">
        <f t="shared" si="129"/>
        <v>Yes</v>
      </c>
      <c r="O1826" t="s">
        <v>21</v>
      </c>
      <c r="P1826" s="3">
        <f t="shared" si="130"/>
        <v>418.55</v>
      </c>
      <c r="Q1826" t="s">
        <v>35</v>
      </c>
      <c r="R1826">
        <v>2</v>
      </c>
      <c r="S1826" t="str">
        <f t="shared" si="131"/>
        <v>Poor</v>
      </c>
    </row>
    <row r="1827" spans="1:19" x14ac:dyDescent="0.25">
      <c r="A1827" t="s">
        <v>2251</v>
      </c>
      <c r="B1827">
        <v>52</v>
      </c>
      <c r="C1827" t="s">
        <v>29</v>
      </c>
      <c r="D1827" t="s">
        <v>2454</v>
      </c>
      <c r="E1827" t="s">
        <v>73</v>
      </c>
      <c r="F1827" t="s">
        <v>74</v>
      </c>
      <c r="G1827" t="s">
        <v>155</v>
      </c>
      <c r="H1827" t="str">
        <f>TEXT(walmart[[#This Row],[Purchase_Date]],"DDD")</f>
        <v>Sat</v>
      </c>
      <c r="I1827" t="str">
        <f>TEXT(walmart[[#This Row],[Purchase_Date]],"MMM")</f>
        <v>Sep</v>
      </c>
      <c r="J1827" t="str">
        <f>TEXT(walmart[[#This Row],[Purchase_Date]],"YYY")</f>
        <v>2024</v>
      </c>
      <c r="K1827" s="3">
        <v>782.29</v>
      </c>
      <c r="L1827" t="str">
        <f t="shared" si="128"/>
        <v>15% off</v>
      </c>
      <c r="N1827" t="str">
        <f t="shared" si="129"/>
        <v>Yes</v>
      </c>
      <c r="O1827" t="s">
        <v>21</v>
      </c>
      <c r="P1827" s="3">
        <f t="shared" si="130"/>
        <v>782.29</v>
      </c>
      <c r="Q1827" t="s">
        <v>35</v>
      </c>
      <c r="R1827">
        <v>3</v>
      </c>
      <c r="S1827" t="str">
        <f t="shared" si="131"/>
        <v>Average</v>
      </c>
    </row>
    <row r="1828" spans="1:19" x14ac:dyDescent="0.25">
      <c r="A1828" t="s">
        <v>2252</v>
      </c>
      <c r="B1828">
        <v>48</v>
      </c>
      <c r="C1828" t="s">
        <v>29</v>
      </c>
      <c r="D1828" t="s">
        <v>2455</v>
      </c>
      <c r="E1828" t="s">
        <v>55</v>
      </c>
      <c r="F1828" t="s">
        <v>67</v>
      </c>
      <c r="G1828" t="s">
        <v>704</v>
      </c>
      <c r="H1828" t="str">
        <f>TEXT(walmart[[#This Row],[Purchase_Date]],"DDD")</f>
        <v>Wed</v>
      </c>
      <c r="I1828" t="str">
        <f>TEXT(walmart[[#This Row],[Purchase_Date]],"MMM")</f>
        <v>Jul</v>
      </c>
      <c r="J1828" t="str">
        <f>TEXT(walmart[[#This Row],[Purchase_Date]],"YYY")</f>
        <v>2024</v>
      </c>
      <c r="K1828" s="3">
        <v>452.97</v>
      </c>
      <c r="L1828" t="str">
        <f t="shared" si="128"/>
        <v>5% off</v>
      </c>
      <c r="N1828" t="str">
        <f t="shared" si="129"/>
        <v>Yes</v>
      </c>
      <c r="O1828" t="s">
        <v>21</v>
      </c>
      <c r="P1828" s="3">
        <f t="shared" si="130"/>
        <v>452.97</v>
      </c>
      <c r="Q1828" t="s">
        <v>22</v>
      </c>
      <c r="R1828">
        <v>1</v>
      </c>
      <c r="S1828" t="str">
        <f t="shared" si="131"/>
        <v>Very Poor</v>
      </c>
    </row>
    <row r="1829" spans="1:19" x14ac:dyDescent="0.25">
      <c r="A1829" t="s">
        <v>2253</v>
      </c>
      <c r="B1829">
        <v>41</v>
      </c>
      <c r="C1829" t="s">
        <v>29</v>
      </c>
      <c r="D1829" t="s">
        <v>2456</v>
      </c>
      <c r="E1829" t="s">
        <v>73</v>
      </c>
      <c r="F1829" t="s">
        <v>91</v>
      </c>
      <c r="G1829" t="s">
        <v>432</v>
      </c>
      <c r="H1829" t="str">
        <f>TEXT(walmart[[#This Row],[Purchase_Date]],"DDD")</f>
        <v>Fri</v>
      </c>
      <c r="I1829" t="str">
        <f>TEXT(walmart[[#This Row],[Purchase_Date]],"MMM")</f>
        <v>Nov</v>
      </c>
      <c r="J1829" t="str">
        <f>TEXT(walmart[[#This Row],[Purchase_Date]],"YYY")</f>
        <v>2024</v>
      </c>
      <c r="K1829" s="3">
        <v>418.55</v>
      </c>
      <c r="L1829" t="str">
        <f t="shared" si="128"/>
        <v>5% off</v>
      </c>
      <c r="N1829" t="str">
        <f t="shared" si="129"/>
        <v>Yes</v>
      </c>
      <c r="O1829" t="s">
        <v>34</v>
      </c>
      <c r="P1829" s="3">
        <f t="shared" si="130"/>
        <v>418.55</v>
      </c>
      <c r="Q1829" t="s">
        <v>22</v>
      </c>
      <c r="R1829">
        <v>3</v>
      </c>
      <c r="S1829" t="str">
        <f t="shared" si="131"/>
        <v>Average</v>
      </c>
    </row>
    <row r="1830" spans="1:19" x14ac:dyDescent="0.25">
      <c r="A1830" t="s">
        <v>2254</v>
      </c>
      <c r="B1830">
        <v>28</v>
      </c>
      <c r="C1830" t="s">
        <v>16</v>
      </c>
      <c r="D1830" t="s">
        <v>2457</v>
      </c>
      <c r="E1830" t="s">
        <v>31</v>
      </c>
      <c r="F1830" t="s">
        <v>300</v>
      </c>
      <c r="G1830" t="s">
        <v>523</v>
      </c>
      <c r="H1830" t="str">
        <f>TEXT(walmart[[#This Row],[Purchase_Date]],"DDD")</f>
        <v>Fri</v>
      </c>
      <c r="I1830" t="str">
        <f>TEXT(walmart[[#This Row],[Purchase_Date]],"MMM")</f>
        <v>Oct</v>
      </c>
      <c r="J1830" t="str">
        <f>TEXT(walmart[[#This Row],[Purchase_Date]],"YYY")</f>
        <v>2024</v>
      </c>
      <c r="K1830" s="3">
        <v>340.04</v>
      </c>
      <c r="L1830" t="str">
        <f t="shared" si="128"/>
        <v>5% off</v>
      </c>
      <c r="N1830" t="str">
        <f t="shared" si="129"/>
        <v>Yes</v>
      </c>
      <c r="O1830" t="s">
        <v>34</v>
      </c>
      <c r="P1830" s="3">
        <f t="shared" si="130"/>
        <v>340.04</v>
      </c>
      <c r="Q1830" t="s">
        <v>22</v>
      </c>
      <c r="R1830">
        <v>1</v>
      </c>
      <c r="S1830" t="str">
        <f t="shared" si="131"/>
        <v>Very Poor</v>
      </c>
    </row>
    <row r="1831" spans="1:19" x14ac:dyDescent="0.25">
      <c r="A1831" t="s">
        <v>2255</v>
      </c>
      <c r="B1831">
        <v>26</v>
      </c>
      <c r="C1831" t="s">
        <v>16</v>
      </c>
      <c r="D1831" t="s">
        <v>2458</v>
      </c>
      <c r="E1831" t="s">
        <v>42</v>
      </c>
      <c r="F1831" t="s">
        <v>43</v>
      </c>
      <c r="G1831" t="s">
        <v>355</v>
      </c>
      <c r="H1831" t="str">
        <f>TEXT(walmart[[#This Row],[Purchase_Date]],"DDD")</f>
        <v>Fri</v>
      </c>
      <c r="I1831" t="str">
        <f>TEXT(walmart[[#This Row],[Purchase_Date]],"MMM")</f>
        <v>Nov</v>
      </c>
      <c r="J1831" t="str">
        <f>TEXT(walmart[[#This Row],[Purchase_Date]],"YYY")</f>
        <v>2024</v>
      </c>
      <c r="K1831" s="3">
        <v>512.94000000000005</v>
      </c>
      <c r="L1831" t="str">
        <f t="shared" si="128"/>
        <v>10% off</v>
      </c>
      <c r="N1831" t="str">
        <f t="shared" si="129"/>
        <v>Yes</v>
      </c>
      <c r="O1831" t="s">
        <v>21</v>
      </c>
      <c r="P1831" s="3">
        <f t="shared" si="130"/>
        <v>512.94000000000005</v>
      </c>
      <c r="Q1831" t="s">
        <v>47</v>
      </c>
      <c r="R1831">
        <v>4</v>
      </c>
      <c r="S1831" t="str">
        <f t="shared" si="131"/>
        <v>Good</v>
      </c>
    </row>
    <row r="1832" spans="1:19" x14ac:dyDescent="0.25">
      <c r="A1832" t="s">
        <v>2256</v>
      </c>
      <c r="B1832">
        <v>26</v>
      </c>
      <c r="C1832" t="s">
        <v>29</v>
      </c>
      <c r="D1832" t="s">
        <v>2459</v>
      </c>
      <c r="E1832" t="s">
        <v>24</v>
      </c>
      <c r="F1832" t="s">
        <v>162</v>
      </c>
      <c r="G1832" t="s">
        <v>189</v>
      </c>
      <c r="H1832" t="str">
        <f>TEXT(walmart[[#This Row],[Purchase_Date]],"DDD")</f>
        <v>Sat</v>
      </c>
      <c r="I1832" t="str">
        <f>TEXT(walmart[[#This Row],[Purchase_Date]],"MMM")</f>
        <v>Jun</v>
      </c>
      <c r="J1832" t="str">
        <f>TEXT(walmart[[#This Row],[Purchase_Date]],"YYY")</f>
        <v>2024</v>
      </c>
      <c r="K1832" s="3">
        <v>362.55</v>
      </c>
      <c r="L1832" t="str">
        <f t="shared" si="128"/>
        <v>5% off</v>
      </c>
      <c r="N1832" t="str">
        <f t="shared" si="129"/>
        <v>Yes</v>
      </c>
      <c r="O1832" t="s">
        <v>21</v>
      </c>
      <c r="P1832" s="3">
        <f t="shared" si="130"/>
        <v>362.55</v>
      </c>
      <c r="Q1832" t="s">
        <v>22</v>
      </c>
      <c r="R1832">
        <v>2</v>
      </c>
      <c r="S1832" t="str">
        <f t="shared" si="131"/>
        <v>Poor</v>
      </c>
    </row>
    <row r="1833" spans="1:19" x14ac:dyDescent="0.25">
      <c r="A1833" t="s">
        <v>2257</v>
      </c>
      <c r="B1833">
        <v>37</v>
      </c>
      <c r="C1833" t="s">
        <v>29</v>
      </c>
      <c r="D1833" t="s">
        <v>2460</v>
      </c>
      <c r="E1833" t="s">
        <v>42</v>
      </c>
      <c r="F1833" t="s">
        <v>52</v>
      </c>
      <c r="G1833" t="s">
        <v>95</v>
      </c>
      <c r="H1833" t="str">
        <f>TEXT(walmart[[#This Row],[Purchase_Date]],"DDD")</f>
        <v>Wed</v>
      </c>
      <c r="I1833" t="str">
        <f>TEXT(walmart[[#This Row],[Purchase_Date]],"MMM")</f>
        <v>Dec</v>
      </c>
      <c r="J1833" t="str">
        <f>TEXT(walmart[[#This Row],[Purchase_Date]],"YYY")</f>
        <v>2024</v>
      </c>
      <c r="K1833" s="3">
        <v>988.77</v>
      </c>
      <c r="L1833" t="str">
        <f t="shared" si="128"/>
        <v>20% off</v>
      </c>
      <c r="N1833" t="str">
        <f t="shared" si="129"/>
        <v>Yes</v>
      </c>
      <c r="O1833" t="s">
        <v>21</v>
      </c>
      <c r="P1833" s="3">
        <f t="shared" si="130"/>
        <v>988.77</v>
      </c>
      <c r="Q1833" t="s">
        <v>35</v>
      </c>
      <c r="R1833">
        <v>4</v>
      </c>
      <c r="S1833" t="str">
        <f t="shared" si="131"/>
        <v>Good</v>
      </c>
    </row>
    <row r="1834" spans="1:19" x14ac:dyDescent="0.25">
      <c r="A1834" t="s">
        <v>2258</v>
      </c>
      <c r="B1834">
        <v>20</v>
      </c>
      <c r="C1834" t="s">
        <v>29</v>
      </c>
      <c r="D1834" t="s">
        <v>2461</v>
      </c>
      <c r="E1834" t="s">
        <v>24</v>
      </c>
      <c r="F1834" t="s">
        <v>186</v>
      </c>
      <c r="G1834" t="s">
        <v>283</v>
      </c>
      <c r="H1834" t="str">
        <f>TEXT(walmart[[#This Row],[Purchase_Date]],"DDD")</f>
        <v>Fri</v>
      </c>
      <c r="I1834" t="str">
        <f>TEXT(walmart[[#This Row],[Purchase_Date]],"MMM")</f>
        <v>Jan</v>
      </c>
      <c r="J1834" t="str">
        <f>TEXT(walmart[[#This Row],[Purchase_Date]],"YYY")</f>
        <v>2025</v>
      </c>
      <c r="K1834" s="3">
        <v>527.16999999999996</v>
      </c>
      <c r="L1834" t="str">
        <f t="shared" si="128"/>
        <v>10% off</v>
      </c>
      <c r="N1834" t="str">
        <f t="shared" si="129"/>
        <v>Yes</v>
      </c>
      <c r="O1834" t="s">
        <v>21</v>
      </c>
      <c r="P1834" s="3">
        <f t="shared" si="130"/>
        <v>527.16999999999996</v>
      </c>
      <c r="Q1834" t="s">
        <v>47</v>
      </c>
      <c r="R1834">
        <v>4</v>
      </c>
      <c r="S1834" t="str">
        <f t="shared" si="131"/>
        <v>Good</v>
      </c>
    </row>
    <row r="1835" spans="1:19" x14ac:dyDescent="0.25">
      <c r="A1835" t="s">
        <v>2259</v>
      </c>
      <c r="B1835">
        <v>65</v>
      </c>
      <c r="C1835" t="s">
        <v>29</v>
      </c>
      <c r="D1835" t="s">
        <v>2462</v>
      </c>
      <c r="E1835" t="s">
        <v>73</v>
      </c>
      <c r="F1835" t="s">
        <v>91</v>
      </c>
      <c r="G1835" t="s">
        <v>651</v>
      </c>
      <c r="H1835" t="str">
        <f>TEXT(walmart[[#This Row],[Purchase_Date]],"DDD")</f>
        <v>Mon</v>
      </c>
      <c r="I1835" t="str">
        <f>TEXT(walmart[[#This Row],[Purchase_Date]],"MMM")</f>
        <v>Nov</v>
      </c>
      <c r="J1835" t="str">
        <f>TEXT(walmart[[#This Row],[Purchase_Date]],"YYY")</f>
        <v>2024</v>
      </c>
      <c r="K1835" s="3">
        <v>418.55</v>
      </c>
      <c r="L1835" t="str">
        <f t="shared" si="128"/>
        <v>5% off</v>
      </c>
      <c r="N1835" t="str">
        <f t="shared" si="129"/>
        <v>Yes</v>
      </c>
      <c r="O1835" t="s">
        <v>21</v>
      </c>
      <c r="P1835" s="3">
        <f t="shared" si="130"/>
        <v>418.55</v>
      </c>
      <c r="Q1835" t="s">
        <v>47</v>
      </c>
      <c r="R1835">
        <v>1</v>
      </c>
      <c r="S1835" t="str">
        <f t="shared" si="131"/>
        <v>Very Poor</v>
      </c>
    </row>
    <row r="1836" spans="1:19" x14ac:dyDescent="0.25">
      <c r="A1836" t="s">
        <v>2260</v>
      </c>
      <c r="B1836">
        <v>19</v>
      </c>
      <c r="C1836" t="s">
        <v>16</v>
      </c>
      <c r="D1836" t="s">
        <v>2463</v>
      </c>
      <c r="E1836" t="s">
        <v>31</v>
      </c>
      <c r="F1836" t="s">
        <v>300</v>
      </c>
      <c r="G1836" t="s">
        <v>378</v>
      </c>
      <c r="H1836" t="str">
        <f>TEXT(walmart[[#This Row],[Purchase_Date]],"DDD")</f>
        <v>Sat</v>
      </c>
      <c r="I1836" t="str">
        <f>TEXT(walmart[[#This Row],[Purchase_Date]],"MMM")</f>
        <v>Jun</v>
      </c>
      <c r="J1836" t="str">
        <f>TEXT(walmart[[#This Row],[Purchase_Date]],"YYY")</f>
        <v>2024</v>
      </c>
      <c r="K1836" s="3">
        <v>340.04</v>
      </c>
      <c r="L1836" t="str">
        <f t="shared" si="128"/>
        <v>5% off</v>
      </c>
      <c r="N1836" t="str">
        <f t="shared" si="129"/>
        <v>Yes</v>
      </c>
      <c r="O1836" t="s">
        <v>21</v>
      </c>
      <c r="P1836" s="3">
        <f t="shared" si="130"/>
        <v>340.04</v>
      </c>
      <c r="Q1836" t="s">
        <v>22</v>
      </c>
      <c r="R1836">
        <v>2</v>
      </c>
      <c r="S1836" t="str">
        <f t="shared" si="131"/>
        <v>Poor</v>
      </c>
    </row>
    <row r="1837" spans="1:19" x14ac:dyDescent="0.25">
      <c r="A1837" t="s">
        <v>2261</v>
      </c>
      <c r="B1837">
        <v>47</v>
      </c>
      <c r="C1837" t="s">
        <v>16</v>
      </c>
      <c r="D1837" t="s">
        <v>2464</v>
      </c>
      <c r="E1837" t="s">
        <v>18</v>
      </c>
      <c r="F1837" t="s">
        <v>142</v>
      </c>
      <c r="G1837" t="s">
        <v>1010</v>
      </c>
      <c r="H1837" t="str">
        <f>TEXT(walmart[[#This Row],[Purchase_Date]],"DDD")</f>
        <v>Mon</v>
      </c>
      <c r="I1837" t="str">
        <f>TEXT(walmart[[#This Row],[Purchase_Date]],"MMM")</f>
        <v>Aug</v>
      </c>
      <c r="J1837" t="str">
        <f>TEXT(walmart[[#This Row],[Purchase_Date]],"YYY")</f>
        <v>2024</v>
      </c>
      <c r="K1837" s="3">
        <v>485.26</v>
      </c>
      <c r="L1837" t="str">
        <f t="shared" si="128"/>
        <v>5% off</v>
      </c>
      <c r="N1837" t="str">
        <f t="shared" si="129"/>
        <v>Yes</v>
      </c>
      <c r="O1837" t="s">
        <v>34</v>
      </c>
      <c r="P1837" s="3">
        <f t="shared" si="130"/>
        <v>485.26</v>
      </c>
      <c r="Q1837" t="s">
        <v>47</v>
      </c>
      <c r="R1837">
        <v>5</v>
      </c>
      <c r="S1837" t="str">
        <f t="shared" si="131"/>
        <v>Excellent</v>
      </c>
    </row>
    <row r="1838" spans="1:19" x14ac:dyDescent="0.25">
      <c r="A1838" t="s">
        <v>2262</v>
      </c>
      <c r="B1838">
        <v>58</v>
      </c>
      <c r="C1838" t="s">
        <v>16</v>
      </c>
      <c r="D1838" t="s">
        <v>2465</v>
      </c>
      <c r="E1838" t="s">
        <v>31</v>
      </c>
      <c r="F1838" t="s">
        <v>300</v>
      </c>
      <c r="G1838" t="s">
        <v>586</v>
      </c>
      <c r="H1838" t="str">
        <f>TEXT(walmart[[#This Row],[Purchase_Date]],"DDD")</f>
        <v>Fri</v>
      </c>
      <c r="I1838" t="str">
        <f>TEXT(walmart[[#This Row],[Purchase_Date]],"MMM")</f>
        <v>Feb</v>
      </c>
      <c r="J1838" t="str">
        <f>TEXT(walmart[[#This Row],[Purchase_Date]],"YYY")</f>
        <v>2025</v>
      </c>
      <c r="K1838" s="3">
        <v>340.04</v>
      </c>
      <c r="L1838" t="str">
        <f t="shared" si="128"/>
        <v>5% off</v>
      </c>
      <c r="N1838" t="str">
        <f t="shared" si="129"/>
        <v>Yes</v>
      </c>
      <c r="O1838" t="s">
        <v>34</v>
      </c>
      <c r="P1838" s="3">
        <f t="shared" si="130"/>
        <v>340.04</v>
      </c>
      <c r="Q1838" t="s">
        <v>35</v>
      </c>
      <c r="R1838">
        <v>1</v>
      </c>
      <c r="S1838" t="str">
        <f t="shared" si="131"/>
        <v>Very Poor</v>
      </c>
    </row>
    <row r="1839" spans="1:19" x14ac:dyDescent="0.25">
      <c r="A1839" t="s">
        <v>2263</v>
      </c>
      <c r="B1839">
        <v>22</v>
      </c>
      <c r="C1839" t="s">
        <v>16</v>
      </c>
      <c r="D1839" t="s">
        <v>2466</v>
      </c>
      <c r="E1839" t="s">
        <v>42</v>
      </c>
      <c r="F1839" t="s">
        <v>52</v>
      </c>
      <c r="G1839" t="s">
        <v>378</v>
      </c>
      <c r="H1839" t="str">
        <f>TEXT(walmart[[#This Row],[Purchase_Date]],"DDD")</f>
        <v>Sat</v>
      </c>
      <c r="I1839" t="str">
        <f>TEXT(walmart[[#This Row],[Purchase_Date]],"MMM")</f>
        <v>Jun</v>
      </c>
      <c r="J1839" t="str">
        <f>TEXT(walmart[[#This Row],[Purchase_Date]],"YYY")</f>
        <v>2024</v>
      </c>
      <c r="K1839" s="3">
        <v>988.77</v>
      </c>
      <c r="L1839" t="str">
        <f t="shared" si="128"/>
        <v>20% off</v>
      </c>
      <c r="N1839" t="str">
        <f t="shared" si="129"/>
        <v>Yes</v>
      </c>
      <c r="O1839" t="s">
        <v>21</v>
      </c>
      <c r="P1839" s="3">
        <f t="shared" si="130"/>
        <v>988.77</v>
      </c>
      <c r="Q1839" t="s">
        <v>35</v>
      </c>
      <c r="R1839">
        <v>3</v>
      </c>
      <c r="S1839" t="str">
        <f t="shared" si="131"/>
        <v>Average</v>
      </c>
    </row>
    <row r="1840" spans="1:19" x14ac:dyDescent="0.25">
      <c r="A1840" t="s">
        <v>2264</v>
      </c>
      <c r="B1840">
        <v>41</v>
      </c>
      <c r="C1840" t="s">
        <v>29</v>
      </c>
      <c r="D1840" t="s">
        <v>2467</v>
      </c>
      <c r="E1840" t="s">
        <v>55</v>
      </c>
      <c r="F1840" t="s">
        <v>64</v>
      </c>
      <c r="G1840" t="s">
        <v>647</v>
      </c>
      <c r="H1840" t="str">
        <f>TEXT(walmart[[#This Row],[Purchase_Date]],"DDD")</f>
        <v>Wed</v>
      </c>
      <c r="I1840" t="str">
        <f>TEXT(walmart[[#This Row],[Purchase_Date]],"MMM")</f>
        <v>Oct</v>
      </c>
      <c r="J1840" t="str">
        <f>TEXT(walmart[[#This Row],[Purchase_Date]],"YYY")</f>
        <v>2024</v>
      </c>
      <c r="K1840" s="3">
        <v>374.92</v>
      </c>
      <c r="L1840" t="str">
        <f t="shared" si="128"/>
        <v>5% off</v>
      </c>
      <c r="N1840" t="str">
        <f t="shared" si="129"/>
        <v>Yes</v>
      </c>
      <c r="O1840" t="s">
        <v>21</v>
      </c>
      <c r="P1840" s="3">
        <f t="shared" si="130"/>
        <v>374.92</v>
      </c>
      <c r="Q1840" t="s">
        <v>22</v>
      </c>
      <c r="R1840">
        <v>4</v>
      </c>
      <c r="S1840" t="str">
        <f t="shared" si="131"/>
        <v>Good</v>
      </c>
    </row>
    <row r="1841" spans="1:19" x14ac:dyDescent="0.25">
      <c r="A1841" t="s">
        <v>2265</v>
      </c>
      <c r="B1841">
        <v>42</v>
      </c>
      <c r="C1841" t="s">
        <v>16</v>
      </c>
      <c r="D1841" t="s">
        <v>2468</v>
      </c>
      <c r="E1841" t="s">
        <v>24</v>
      </c>
      <c r="F1841" t="s">
        <v>209</v>
      </c>
      <c r="G1841" t="s">
        <v>1239</v>
      </c>
      <c r="H1841" t="str">
        <f>TEXT(walmart[[#This Row],[Purchase_Date]],"DDD")</f>
        <v>Sun</v>
      </c>
      <c r="I1841" t="str">
        <f>TEXT(walmart[[#This Row],[Purchase_Date]],"MMM")</f>
        <v>Jan</v>
      </c>
      <c r="J1841" t="str">
        <f>TEXT(walmart[[#This Row],[Purchase_Date]],"YYY")</f>
        <v>2025</v>
      </c>
      <c r="K1841" s="3">
        <v>775.75</v>
      </c>
      <c r="L1841" t="str">
        <f t="shared" si="128"/>
        <v>15% off</v>
      </c>
      <c r="N1841" t="str">
        <f t="shared" si="129"/>
        <v>Yes</v>
      </c>
      <c r="O1841" t="s">
        <v>34</v>
      </c>
      <c r="P1841" s="3">
        <f t="shared" si="130"/>
        <v>775.75</v>
      </c>
      <c r="Q1841" t="s">
        <v>27</v>
      </c>
      <c r="R1841">
        <v>1</v>
      </c>
      <c r="S1841" t="str">
        <f t="shared" si="131"/>
        <v>Very Poor</v>
      </c>
    </row>
    <row r="1842" spans="1:19" x14ac:dyDescent="0.25">
      <c r="A1842" t="s">
        <v>2266</v>
      </c>
      <c r="B1842">
        <v>65</v>
      </c>
      <c r="C1842" t="s">
        <v>16</v>
      </c>
      <c r="D1842" t="s">
        <v>2469</v>
      </c>
      <c r="E1842" t="s">
        <v>24</v>
      </c>
      <c r="F1842" t="s">
        <v>162</v>
      </c>
      <c r="G1842" t="s">
        <v>463</v>
      </c>
      <c r="H1842" t="str">
        <f>TEXT(walmart[[#This Row],[Purchase_Date]],"DDD")</f>
        <v>Mon</v>
      </c>
      <c r="I1842" t="str">
        <f>TEXT(walmart[[#This Row],[Purchase_Date]],"MMM")</f>
        <v>Mar</v>
      </c>
      <c r="J1842" t="str">
        <f>TEXT(walmart[[#This Row],[Purchase_Date]],"YYY")</f>
        <v>2025</v>
      </c>
      <c r="K1842" s="3">
        <v>362.55</v>
      </c>
      <c r="L1842" t="str">
        <f t="shared" si="128"/>
        <v>5% off</v>
      </c>
      <c r="N1842" t="str">
        <f t="shared" si="129"/>
        <v>Yes</v>
      </c>
      <c r="O1842" t="s">
        <v>21</v>
      </c>
      <c r="P1842" s="3">
        <f t="shared" si="130"/>
        <v>362.55</v>
      </c>
      <c r="Q1842" t="s">
        <v>35</v>
      </c>
      <c r="R1842">
        <v>3</v>
      </c>
      <c r="S1842" t="str">
        <f t="shared" si="131"/>
        <v>Average</v>
      </c>
    </row>
    <row r="1843" spans="1:19" x14ac:dyDescent="0.25">
      <c r="A1843" t="s">
        <v>2267</v>
      </c>
      <c r="B1843">
        <v>25</v>
      </c>
      <c r="C1843" t="s">
        <v>29</v>
      </c>
      <c r="D1843" t="s">
        <v>2470</v>
      </c>
      <c r="E1843" t="s">
        <v>55</v>
      </c>
      <c r="F1843" t="s">
        <v>100</v>
      </c>
      <c r="G1843" t="s">
        <v>234</v>
      </c>
      <c r="H1843" t="str">
        <f>TEXT(walmart[[#This Row],[Purchase_Date]],"DDD")</f>
        <v>Fri</v>
      </c>
      <c r="I1843" t="str">
        <f>TEXT(walmart[[#This Row],[Purchase_Date]],"MMM")</f>
        <v>Jul</v>
      </c>
      <c r="J1843" t="str">
        <f>TEXT(walmart[[#This Row],[Purchase_Date]],"YYY")</f>
        <v>2024</v>
      </c>
      <c r="K1843" s="3">
        <v>592.26</v>
      </c>
      <c r="L1843" t="str">
        <f t="shared" si="128"/>
        <v>10% off</v>
      </c>
      <c r="N1843" t="str">
        <f t="shared" si="129"/>
        <v>Yes</v>
      </c>
      <c r="O1843" t="s">
        <v>34</v>
      </c>
      <c r="P1843" s="3">
        <f t="shared" si="130"/>
        <v>592.26</v>
      </c>
      <c r="Q1843" t="s">
        <v>35</v>
      </c>
      <c r="R1843">
        <v>1</v>
      </c>
      <c r="S1843" t="str">
        <f t="shared" si="131"/>
        <v>Very Poor</v>
      </c>
    </row>
    <row r="1844" spans="1:19" x14ac:dyDescent="0.25">
      <c r="A1844" t="s">
        <v>2268</v>
      </c>
      <c r="B1844">
        <v>52</v>
      </c>
      <c r="C1844" t="s">
        <v>29</v>
      </c>
      <c r="D1844" t="s">
        <v>2471</v>
      </c>
      <c r="E1844" t="s">
        <v>24</v>
      </c>
      <c r="F1844" t="s">
        <v>25</v>
      </c>
      <c r="G1844" t="s">
        <v>928</v>
      </c>
      <c r="H1844" t="str">
        <f>TEXT(walmart[[#This Row],[Purchase_Date]],"DDD")</f>
        <v>Thu</v>
      </c>
      <c r="I1844" t="str">
        <f>TEXT(walmart[[#This Row],[Purchase_Date]],"MMM")</f>
        <v>Sep</v>
      </c>
      <c r="J1844" t="str">
        <f>TEXT(walmart[[#This Row],[Purchase_Date]],"YYY")</f>
        <v>2024</v>
      </c>
      <c r="K1844" s="3">
        <v>67.040000000000006</v>
      </c>
      <c r="L1844" t="str">
        <f t="shared" si="128"/>
        <v>0% off</v>
      </c>
      <c r="N1844" t="str">
        <f t="shared" si="129"/>
        <v>No</v>
      </c>
      <c r="O1844" t="s">
        <v>21</v>
      </c>
      <c r="P1844" s="3">
        <f t="shared" si="130"/>
        <v>67.040000000000006</v>
      </c>
      <c r="Q1844" t="s">
        <v>47</v>
      </c>
      <c r="R1844">
        <v>2</v>
      </c>
      <c r="S1844" t="str">
        <f t="shared" si="131"/>
        <v>Poor</v>
      </c>
    </row>
    <row r="1845" spans="1:19" x14ac:dyDescent="0.25">
      <c r="A1845" t="s">
        <v>2269</v>
      </c>
      <c r="B1845">
        <v>45</v>
      </c>
      <c r="C1845" t="s">
        <v>29</v>
      </c>
      <c r="D1845" t="s">
        <v>2472</v>
      </c>
      <c r="E1845" t="s">
        <v>42</v>
      </c>
      <c r="F1845" t="s">
        <v>120</v>
      </c>
      <c r="G1845" t="s">
        <v>714</v>
      </c>
      <c r="H1845" t="str">
        <f>TEXT(walmart[[#This Row],[Purchase_Date]],"DDD")</f>
        <v>Sun</v>
      </c>
      <c r="I1845" t="str">
        <f>TEXT(walmart[[#This Row],[Purchase_Date]],"MMM")</f>
        <v>Jan</v>
      </c>
      <c r="J1845" t="str">
        <f>TEXT(walmart[[#This Row],[Purchase_Date]],"YYY")</f>
        <v>2025</v>
      </c>
      <c r="K1845" s="3">
        <v>260.77999999999997</v>
      </c>
      <c r="L1845" t="str">
        <f t="shared" si="128"/>
        <v>5% off</v>
      </c>
      <c r="N1845" t="str">
        <f t="shared" si="129"/>
        <v>Yes</v>
      </c>
      <c r="O1845" t="s">
        <v>21</v>
      </c>
      <c r="P1845" s="3">
        <f t="shared" si="130"/>
        <v>260.77999999999997</v>
      </c>
      <c r="Q1845" t="s">
        <v>35</v>
      </c>
      <c r="R1845">
        <v>4</v>
      </c>
      <c r="S1845" t="str">
        <f t="shared" si="131"/>
        <v>Good</v>
      </c>
    </row>
    <row r="1846" spans="1:19" x14ac:dyDescent="0.25">
      <c r="A1846" t="s">
        <v>2270</v>
      </c>
      <c r="B1846">
        <v>66</v>
      </c>
      <c r="C1846" t="s">
        <v>29</v>
      </c>
      <c r="D1846" t="s">
        <v>2473</v>
      </c>
      <c r="E1846" t="s">
        <v>24</v>
      </c>
      <c r="F1846" t="s">
        <v>162</v>
      </c>
      <c r="G1846" t="s">
        <v>662</v>
      </c>
      <c r="H1846" t="str">
        <f>TEXT(walmart[[#This Row],[Purchase_Date]],"DDD")</f>
        <v>Sat</v>
      </c>
      <c r="I1846" t="str">
        <f>TEXT(walmart[[#This Row],[Purchase_Date]],"MMM")</f>
        <v>May</v>
      </c>
      <c r="J1846" t="str">
        <f>TEXT(walmart[[#This Row],[Purchase_Date]],"YYY")</f>
        <v>2024</v>
      </c>
      <c r="K1846" s="3">
        <v>362.55</v>
      </c>
      <c r="L1846" t="str">
        <f t="shared" si="128"/>
        <v>5% off</v>
      </c>
      <c r="N1846" t="str">
        <f t="shared" si="129"/>
        <v>Yes</v>
      </c>
      <c r="O1846" t="s">
        <v>34</v>
      </c>
      <c r="P1846" s="3">
        <f t="shared" si="130"/>
        <v>362.55</v>
      </c>
      <c r="Q1846" t="s">
        <v>22</v>
      </c>
      <c r="R1846">
        <v>4</v>
      </c>
      <c r="S1846" t="str">
        <f t="shared" si="131"/>
        <v>Good</v>
      </c>
    </row>
    <row r="1847" spans="1:19" x14ac:dyDescent="0.25">
      <c r="A1847" t="s">
        <v>2271</v>
      </c>
      <c r="B1847">
        <v>19</v>
      </c>
      <c r="C1847" t="s">
        <v>16</v>
      </c>
      <c r="D1847" t="s">
        <v>2474</v>
      </c>
      <c r="E1847" t="s">
        <v>24</v>
      </c>
      <c r="F1847" t="s">
        <v>25</v>
      </c>
      <c r="G1847" t="s">
        <v>480</v>
      </c>
      <c r="H1847" t="str">
        <f>TEXT(walmart[[#This Row],[Purchase_Date]],"DDD")</f>
        <v>Mon</v>
      </c>
      <c r="I1847" t="str">
        <f>TEXT(walmart[[#This Row],[Purchase_Date]],"MMM")</f>
        <v>Oct</v>
      </c>
      <c r="J1847" t="str">
        <f>TEXT(walmart[[#This Row],[Purchase_Date]],"YYY")</f>
        <v>2024</v>
      </c>
      <c r="K1847" s="3">
        <v>67.040000000000006</v>
      </c>
      <c r="L1847" t="str">
        <f t="shared" si="128"/>
        <v>0% off</v>
      </c>
      <c r="N1847" t="str">
        <f t="shared" si="129"/>
        <v>No</v>
      </c>
      <c r="O1847" t="s">
        <v>21</v>
      </c>
      <c r="P1847" s="3">
        <f t="shared" si="130"/>
        <v>67.040000000000006</v>
      </c>
      <c r="Q1847" t="s">
        <v>47</v>
      </c>
      <c r="R1847">
        <v>3</v>
      </c>
      <c r="S1847" t="str">
        <f t="shared" si="131"/>
        <v>Average</v>
      </c>
    </row>
    <row r="1848" spans="1:19" x14ac:dyDescent="0.25">
      <c r="A1848" t="s">
        <v>2272</v>
      </c>
      <c r="B1848">
        <v>67</v>
      </c>
      <c r="C1848" t="s">
        <v>29</v>
      </c>
      <c r="D1848" t="s">
        <v>2475</v>
      </c>
      <c r="E1848" t="s">
        <v>37</v>
      </c>
      <c r="F1848" t="s">
        <v>117</v>
      </c>
      <c r="G1848" t="s">
        <v>187</v>
      </c>
      <c r="H1848" t="str">
        <f>TEXT(walmart[[#This Row],[Purchase_Date]],"DDD")</f>
        <v>Sat</v>
      </c>
      <c r="I1848" t="str">
        <f>TEXT(walmart[[#This Row],[Purchase_Date]],"MMM")</f>
        <v>Dec</v>
      </c>
      <c r="J1848" t="str">
        <f>TEXT(walmart[[#This Row],[Purchase_Date]],"YYY")</f>
        <v>2024</v>
      </c>
      <c r="K1848" s="3">
        <v>165.68</v>
      </c>
      <c r="L1848" t="str">
        <f t="shared" si="128"/>
        <v>5% off</v>
      </c>
      <c r="N1848" t="str">
        <f t="shared" si="129"/>
        <v>Yes</v>
      </c>
      <c r="O1848" t="s">
        <v>34</v>
      </c>
      <c r="P1848" s="3">
        <f t="shared" si="130"/>
        <v>165.68</v>
      </c>
      <c r="Q1848" t="s">
        <v>47</v>
      </c>
      <c r="R1848">
        <v>4</v>
      </c>
      <c r="S1848" t="str">
        <f t="shared" si="131"/>
        <v>Good</v>
      </c>
    </row>
    <row r="1849" spans="1:19" x14ac:dyDescent="0.25">
      <c r="A1849" t="s">
        <v>2273</v>
      </c>
      <c r="B1849">
        <v>63</v>
      </c>
      <c r="C1849" t="s">
        <v>16</v>
      </c>
      <c r="D1849" t="s">
        <v>2476</v>
      </c>
      <c r="E1849" t="s">
        <v>31</v>
      </c>
      <c r="F1849" t="s">
        <v>300</v>
      </c>
      <c r="G1849" t="s">
        <v>441</v>
      </c>
      <c r="H1849" t="str">
        <f>TEXT(walmart[[#This Row],[Purchase_Date]],"DDD")</f>
        <v>Tue</v>
      </c>
      <c r="I1849" t="str">
        <f>TEXT(walmart[[#This Row],[Purchase_Date]],"MMM")</f>
        <v>Apr</v>
      </c>
      <c r="J1849" t="str">
        <f>TEXT(walmart[[#This Row],[Purchase_Date]],"YYY")</f>
        <v>2024</v>
      </c>
      <c r="K1849" s="3">
        <v>340.04</v>
      </c>
      <c r="L1849" t="str">
        <f t="shared" si="128"/>
        <v>5% off</v>
      </c>
      <c r="N1849" t="str">
        <f t="shared" si="129"/>
        <v>Yes</v>
      </c>
      <c r="O1849" t="s">
        <v>34</v>
      </c>
      <c r="P1849" s="3">
        <f t="shared" si="130"/>
        <v>340.04</v>
      </c>
      <c r="Q1849" t="s">
        <v>22</v>
      </c>
      <c r="R1849">
        <v>3</v>
      </c>
      <c r="S1849" t="str">
        <f t="shared" si="131"/>
        <v>Average</v>
      </c>
    </row>
    <row r="1850" spans="1:19" x14ac:dyDescent="0.25">
      <c r="A1850" t="s">
        <v>2274</v>
      </c>
      <c r="B1850">
        <v>46</v>
      </c>
      <c r="C1850" t="s">
        <v>29</v>
      </c>
      <c r="D1850" t="s">
        <v>2477</v>
      </c>
      <c r="E1850" t="s">
        <v>42</v>
      </c>
      <c r="F1850" t="s">
        <v>103</v>
      </c>
      <c r="G1850" t="s">
        <v>488</v>
      </c>
      <c r="H1850" t="str">
        <f>TEXT(walmart[[#This Row],[Purchase_Date]],"DDD")</f>
        <v>Wed</v>
      </c>
      <c r="I1850" t="str">
        <f>TEXT(walmart[[#This Row],[Purchase_Date]],"MMM")</f>
        <v>Mar</v>
      </c>
      <c r="J1850" t="str">
        <f>TEXT(walmart[[#This Row],[Purchase_Date]],"YYY")</f>
        <v>2025</v>
      </c>
      <c r="K1850" s="3">
        <v>315.56</v>
      </c>
      <c r="L1850" t="str">
        <f t="shared" si="128"/>
        <v>5% off</v>
      </c>
      <c r="N1850" t="str">
        <f t="shared" si="129"/>
        <v>Yes</v>
      </c>
      <c r="O1850" t="s">
        <v>21</v>
      </c>
      <c r="P1850" s="3">
        <f t="shared" si="130"/>
        <v>315.56</v>
      </c>
      <c r="Q1850" t="s">
        <v>27</v>
      </c>
      <c r="R1850">
        <v>4</v>
      </c>
      <c r="S1850" t="str">
        <f t="shared" si="131"/>
        <v>Good</v>
      </c>
    </row>
    <row r="1851" spans="1:19" x14ac:dyDescent="0.25">
      <c r="A1851" t="s">
        <v>2275</v>
      </c>
      <c r="B1851">
        <v>47</v>
      </c>
      <c r="C1851" t="s">
        <v>29</v>
      </c>
      <c r="D1851" t="s">
        <v>2478</v>
      </c>
      <c r="E1851" t="s">
        <v>24</v>
      </c>
      <c r="F1851" t="s">
        <v>25</v>
      </c>
      <c r="G1851" t="s">
        <v>492</v>
      </c>
      <c r="H1851" t="str">
        <f>TEXT(walmart[[#This Row],[Purchase_Date]],"DDD")</f>
        <v>Thu</v>
      </c>
      <c r="I1851" t="str">
        <f>TEXT(walmart[[#This Row],[Purchase_Date]],"MMM")</f>
        <v>Oct</v>
      </c>
      <c r="J1851" t="str">
        <f>TEXT(walmart[[#This Row],[Purchase_Date]],"YYY")</f>
        <v>2024</v>
      </c>
      <c r="K1851" s="3">
        <v>67.040000000000006</v>
      </c>
      <c r="L1851" t="str">
        <f t="shared" si="128"/>
        <v>0% off</v>
      </c>
      <c r="N1851" t="str">
        <f t="shared" si="129"/>
        <v>No</v>
      </c>
      <c r="O1851" t="s">
        <v>21</v>
      </c>
      <c r="P1851" s="3">
        <f t="shared" si="130"/>
        <v>67.040000000000006</v>
      </c>
      <c r="Q1851" t="s">
        <v>27</v>
      </c>
      <c r="R1851">
        <v>3</v>
      </c>
      <c r="S1851" t="str">
        <f t="shared" si="131"/>
        <v>Average</v>
      </c>
    </row>
    <row r="1852" spans="1:19" x14ac:dyDescent="0.25">
      <c r="A1852" t="s">
        <v>2276</v>
      </c>
      <c r="B1852">
        <v>36</v>
      </c>
      <c r="C1852" t="s">
        <v>29</v>
      </c>
      <c r="D1852" t="s">
        <v>2479</v>
      </c>
      <c r="E1852" t="s">
        <v>42</v>
      </c>
      <c r="F1852" t="s">
        <v>43</v>
      </c>
      <c r="G1852" t="s">
        <v>210</v>
      </c>
      <c r="H1852" t="str">
        <f>TEXT(walmart[[#This Row],[Purchase_Date]],"DDD")</f>
        <v>Thu</v>
      </c>
      <c r="I1852" t="str">
        <f>TEXT(walmart[[#This Row],[Purchase_Date]],"MMM")</f>
        <v>Jun</v>
      </c>
      <c r="J1852" t="str">
        <f>TEXT(walmart[[#This Row],[Purchase_Date]],"YYY")</f>
        <v>2024</v>
      </c>
      <c r="K1852" s="3">
        <v>512.94000000000005</v>
      </c>
      <c r="L1852" t="str">
        <f t="shared" si="128"/>
        <v>10% off</v>
      </c>
      <c r="N1852" t="str">
        <f t="shared" si="129"/>
        <v>Yes</v>
      </c>
      <c r="O1852" t="s">
        <v>21</v>
      </c>
      <c r="P1852" s="3">
        <f t="shared" si="130"/>
        <v>512.94000000000005</v>
      </c>
      <c r="Q1852" t="s">
        <v>27</v>
      </c>
      <c r="R1852">
        <v>3</v>
      </c>
      <c r="S1852" t="str">
        <f t="shared" si="131"/>
        <v>Average</v>
      </c>
    </row>
    <row r="1853" spans="1:19" x14ac:dyDescent="0.25">
      <c r="A1853" t="s">
        <v>2277</v>
      </c>
      <c r="B1853">
        <v>23</v>
      </c>
      <c r="C1853" t="s">
        <v>16</v>
      </c>
      <c r="D1853" t="s">
        <v>2480</v>
      </c>
      <c r="E1853" t="s">
        <v>37</v>
      </c>
      <c r="F1853" t="s">
        <v>82</v>
      </c>
      <c r="G1853" t="s">
        <v>134</v>
      </c>
      <c r="H1853" t="str">
        <f>TEXT(walmart[[#This Row],[Purchase_Date]],"DDD")</f>
        <v>Sun</v>
      </c>
      <c r="I1853" t="str">
        <f>TEXT(walmart[[#This Row],[Purchase_Date]],"MMM")</f>
        <v>May</v>
      </c>
      <c r="J1853" t="str">
        <f>TEXT(walmart[[#This Row],[Purchase_Date]],"YYY")</f>
        <v>2024</v>
      </c>
      <c r="K1853" s="3">
        <v>270.41000000000003</v>
      </c>
      <c r="L1853" t="str">
        <f t="shared" si="128"/>
        <v>5% off</v>
      </c>
      <c r="N1853" t="str">
        <f t="shared" si="129"/>
        <v>Yes</v>
      </c>
      <c r="O1853" t="s">
        <v>21</v>
      </c>
      <c r="P1853" s="3">
        <f t="shared" si="130"/>
        <v>270.41000000000003</v>
      </c>
      <c r="Q1853" t="s">
        <v>22</v>
      </c>
      <c r="R1853">
        <v>2</v>
      </c>
      <c r="S1853" t="str">
        <f t="shared" si="131"/>
        <v>Poor</v>
      </c>
    </row>
    <row r="1854" spans="1:19" x14ac:dyDescent="0.25">
      <c r="A1854" t="s">
        <v>2278</v>
      </c>
      <c r="B1854">
        <v>36</v>
      </c>
      <c r="C1854" t="s">
        <v>16</v>
      </c>
      <c r="D1854" t="s">
        <v>2481</v>
      </c>
      <c r="E1854" t="s">
        <v>37</v>
      </c>
      <c r="F1854" t="s">
        <v>82</v>
      </c>
      <c r="G1854" t="s">
        <v>229</v>
      </c>
      <c r="H1854" t="str">
        <f>TEXT(walmart[[#This Row],[Purchase_Date]],"DDD")</f>
        <v>Fri</v>
      </c>
      <c r="I1854" t="str">
        <f>TEXT(walmart[[#This Row],[Purchase_Date]],"MMM")</f>
        <v>Sep</v>
      </c>
      <c r="J1854" t="str">
        <f>TEXT(walmart[[#This Row],[Purchase_Date]],"YYY")</f>
        <v>2024</v>
      </c>
      <c r="K1854" s="3">
        <v>270.41000000000003</v>
      </c>
      <c r="L1854" t="str">
        <f t="shared" si="128"/>
        <v>5% off</v>
      </c>
      <c r="N1854" t="str">
        <f t="shared" si="129"/>
        <v>Yes</v>
      </c>
      <c r="O1854" t="s">
        <v>34</v>
      </c>
      <c r="P1854" s="3">
        <f t="shared" si="130"/>
        <v>270.41000000000003</v>
      </c>
      <c r="Q1854" t="s">
        <v>35</v>
      </c>
      <c r="R1854">
        <v>3</v>
      </c>
      <c r="S1854" t="str">
        <f t="shared" si="131"/>
        <v>Average</v>
      </c>
    </row>
    <row r="1855" spans="1:19" x14ac:dyDescent="0.25">
      <c r="A1855" t="s">
        <v>2279</v>
      </c>
      <c r="B1855">
        <v>42</v>
      </c>
      <c r="C1855" t="s">
        <v>29</v>
      </c>
      <c r="D1855" t="s">
        <v>2482</v>
      </c>
      <c r="E1855" t="s">
        <v>18</v>
      </c>
      <c r="F1855" t="s">
        <v>77</v>
      </c>
      <c r="G1855" t="s">
        <v>199</v>
      </c>
      <c r="H1855" t="str">
        <f>TEXT(walmart[[#This Row],[Purchase_Date]],"DDD")</f>
        <v>Sun</v>
      </c>
      <c r="I1855" t="str">
        <f>TEXT(walmart[[#This Row],[Purchase_Date]],"MMM")</f>
        <v>May</v>
      </c>
      <c r="J1855" t="str">
        <f>TEXT(walmart[[#This Row],[Purchase_Date]],"YYY")</f>
        <v>2024</v>
      </c>
      <c r="K1855" s="3">
        <v>116.78</v>
      </c>
      <c r="L1855" t="str">
        <f t="shared" si="128"/>
        <v>0% off</v>
      </c>
      <c r="N1855" t="str">
        <f t="shared" si="129"/>
        <v>No</v>
      </c>
      <c r="O1855" t="s">
        <v>21</v>
      </c>
      <c r="P1855" s="3">
        <f t="shared" si="130"/>
        <v>116.78</v>
      </c>
      <c r="Q1855" t="s">
        <v>27</v>
      </c>
      <c r="R1855">
        <v>1</v>
      </c>
      <c r="S1855" t="str">
        <f t="shared" si="131"/>
        <v>Very Poor</v>
      </c>
    </row>
    <row r="1856" spans="1:19" x14ac:dyDescent="0.25">
      <c r="A1856" t="s">
        <v>2280</v>
      </c>
      <c r="B1856">
        <v>33</v>
      </c>
      <c r="C1856" t="s">
        <v>16</v>
      </c>
      <c r="D1856" t="s">
        <v>2462</v>
      </c>
      <c r="E1856" t="s">
        <v>31</v>
      </c>
      <c r="F1856" t="s">
        <v>169</v>
      </c>
      <c r="G1856" t="s">
        <v>1429</v>
      </c>
      <c r="H1856" t="str">
        <f>TEXT(walmart[[#This Row],[Purchase_Date]],"DDD")</f>
        <v>Tue</v>
      </c>
      <c r="I1856" t="str">
        <f>TEXT(walmart[[#This Row],[Purchase_Date]],"MMM")</f>
        <v>Apr</v>
      </c>
      <c r="J1856" t="str">
        <f>TEXT(walmart[[#This Row],[Purchase_Date]],"YYY")</f>
        <v>2024</v>
      </c>
      <c r="K1856" s="3">
        <v>52.44</v>
      </c>
      <c r="L1856" t="str">
        <f t="shared" si="128"/>
        <v>0% off</v>
      </c>
      <c r="N1856" t="str">
        <f t="shared" si="129"/>
        <v>No</v>
      </c>
      <c r="O1856" t="s">
        <v>34</v>
      </c>
      <c r="P1856" s="3">
        <f t="shared" si="130"/>
        <v>52.44</v>
      </c>
      <c r="Q1856" t="s">
        <v>35</v>
      </c>
      <c r="R1856">
        <v>1</v>
      </c>
      <c r="S1856" t="str">
        <f t="shared" si="131"/>
        <v>Very Poor</v>
      </c>
    </row>
    <row r="1857" spans="1:19" x14ac:dyDescent="0.25">
      <c r="A1857" t="s">
        <v>2281</v>
      </c>
      <c r="B1857">
        <v>63</v>
      </c>
      <c r="C1857" t="s">
        <v>29</v>
      </c>
      <c r="D1857" t="s">
        <v>2483</v>
      </c>
      <c r="E1857" t="s">
        <v>37</v>
      </c>
      <c r="F1857" t="s">
        <v>97</v>
      </c>
      <c r="G1857" t="s">
        <v>315</v>
      </c>
      <c r="H1857" t="str">
        <f>TEXT(walmart[[#This Row],[Purchase_Date]],"DDD")</f>
        <v>Mon</v>
      </c>
      <c r="I1857" t="str">
        <f>TEXT(walmart[[#This Row],[Purchase_Date]],"MMM")</f>
        <v>Apr</v>
      </c>
      <c r="J1857" t="str">
        <f>TEXT(walmart[[#This Row],[Purchase_Date]],"YYY")</f>
        <v>2024</v>
      </c>
      <c r="K1857" s="3">
        <v>855.21</v>
      </c>
      <c r="L1857" t="str">
        <f t="shared" si="128"/>
        <v>15% off</v>
      </c>
      <c r="N1857" t="str">
        <f t="shared" si="129"/>
        <v>Yes</v>
      </c>
      <c r="O1857" t="s">
        <v>21</v>
      </c>
      <c r="P1857" s="3">
        <f t="shared" si="130"/>
        <v>855.21</v>
      </c>
      <c r="Q1857" t="s">
        <v>22</v>
      </c>
      <c r="R1857">
        <v>1</v>
      </c>
      <c r="S1857" t="str">
        <f t="shared" si="131"/>
        <v>Very Poor</v>
      </c>
    </row>
    <row r="1858" spans="1:19" x14ac:dyDescent="0.25">
      <c r="A1858" t="s">
        <v>2282</v>
      </c>
      <c r="B1858">
        <v>32</v>
      </c>
      <c r="C1858" t="s">
        <v>29</v>
      </c>
      <c r="D1858" t="s">
        <v>2484</v>
      </c>
      <c r="E1858" t="s">
        <v>31</v>
      </c>
      <c r="F1858" t="s">
        <v>112</v>
      </c>
      <c r="G1858" t="s">
        <v>959</v>
      </c>
      <c r="H1858" t="str">
        <f>TEXT(walmart[[#This Row],[Purchase_Date]],"DDD")</f>
        <v>Mon</v>
      </c>
      <c r="I1858" t="str">
        <f>TEXT(walmart[[#This Row],[Purchase_Date]],"MMM")</f>
        <v>Dec</v>
      </c>
      <c r="J1858" t="str">
        <f>TEXT(walmart[[#This Row],[Purchase_Date]],"YYY")</f>
        <v>2024</v>
      </c>
      <c r="K1858" s="3">
        <v>492.1</v>
      </c>
      <c r="L1858" t="str">
        <f t="shared" si="128"/>
        <v>5% off</v>
      </c>
      <c r="N1858" t="str">
        <f t="shared" si="129"/>
        <v>Yes</v>
      </c>
      <c r="O1858" t="s">
        <v>34</v>
      </c>
      <c r="P1858" s="3">
        <f t="shared" si="130"/>
        <v>492.1</v>
      </c>
      <c r="Q1858" t="s">
        <v>47</v>
      </c>
      <c r="R1858">
        <v>3</v>
      </c>
      <c r="S1858" t="str">
        <f t="shared" si="131"/>
        <v>Average</v>
      </c>
    </row>
    <row r="1859" spans="1:19" x14ac:dyDescent="0.25">
      <c r="A1859" t="s">
        <v>2283</v>
      </c>
      <c r="B1859">
        <v>19</v>
      </c>
      <c r="C1859" t="s">
        <v>29</v>
      </c>
      <c r="D1859" t="s">
        <v>2485</v>
      </c>
      <c r="E1859" t="s">
        <v>42</v>
      </c>
      <c r="F1859" t="s">
        <v>52</v>
      </c>
      <c r="G1859" t="s">
        <v>651</v>
      </c>
      <c r="H1859" t="str">
        <f>TEXT(walmart[[#This Row],[Purchase_Date]],"DDD")</f>
        <v>Mon</v>
      </c>
      <c r="I1859" t="str">
        <f>TEXT(walmart[[#This Row],[Purchase_Date]],"MMM")</f>
        <v>Nov</v>
      </c>
      <c r="J1859" t="str">
        <f>TEXT(walmart[[#This Row],[Purchase_Date]],"YYY")</f>
        <v>2024</v>
      </c>
      <c r="K1859" s="3">
        <v>988.77</v>
      </c>
      <c r="L1859" t="str">
        <f t="shared" ref="L1859:L1922" si="132">IF(K1859&lt;150,"0% off",IF(K1859&lt;500,"5% off",IF(K1859&lt;700,"10% off",IF(K1859&lt;900,"15% off","20% off"))))</f>
        <v>20% off</v>
      </c>
      <c r="N1859" t="str">
        <f t="shared" ref="N1859:N1922" si="133">IF(L1859="0% off", "No", "Yes")</f>
        <v>Yes</v>
      </c>
      <c r="O1859" t="s">
        <v>21</v>
      </c>
      <c r="P1859" s="3">
        <f t="shared" ref="P1859:P1922" si="134">K1859-M1859</f>
        <v>988.77</v>
      </c>
      <c r="Q1859" t="s">
        <v>35</v>
      </c>
      <c r="R1859">
        <v>2</v>
      </c>
      <c r="S1859" t="str">
        <f t="shared" ref="S1859:S1922" si="135">IF(R1859=5, "Excellent", IF(R1859=4, "Good", IF(R1859=3, "Average", IF(R1859=2, "Poor", IF(R1859=1, "Very Poor", "Invalid Rating")))))</f>
        <v>Poor</v>
      </c>
    </row>
    <row r="1860" spans="1:19" x14ac:dyDescent="0.25">
      <c r="A1860" t="s">
        <v>2284</v>
      </c>
      <c r="B1860">
        <v>25</v>
      </c>
      <c r="C1860" t="s">
        <v>29</v>
      </c>
      <c r="D1860" t="s">
        <v>2486</v>
      </c>
      <c r="E1860" t="s">
        <v>42</v>
      </c>
      <c r="F1860" t="s">
        <v>52</v>
      </c>
      <c r="G1860" t="s">
        <v>607</v>
      </c>
      <c r="H1860" t="str">
        <f>TEXT(walmart[[#This Row],[Purchase_Date]],"DDD")</f>
        <v>Wed</v>
      </c>
      <c r="I1860" t="str">
        <f>TEXT(walmart[[#This Row],[Purchase_Date]],"MMM")</f>
        <v>Oct</v>
      </c>
      <c r="J1860" t="str">
        <f>TEXT(walmart[[#This Row],[Purchase_Date]],"YYY")</f>
        <v>2024</v>
      </c>
      <c r="K1860" s="3">
        <v>988.77</v>
      </c>
      <c r="L1860" t="str">
        <f t="shared" si="132"/>
        <v>20% off</v>
      </c>
      <c r="N1860" t="str">
        <f t="shared" si="133"/>
        <v>Yes</v>
      </c>
      <c r="O1860" t="s">
        <v>34</v>
      </c>
      <c r="P1860" s="3">
        <f t="shared" si="134"/>
        <v>988.77</v>
      </c>
      <c r="Q1860" t="s">
        <v>35</v>
      </c>
      <c r="R1860">
        <v>4</v>
      </c>
      <c r="S1860" t="str">
        <f t="shared" si="135"/>
        <v>Good</v>
      </c>
    </row>
    <row r="1861" spans="1:19" x14ac:dyDescent="0.25">
      <c r="A1861" t="s">
        <v>2285</v>
      </c>
      <c r="B1861">
        <v>21</v>
      </c>
      <c r="C1861" t="s">
        <v>29</v>
      </c>
      <c r="D1861" t="s">
        <v>2487</v>
      </c>
      <c r="E1861" t="s">
        <v>24</v>
      </c>
      <c r="F1861" t="s">
        <v>186</v>
      </c>
      <c r="G1861" t="s">
        <v>600</v>
      </c>
      <c r="H1861" t="str">
        <f>TEXT(walmart[[#This Row],[Purchase_Date]],"DDD")</f>
        <v>Sun</v>
      </c>
      <c r="I1861" t="str">
        <f>TEXT(walmart[[#This Row],[Purchase_Date]],"MMM")</f>
        <v>Dec</v>
      </c>
      <c r="J1861" t="str">
        <f>TEXT(walmart[[#This Row],[Purchase_Date]],"YYY")</f>
        <v>2024</v>
      </c>
      <c r="K1861" s="3">
        <v>527.16999999999996</v>
      </c>
      <c r="L1861" t="str">
        <f t="shared" si="132"/>
        <v>10% off</v>
      </c>
      <c r="N1861" t="str">
        <f t="shared" si="133"/>
        <v>Yes</v>
      </c>
      <c r="O1861" t="s">
        <v>34</v>
      </c>
      <c r="P1861" s="3">
        <f t="shared" si="134"/>
        <v>527.16999999999996</v>
      </c>
      <c r="Q1861" t="s">
        <v>47</v>
      </c>
      <c r="R1861">
        <v>5</v>
      </c>
      <c r="S1861" t="str">
        <f t="shared" si="135"/>
        <v>Excellent</v>
      </c>
    </row>
    <row r="1862" spans="1:19" x14ac:dyDescent="0.25">
      <c r="A1862" t="s">
        <v>2286</v>
      </c>
      <c r="B1862">
        <v>35</v>
      </c>
      <c r="C1862" t="s">
        <v>16</v>
      </c>
      <c r="D1862" t="s">
        <v>2488</v>
      </c>
      <c r="E1862" t="s">
        <v>55</v>
      </c>
      <c r="F1862" t="s">
        <v>56</v>
      </c>
      <c r="G1862" t="s">
        <v>814</v>
      </c>
      <c r="H1862" t="str">
        <f>TEXT(walmart[[#This Row],[Purchase_Date]],"DDD")</f>
        <v>Thu</v>
      </c>
      <c r="I1862" t="str">
        <f>TEXT(walmart[[#This Row],[Purchase_Date]],"MMM")</f>
        <v>Apr</v>
      </c>
      <c r="J1862" t="str">
        <f>TEXT(walmart[[#This Row],[Purchase_Date]],"YYY")</f>
        <v>2024</v>
      </c>
      <c r="K1862" s="3">
        <v>76.81</v>
      </c>
      <c r="L1862" t="str">
        <f t="shared" si="132"/>
        <v>0% off</v>
      </c>
      <c r="N1862" t="str">
        <f t="shared" si="133"/>
        <v>No</v>
      </c>
      <c r="O1862" t="s">
        <v>34</v>
      </c>
      <c r="P1862" s="3">
        <f t="shared" si="134"/>
        <v>76.81</v>
      </c>
      <c r="Q1862" t="s">
        <v>47</v>
      </c>
      <c r="R1862">
        <v>3</v>
      </c>
      <c r="S1862" t="str">
        <f t="shared" si="135"/>
        <v>Average</v>
      </c>
    </row>
    <row r="1863" spans="1:19" x14ac:dyDescent="0.25">
      <c r="A1863" t="s">
        <v>2287</v>
      </c>
      <c r="B1863">
        <v>22</v>
      </c>
      <c r="C1863" t="s">
        <v>29</v>
      </c>
      <c r="D1863" t="s">
        <v>2489</v>
      </c>
      <c r="E1863" t="s">
        <v>37</v>
      </c>
      <c r="F1863" t="s">
        <v>97</v>
      </c>
      <c r="G1863" t="s">
        <v>340</v>
      </c>
      <c r="H1863" t="str">
        <f>TEXT(walmart[[#This Row],[Purchase_Date]],"DDD")</f>
        <v>Thu</v>
      </c>
      <c r="I1863" t="str">
        <f>TEXT(walmart[[#This Row],[Purchase_Date]],"MMM")</f>
        <v>Jun</v>
      </c>
      <c r="J1863" t="str">
        <f>TEXT(walmart[[#This Row],[Purchase_Date]],"YYY")</f>
        <v>2024</v>
      </c>
      <c r="K1863" s="3">
        <v>855.21</v>
      </c>
      <c r="L1863" t="str">
        <f t="shared" si="132"/>
        <v>15% off</v>
      </c>
      <c r="N1863" t="str">
        <f t="shared" si="133"/>
        <v>Yes</v>
      </c>
      <c r="O1863" t="s">
        <v>34</v>
      </c>
      <c r="P1863" s="3">
        <f t="shared" si="134"/>
        <v>855.21</v>
      </c>
      <c r="Q1863" t="s">
        <v>47</v>
      </c>
      <c r="R1863">
        <v>3</v>
      </c>
      <c r="S1863" t="str">
        <f t="shared" si="135"/>
        <v>Average</v>
      </c>
    </row>
    <row r="1864" spans="1:19" x14ac:dyDescent="0.25">
      <c r="A1864" t="s">
        <v>2288</v>
      </c>
      <c r="B1864">
        <v>35</v>
      </c>
      <c r="C1864" t="s">
        <v>16</v>
      </c>
      <c r="D1864" t="s">
        <v>2490</v>
      </c>
      <c r="E1864" t="s">
        <v>31</v>
      </c>
      <c r="F1864" t="s">
        <v>32</v>
      </c>
      <c r="G1864" t="s">
        <v>1236</v>
      </c>
      <c r="H1864" t="str">
        <f>TEXT(walmart[[#This Row],[Purchase_Date]],"DDD")</f>
        <v>Tue</v>
      </c>
      <c r="I1864" t="str">
        <f>TEXT(walmart[[#This Row],[Purchase_Date]],"MMM")</f>
        <v>Jul</v>
      </c>
      <c r="J1864" t="str">
        <f>TEXT(walmart[[#This Row],[Purchase_Date]],"YYY")</f>
        <v>2024</v>
      </c>
      <c r="K1864" s="3">
        <v>493.96</v>
      </c>
      <c r="L1864" t="str">
        <f t="shared" si="132"/>
        <v>5% off</v>
      </c>
      <c r="N1864" t="str">
        <f t="shared" si="133"/>
        <v>Yes</v>
      </c>
      <c r="O1864" t="s">
        <v>34</v>
      </c>
      <c r="P1864" s="3">
        <f t="shared" si="134"/>
        <v>493.96</v>
      </c>
      <c r="Q1864" t="s">
        <v>35</v>
      </c>
      <c r="R1864">
        <v>1</v>
      </c>
      <c r="S1864" t="str">
        <f t="shared" si="135"/>
        <v>Very Poor</v>
      </c>
    </row>
    <row r="1865" spans="1:19" x14ac:dyDescent="0.25">
      <c r="A1865" t="s">
        <v>2289</v>
      </c>
      <c r="B1865">
        <v>52</v>
      </c>
      <c r="C1865" t="s">
        <v>16</v>
      </c>
      <c r="D1865" t="s">
        <v>2471</v>
      </c>
      <c r="E1865" t="s">
        <v>42</v>
      </c>
      <c r="F1865" t="s">
        <v>103</v>
      </c>
      <c r="G1865" t="s">
        <v>794</v>
      </c>
      <c r="H1865" t="str">
        <f>TEXT(walmart[[#This Row],[Purchase_Date]],"DDD")</f>
        <v>Wed</v>
      </c>
      <c r="I1865" t="str">
        <f>TEXT(walmart[[#This Row],[Purchase_Date]],"MMM")</f>
        <v>Jan</v>
      </c>
      <c r="J1865" t="str">
        <f>TEXT(walmart[[#This Row],[Purchase_Date]],"YYY")</f>
        <v>2025</v>
      </c>
      <c r="K1865" s="3">
        <v>315.56</v>
      </c>
      <c r="L1865" t="str">
        <f t="shared" si="132"/>
        <v>5% off</v>
      </c>
      <c r="N1865" t="str">
        <f t="shared" si="133"/>
        <v>Yes</v>
      </c>
      <c r="O1865" t="s">
        <v>21</v>
      </c>
      <c r="P1865" s="3">
        <f t="shared" si="134"/>
        <v>315.56</v>
      </c>
      <c r="Q1865" t="s">
        <v>22</v>
      </c>
      <c r="R1865">
        <v>5</v>
      </c>
      <c r="S1865" t="str">
        <f t="shared" si="135"/>
        <v>Excellent</v>
      </c>
    </row>
    <row r="1866" spans="1:19" x14ac:dyDescent="0.25">
      <c r="A1866" t="s">
        <v>2290</v>
      </c>
      <c r="B1866">
        <v>34</v>
      </c>
      <c r="C1866" t="s">
        <v>16</v>
      </c>
      <c r="D1866" t="s">
        <v>2491</v>
      </c>
      <c r="E1866" t="s">
        <v>24</v>
      </c>
      <c r="F1866" t="s">
        <v>209</v>
      </c>
      <c r="G1866" t="s">
        <v>283</v>
      </c>
      <c r="H1866" t="str">
        <f>TEXT(walmart[[#This Row],[Purchase_Date]],"DDD")</f>
        <v>Fri</v>
      </c>
      <c r="I1866" t="str">
        <f>TEXT(walmart[[#This Row],[Purchase_Date]],"MMM")</f>
        <v>Jan</v>
      </c>
      <c r="J1866" t="str">
        <f>TEXT(walmart[[#This Row],[Purchase_Date]],"YYY")</f>
        <v>2025</v>
      </c>
      <c r="K1866" s="3">
        <v>775.75</v>
      </c>
      <c r="L1866" t="str">
        <f t="shared" si="132"/>
        <v>15% off</v>
      </c>
      <c r="N1866" t="str">
        <f t="shared" si="133"/>
        <v>Yes</v>
      </c>
      <c r="O1866" t="s">
        <v>34</v>
      </c>
      <c r="P1866" s="3">
        <f t="shared" si="134"/>
        <v>775.75</v>
      </c>
      <c r="Q1866" t="s">
        <v>27</v>
      </c>
      <c r="R1866">
        <v>2</v>
      </c>
      <c r="S1866" t="str">
        <f t="shared" si="135"/>
        <v>Poor</v>
      </c>
    </row>
    <row r="1867" spans="1:19" x14ac:dyDescent="0.25">
      <c r="A1867" t="s">
        <v>2291</v>
      </c>
      <c r="B1867">
        <v>67</v>
      </c>
      <c r="C1867" t="s">
        <v>29</v>
      </c>
      <c r="D1867" t="s">
        <v>2492</v>
      </c>
      <c r="E1867" t="s">
        <v>73</v>
      </c>
      <c r="F1867" t="s">
        <v>74</v>
      </c>
      <c r="G1867" t="s">
        <v>311</v>
      </c>
      <c r="H1867" t="str">
        <f>TEXT(walmart[[#This Row],[Purchase_Date]],"DDD")</f>
        <v>Mon</v>
      </c>
      <c r="I1867" t="str">
        <f>TEXT(walmart[[#This Row],[Purchase_Date]],"MMM")</f>
        <v>Mar</v>
      </c>
      <c r="J1867" t="str">
        <f>TEXT(walmart[[#This Row],[Purchase_Date]],"YYY")</f>
        <v>2025</v>
      </c>
      <c r="K1867" s="3">
        <v>782.29</v>
      </c>
      <c r="L1867" t="str">
        <f t="shared" si="132"/>
        <v>15% off</v>
      </c>
      <c r="N1867" t="str">
        <f t="shared" si="133"/>
        <v>Yes</v>
      </c>
      <c r="O1867" t="s">
        <v>21</v>
      </c>
      <c r="P1867" s="3">
        <f t="shared" si="134"/>
        <v>782.29</v>
      </c>
      <c r="Q1867" t="s">
        <v>27</v>
      </c>
      <c r="R1867">
        <v>3</v>
      </c>
      <c r="S1867" t="str">
        <f t="shared" si="135"/>
        <v>Average</v>
      </c>
    </row>
    <row r="1868" spans="1:19" x14ac:dyDescent="0.25">
      <c r="A1868" t="s">
        <v>2292</v>
      </c>
      <c r="B1868">
        <v>36</v>
      </c>
      <c r="C1868" t="s">
        <v>16</v>
      </c>
      <c r="D1868" t="s">
        <v>2493</v>
      </c>
      <c r="E1868" t="s">
        <v>42</v>
      </c>
      <c r="F1868" t="s">
        <v>43</v>
      </c>
      <c r="G1868" t="s">
        <v>814</v>
      </c>
      <c r="H1868" t="str">
        <f>TEXT(walmart[[#This Row],[Purchase_Date]],"DDD")</f>
        <v>Thu</v>
      </c>
      <c r="I1868" t="str">
        <f>TEXT(walmart[[#This Row],[Purchase_Date]],"MMM")</f>
        <v>Apr</v>
      </c>
      <c r="J1868" t="str">
        <f>TEXT(walmart[[#This Row],[Purchase_Date]],"YYY")</f>
        <v>2024</v>
      </c>
      <c r="K1868" s="3">
        <v>512.94000000000005</v>
      </c>
      <c r="L1868" t="str">
        <f t="shared" si="132"/>
        <v>10% off</v>
      </c>
      <c r="N1868" t="str">
        <f t="shared" si="133"/>
        <v>Yes</v>
      </c>
      <c r="O1868" t="s">
        <v>21</v>
      </c>
      <c r="P1868" s="3">
        <f t="shared" si="134"/>
        <v>512.94000000000005</v>
      </c>
      <c r="Q1868" t="s">
        <v>22</v>
      </c>
      <c r="R1868">
        <v>4</v>
      </c>
      <c r="S1868" t="str">
        <f t="shared" si="135"/>
        <v>Good</v>
      </c>
    </row>
    <row r="1869" spans="1:19" x14ac:dyDescent="0.25">
      <c r="A1869" t="s">
        <v>2293</v>
      </c>
      <c r="B1869">
        <v>61</v>
      </c>
      <c r="C1869" t="s">
        <v>16</v>
      </c>
      <c r="D1869" t="s">
        <v>2494</v>
      </c>
      <c r="E1869" t="s">
        <v>42</v>
      </c>
      <c r="F1869" t="s">
        <v>52</v>
      </c>
      <c r="G1869" t="s">
        <v>353</v>
      </c>
      <c r="H1869" t="str">
        <f>TEXT(walmart[[#This Row],[Purchase_Date]],"DDD")</f>
        <v>Tue</v>
      </c>
      <c r="I1869" t="str">
        <f>TEXT(walmart[[#This Row],[Purchase_Date]],"MMM")</f>
        <v>Jul</v>
      </c>
      <c r="J1869" t="str">
        <f>TEXT(walmart[[#This Row],[Purchase_Date]],"YYY")</f>
        <v>2024</v>
      </c>
      <c r="K1869" s="3">
        <v>988.77</v>
      </c>
      <c r="L1869" t="str">
        <f t="shared" si="132"/>
        <v>20% off</v>
      </c>
      <c r="N1869" t="str">
        <f t="shared" si="133"/>
        <v>Yes</v>
      </c>
      <c r="O1869" t="s">
        <v>34</v>
      </c>
      <c r="P1869" s="3">
        <f t="shared" si="134"/>
        <v>988.77</v>
      </c>
      <c r="Q1869" t="s">
        <v>47</v>
      </c>
      <c r="R1869">
        <v>4</v>
      </c>
      <c r="S1869" t="str">
        <f t="shared" si="135"/>
        <v>Good</v>
      </c>
    </row>
    <row r="1870" spans="1:19" x14ac:dyDescent="0.25">
      <c r="A1870" t="s">
        <v>2294</v>
      </c>
      <c r="B1870">
        <v>58</v>
      </c>
      <c r="C1870" t="s">
        <v>16</v>
      </c>
      <c r="D1870" t="s">
        <v>2495</v>
      </c>
      <c r="E1870" t="s">
        <v>24</v>
      </c>
      <c r="F1870" t="s">
        <v>209</v>
      </c>
      <c r="G1870" t="s">
        <v>275</v>
      </c>
      <c r="H1870" t="str">
        <f>TEXT(walmart[[#This Row],[Purchase_Date]],"DDD")</f>
        <v>Sat</v>
      </c>
      <c r="I1870" t="str">
        <f>TEXT(walmart[[#This Row],[Purchase_Date]],"MMM")</f>
        <v>Jun</v>
      </c>
      <c r="J1870" t="str">
        <f>TEXT(walmart[[#This Row],[Purchase_Date]],"YYY")</f>
        <v>2024</v>
      </c>
      <c r="K1870" s="3">
        <v>775.75</v>
      </c>
      <c r="L1870" t="str">
        <f t="shared" si="132"/>
        <v>15% off</v>
      </c>
      <c r="N1870" t="str">
        <f t="shared" si="133"/>
        <v>Yes</v>
      </c>
      <c r="O1870" t="s">
        <v>34</v>
      </c>
      <c r="P1870" s="3">
        <f t="shared" si="134"/>
        <v>775.75</v>
      </c>
      <c r="Q1870" t="s">
        <v>47</v>
      </c>
      <c r="R1870">
        <v>2</v>
      </c>
      <c r="S1870" t="str">
        <f t="shared" si="135"/>
        <v>Poor</v>
      </c>
    </row>
    <row r="1871" spans="1:19" x14ac:dyDescent="0.25">
      <c r="A1871" t="s">
        <v>2295</v>
      </c>
      <c r="B1871">
        <v>50</v>
      </c>
      <c r="C1871" t="s">
        <v>29</v>
      </c>
      <c r="D1871" t="s">
        <v>2496</v>
      </c>
      <c r="E1871" t="s">
        <v>24</v>
      </c>
      <c r="F1871" t="s">
        <v>25</v>
      </c>
      <c r="G1871" t="s">
        <v>622</v>
      </c>
      <c r="H1871" t="str">
        <f>TEXT(walmart[[#This Row],[Purchase_Date]],"DDD")</f>
        <v>Mon</v>
      </c>
      <c r="I1871" t="str">
        <f>TEXT(walmart[[#This Row],[Purchase_Date]],"MMM")</f>
        <v>Dec</v>
      </c>
      <c r="J1871" t="str">
        <f>TEXT(walmart[[#This Row],[Purchase_Date]],"YYY")</f>
        <v>2024</v>
      </c>
      <c r="K1871" s="3">
        <v>67.040000000000006</v>
      </c>
      <c r="L1871" t="str">
        <f t="shared" si="132"/>
        <v>0% off</v>
      </c>
      <c r="N1871" t="str">
        <f t="shared" si="133"/>
        <v>No</v>
      </c>
      <c r="O1871" t="s">
        <v>21</v>
      </c>
      <c r="P1871" s="3">
        <f t="shared" si="134"/>
        <v>67.040000000000006</v>
      </c>
      <c r="Q1871" t="s">
        <v>35</v>
      </c>
      <c r="R1871">
        <v>4</v>
      </c>
      <c r="S1871" t="str">
        <f t="shared" si="135"/>
        <v>Good</v>
      </c>
    </row>
    <row r="1872" spans="1:19" x14ac:dyDescent="0.25">
      <c r="A1872" t="s">
        <v>2296</v>
      </c>
      <c r="B1872">
        <v>48</v>
      </c>
      <c r="C1872" t="s">
        <v>16</v>
      </c>
      <c r="D1872" t="s">
        <v>2497</v>
      </c>
      <c r="E1872" t="s">
        <v>18</v>
      </c>
      <c r="F1872" t="s">
        <v>142</v>
      </c>
      <c r="G1872" t="s">
        <v>65</v>
      </c>
      <c r="H1872" t="str">
        <f>TEXT(walmart[[#This Row],[Purchase_Date]],"DDD")</f>
        <v>Wed</v>
      </c>
      <c r="I1872" t="str">
        <f>TEXT(walmart[[#This Row],[Purchase_Date]],"MMM")</f>
        <v>Mar</v>
      </c>
      <c r="J1872" t="str">
        <f>TEXT(walmart[[#This Row],[Purchase_Date]],"YYY")</f>
        <v>2025</v>
      </c>
      <c r="K1872" s="3">
        <v>485.26</v>
      </c>
      <c r="L1872" t="str">
        <f t="shared" si="132"/>
        <v>5% off</v>
      </c>
      <c r="N1872" t="str">
        <f t="shared" si="133"/>
        <v>Yes</v>
      </c>
      <c r="O1872" t="s">
        <v>21</v>
      </c>
      <c r="P1872" s="3">
        <f t="shared" si="134"/>
        <v>485.26</v>
      </c>
      <c r="Q1872" t="s">
        <v>27</v>
      </c>
      <c r="R1872">
        <v>2</v>
      </c>
      <c r="S1872" t="str">
        <f t="shared" si="135"/>
        <v>Poor</v>
      </c>
    </row>
    <row r="1873" spans="1:19" x14ac:dyDescent="0.25">
      <c r="A1873" t="s">
        <v>2297</v>
      </c>
      <c r="B1873">
        <v>65</v>
      </c>
      <c r="C1873" t="s">
        <v>16</v>
      </c>
      <c r="D1873" t="s">
        <v>2498</v>
      </c>
      <c r="E1873" t="s">
        <v>73</v>
      </c>
      <c r="F1873" t="s">
        <v>74</v>
      </c>
      <c r="G1873" t="s">
        <v>978</v>
      </c>
      <c r="H1873" t="str">
        <f>TEXT(walmart[[#This Row],[Purchase_Date]],"DDD")</f>
        <v>Sun</v>
      </c>
      <c r="I1873" t="str">
        <f>TEXT(walmart[[#This Row],[Purchase_Date]],"MMM")</f>
        <v>Jun</v>
      </c>
      <c r="J1873" t="str">
        <f>TEXT(walmart[[#This Row],[Purchase_Date]],"YYY")</f>
        <v>2024</v>
      </c>
      <c r="K1873" s="3">
        <v>782.29</v>
      </c>
      <c r="L1873" t="str">
        <f t="shared" si="132"/>
        <v>15% off</v>
      </c>
      <c r="N1873" t="str">
        <f t="shared" si="133"/>
        <v>Yes</v>
      </c>
      <c r="O1873" t="s">
        <v>21</v>
      </c>
      <c r="P1873" s="3">
        <f t="shared" si="134"/>
        <v>782.29</v>
      </c>
      <c r="Q1873" t="s">
        <v>47</v>
      </c>
      <c r="R1873">
        <v>5</v>
      </c>
      <c r="S1873" t="str">
        <f t="shared" si="135"/>
        <v>Excellent</v>
      </c>
    </row>
    <row r="1874" spans="1:19" x14ac:dyDescent="0.25">
      <c r="A1874" t="s">
        <v>2298</v>
      </c>
      <c r="B1874">
        <v>21</v>
      </c>
      <c r="C1874" t="s">
        <v>16</v>
      </c>
      <c r="D1874" t="s">
        <v>2499</v>
      </c>
      <c r="E1874" t="s">
        <v>24</v>
      </c>
      <c r="F1874" t="s">
        <v>25</v>
      </c>
      <c r="G1874" t="s">
        <v>108</v>
      </c>
      <c r="H1874" t="str">
        <f>TEXT(walmart[[#This Row],[Purchase_Date]],"DDD")</f>
        <v>Wed</v>
      </c>
      <c r="I1874" t="str">
        <f>TEXT(walmart[[#This Row],[Purchase_Date]],"MMM")</f>
        <v>Aug</v>
      </c>
      <c r="J1874" t="str">
        <f>TEXT(walmart[[#This Row],[Purchase_Date]],"YYY")</f>
        <v>2024</v>
      </c>
      <c r="K1874" s="3">
        <v>67.040000000000006</v>
      </c>
      <c r="L1874" t="str">
        <f t="shared" si="132"/>
        <v>0% off</v>
      </c>
      <c r="N1874" t="str">
        <f t="shared" si="133"/>
        <v>No</v>
      </c>
      <c r="O1874" t="s">
        <v>34</v>
      </c>
      <c r="P1874" s="3">
        <f t="shared" si="134"/>
        <v>67.040000000000006</v>
      </c>
      <c r="Q1874" t="s">
        <v>35</v>
      </c>
      <c r="R1874">
        <v>1</v>
      </c>
      <c r="S1874" t="str">
        <f t="shared" si="135"/>
        <v>Very Poor</v>
      </c>
    </row>
    <row r="1875" spans="1:19" x14ac:dyDescent="0.25">
      <c r="A1875" t="s">
        <v>2299</v>
      </c>
      <c r="B1875">
        <v>33</v>
      </c>
      <c r="C1875" t="s">
        <v>16</v>
      </c>
      <c r="D1875" t="s">
        <v>2500</v>
      </c>
      <c r="E1875" t="s">
        <v>24</v>
      </c>
      <c r="F1875" t="s">
        <v>186</v>
      </c>
      <c r="G1875" t="s">
        <v>685</v>
      </c>
      <c r="H1875" t="str">
        <f>TEXT(walmart[[#This Row],[Purchase_Date]],"DDD")</f>
        <v>Fri</v>
      </c>
      <c r="I1875" t="str">
        <f>TEXT(walmart[[#This Row],[Purchase_Date]],"MMM")</f>
        <v>May</v>
      </c>
      <c r="J1875" t="str">
        <f>TEXT(walmart[[#This Row],[Purchase_Date]],"YYY")</f>
        <v>2024</v>
      </c>
      <c r="K1875" s="3">
        <v>527.16999999999996</v>
      </c>
      <c r="L1875" t="str">
        <f t="shared" si="132"/>
        <v>10% off</v>
      </c>
      <c r="N1875" t="str">
        <f t="shared" si="133"/>
        <v>Yes</v>
      </c>
      <c r="O1875" t="s">
        <v>34</v>
      </c>
      <c r="P1875" s="3">
        <f t="shared" si="134"/>
        <v>527.16999999999996</v>
      </c>
      <c r="Q1875" t="s">
        <v>47</v>
      </c>
      <c r="R1875">
        <v>2</v>
      </c>
      <c r="S1875" t="str">
        <f t="shared" si="135"/>
        <v>Poor</v>
      </c>
    </row>
    <row r="1876" spans="1:19" x14ac:dyDescent="0.25">
      <c r="A1876" t="s">
        <v>2300</v>
      </c>
      <c r="B1876">
        <v>41</v>
      </c>
      <c r="C1876" t="s">
        <v>29</v>
      </c>
      <c r="D1876" t="s">
        <v>2501</v>
      </c>
      <c r="E1876" t="s">
        <v>73</v>
      </c>
      <c r="F1876" t="s">
        <v>94</v>
      </c>
      <c r="G1876" t="s">
        <v>829</v>
      </c>
      <c r="H1876" t="str">
        <f>TEXT(walmart[[#This Row],[Purchase_Date]],"DDD")</f>
        <v>Sun</v>
      </c>
      <c r="I1876" t="str">
        <f>TEXT(walmart[[#This Row],[Purchase_Date]],"MMM")</f>
        <v>Dec</v>
      </c>
      <c r="J1876" t="str">
        <f>TEXT(walmart[[#This Row],[Purchase_Date]],"YYY")</f>
        <v>2024</v>
      </c>
      <c r="K1876" s="3">
        <v>965.09</v>
      </c>
      <c r="L1876" t="str">
        <f t="shared" si="132"/>
        <v>20% off</v>
      </c>
      <c r="N1876" t="str">
        <f t="shared" si="133"/>
        <v>Yes</v>
      </c>
      <c r="O1876" t="s">
        <v>21</v>
      </c>
      <c r="P1876" s="3">
        <f t="shared" si="134"/>
        <v>965.09</v>
      </c>
      <c r="Q1876" t="s">
        <v>27</v>
      </c>
      <c r="R1876">
        <v>2</v>
      </c>
      <c r="S1876" t="str">
        <f t="shared" si="135"/>
        <v>Poor</v>
      </c>
    </row>
    <row r="1877" spans="1:19" x14ac:dyDescent="0.25">
      <c r="A1877" t="s">
        <v>2301</v>
      </c>
      <c r="B1877">
        <v>65</v>
      </c>
      <c r="C1877" t="s">
        <v>29</v>
      </c>
      <c r="D1877" t="s">
        <v>2502</v>
      </c>
      <c r="E1877" t="s">
        <v>31</v>
      </c>
      <c r="F1877" t="s">
        <v>32</v>
      </c>
      <c r="G1877" t="s">
        <v>205</v>
      </c>
      <c r="H1877" t="str">
        <f>TEXT(walmart[[#This Row],[Purchase_Date]],"DDD")</f>
        <v>Mon</v>
      </c>
      <c r="I1877" t="str">
        <f>TEXT(walmart[[#This Row],[Purchase_Date]],"MMM")</f>
        <v>Nov</v>
      </c>
      <c r="J1877" t="str">
        <f>TEXT(walmart[[#This Row],[Purchase_Date]],"YYY")</f>
        <v>2024</v>
      </c>
      <c r="K1877" s="3">
        <v>493.96</v>
      </c>
      <c r="L1877" t="str">
        <f t="shared" si="132"/>
        <v>5% off</v>
      </c>
      <c r="N1877" t="str">
        <f t="shared" si="133"/>
        <v>Yes</v>
      </c>
      <c r="O1877" t="s">
        <v>21</v>
      </c>
      <c r="P1877" s="3">
        <f t="shared" si="134"/>
        <v>493.96</v>
      </c>
      <c r="Q1877" t="s">
        <v>47</v>
      </c>
      <c r="R1877">
        <v>2</v>
      </c>
      <c r="S1877" t="str">
        <f t="shared" si="135"/>
        <v>Poor</v>
      </c>
    </row>
    <row r="1878" spans="1:19" x14ac:dyDescent="0.25">
      <c r="A1878" t="s">
        <v>2302</v>
      </c>
      <c r="B1878">
        <v>47</v>
      </c>
      <c r="C1878" t="s">
        <v>16</v>
      </c>
      <c r="D1878" t="s">
        <v>2503</v>
      </c>
      <c r="E1878" t="s">
        <v>24</v>
      </c>
      <c r="F1878" t="s">
        <v>186</v>
      </c>
      <c r="G1878" t="s">
        <v>637</v>
      </c>
      <c r="H1878" t="str">
        <f>TEXT(walmart[[#This Row],[Purchase_Date]],"DDD")</f>
        <v>Mon</v>
      </c>
      <c r="I1878" t="str">
        <f>TEXT(walmart[[#This Row],[Purchase_Date]],"MMM")</f>
        <v>Aug</v>
      </c>
      <c r="J1878" t="str">
        <f>TEXT(walmart[[#This Row],[Purchase_Date]],"YYY")</f>
        <v>2024</v>
      </c>
      <c r="K1878" s="3">
        <v>527.16999999999996</v>
      </c>
      <c r="L1878" t="str">
        <f t="shared" si="132"/>
        <v>10% off</v>
      </c>
      <c r="N1878" t="str">
        <f t="shared" si="133"/>
        <v>Yes</v>
      </c>
      <c r="O1878" t="s">
        <v>34</v>
      </c>
      <c r="P1878" s="3">
        <f t="shared" si="134"/>
        <v>527.16999999999996</v>
      </c>
      <c r="Q1878" t="s">
        <v>47</v>
      </c>
      <c r="R1878">
        <v>1</v>
      </c>
      <c r="S1878" t="str">
        <f t="shared" si="135"/>
        <v>Very Poor</v>
      </c>
    </row>
    <row r="1879" spans="1:19" x14ac:dyDescent="0.25">
      <c r="A1879" t="s">
        <v>2303</v>
      </c>
      <c r="B1879">
        <v>20</v>
      </c>
      <c r="C1879" t="s">
        <v>16</v>
      </c>
      <c r="D1879" t="s">
        <v>2504</v>
      </c>
      <c r="E1879" t="s">
        <v>55</v>
      </c>
      <c r="F1879" t="s">
        <v>100</v>
      </c>
      <c r="G1879" t="s">
        <v>75</v>
      </c>
      <c r="H1879" t="str">
        <f>TEXT(walmart[[#This Row],[Purchase_Date]],"DDD")</f>
        <v>Mon</v>
      </c>
      <c r="I1879" t="str">
        <f>TEXT(walmart[[#This Row],[Purchase_Date]],"MMM")</f>
        <v>Feb</v>
      </c>
      <c r="J1879" t="str">
        <f>TEXT(walmart[[#This Row],[Purchase_Date]],"YYY")</f>
        <v>2025</v>
      </c>
      <c r="K1879" s="3">
        <v>592.26</v>
      </c>
      <c r="L1879" t="str">
        <f t="shared" si="132"/>
        <v>10% off</v>
      </c>
      <c r="N1879" t="str">
        <f t="shared" si="133"/>
        <v>Yes</v>
      </c>
      <c r="O1879" t="s">
        <v>21</v>
      </c>
      <c r="P1879" s="3">
        <f t="shared" si="134"/>
        <v>592.26</v>
      </c>
      <c r="Q1879" t="s">
        <v>22</v>
      </c>
      <c r="R1879">
        <v>2</v>
      </c>
      <c r="S1879" t="str">
        <f t="shared" si="135"/>
        <v>Poor</v>
      </c>
    </row>
    <row r="1880" spans="1:19" x14ac:dyDescent="0.25">
      <c r="A1880" t="s">
        <v>2304</v>
      </c>
      <c r="B1880">
        <v>66</v>
      </c>
      <c r="C1880" t="s">
        <v>16</v>
      </c>
      <c r="D1880" t="s">
        <v>2505</v>
      </c>
      <c r="E1880" t="s">
        <v>18</v>
      </c>
      <c r="F1880" t="s">
        <v>142</v>
      </c>
      <c r="G1880" t="s">
        <v>772</v>
      </c>
      <c r="H1880" t="str">
        <f>TEXT(walmart[[#This Row],[Purchase_Date]],"DDD")</f>
        <v>Sat</v>
      </c>
      <c r="I1880" t="str">
        <f>TEXT(walmart[[#This Row],[Purchase_Date]],"MMM")</f>
        <v>Mar</v>
      </c>
      <c r="J1880" t="str">
        <f>TEXT(walmart[[#This Row],[Purchase_Date]],"YYY")</f>
        <v>2024</v>
      </c>
      <c r="K1880" s="3">
        <v>485.26</v>
      </c>
      <c r="L1880" t="str">
        <f t="shared" si="132"/>
        <v>5% off</v>
      </c>
      <c r="N1880" t="str">
        <f t="shared" si="133"/>
        <v>Yes</v>
      </c>
      <c r="O1880" t="s">
        <v>34</v>
      </c>
      <c r="P1880" s="3">
        <f t="shared" si="134"/>
        <v>485.26</v>
      </c>
      <c r="Q1880" t="s">
        <v>35</v>
      </c>
      <c r="R1880">
        <v>1</v>
      </c>
      <c r="S1880" t="str">
        <f t="shared" si="135"/>
        <v>Very Poor</v>
      </c>
    </row>
    <row r="1881" spans="1:19" x14ac:dyDescent="0.25">
      <c r="A1881" t="s">
        <v>2305</v>
      </c>
      <c r="B1881">
        <v>48</v>
      </c>
      <c r="C1881" t="s">
        <v>16</v>
      </c>
      <c r="D1881" t="s">
        <v>2506</v>
      </c>
      <c r="E1881" t="s">
        <v>42</v>
      </c>
      <c r="F1881" t="s">
        <v>103</v>
      </c>
      <c r="G1881" t="s">
        <v>340</v>
      </c>
      <c r="H1881" t="str">
        <f>TEXT(walmart[[#This Row],[Purchase_Date]],"DDD")</f>
        <v>Thu</v>
      </c>
      <c r="I1881" t="str">
        <f>TEXT(walmart[[#This Row],[Purchase_Date]],"MMM")</f>
        <v>Jun</v>
      </c>
      <c r="J1881" t="str">
        <f>TEXT(walmart[[#This Row],[Purchase_Date]],"YYY")</f>
        <v>2024</v>
      </c>
      <c r="K1881" s="3">
        <v>315.56</v>
      </c>
      <c r="L1881" t="str">
        <f t="shared" si="132"/>
        <v>5% off</v>
      </c>
      <c r="N1881" t="str">
        <f t="shared" si="133"/>
        <v>Yes</v>
      </c>
      <c r="O1881" t="s">
        <v>34</v>
      </c>
      <c r="P1881" s="3">
        <f t="shared" si="134"/>
        <v>315.56</v>
      </c>
      <c r="Q1881" t="s">
        <v>47</v>
      </c>
      <c r="R1881">
        <v>1</v>
      </c>
      <c r="S1881" t="str">
        <f t="shared" si="135"/>
        <v>Very Poor</v>
      </c>
    </row>
    <row r="1882" spans="1:19" x14ac:dyDescent="0.25">
      <c r="A1882" t="s">
        <v>2306</v>
      </c>
      <c r="B1882">
        <v>47</v>
      </c>
      <c r="C1882" t="s">
        <v>16</v>
      </c>
      <c r="D1882" t="s">
        <v>2507</v>
      </c>
      <c r="E1882" t="s">
        <v>24</v>
      </c>
      <c r="F1882" t="s">
        <v>209</v>
      </c>
      <c r="G1882" t="s">
        <v>1293</v>
      </c>
      <c r="H1882" t="str">
        <f>TEXT(walmart[[#This Row],[Purchase_Date]],"DDD")</f>
        <v>Sun</v>
      </c>
      <c r="I1882" t="str">
        <f>TEXT(walmart[[#This Row],[Purchase_Date]],"MMM")</f>
        <v>Nov</v>
      </c>
      <c r="J1882" t="str">
        <f>TEXT(walmart[[#This Row],[Purchase_Date]],"YYY")</f>
        <v>2024</v>
      </c>
      <c r="K1882" s="3">
        <v>775.75</v>
      </c>
      <c r="L1882" t="str">
        <f t="shared" si="132"/>
        <v>15% off</v>
      </c>
      <c r="N1882" t="str">
        <f t="shared" si="133"/>
        <v>Yes</v>
      </c>
      <c r="O1882" t="s">
        <v>21</v>
      </c>
      <c r="P1882" s="3">
        <f t="shared" si="134"/>
        <v>775.75</v>
      </c>
      <c r="Q1882" t="s">
        <v>22</v>
      </c>
      <c r="R1882">
        <v>3</v>
      </c>
      <c r="S1882" t="str">
        <f t="shared" si="135"/>
        <v>Average</v>
      </c>
    </row>
    <row r="1883" spans="1:19" x14ac:dyDescent="0.25">
      <c r="A1883" t="s">
        <v>2307</v>
      </c>
      <c r="B1883">
        <v>59</v>
      </c>
      <c r="C1883" t="s">
        <v>29</v>
      </c>
      <c r="D1883" t="s">
        <v>2508</v>
      </c>
      <c r="E1883" t="s">
        <v>42</v>
      </c>
      <c r="F1883" t="s">
        <v>52</v>
      </c>
      <c r="G1883" t="s">
        <v>383</v>
      </c>
      <c r="H1883" t="str">
        <f>TEXT(walmart[[#This Row],[Purchase_Date]],"DDD")</f>
        <v>Mon</v>
      </c>
      <c r="I1883" t="str">
        <f>TEXT(walmart[[#This Row],[Purchase_Date]],"MMM")</f>
        <v>Jun</v>
      </c>
      <c r="J1883" t="str">
        <f>TEXT(walmart[[#This Row],[Purchase_Date]],"YYY")</f>
        <v>2024</v>
      </c>
      <c r="K1883" s="3">
        <v>988.77</v>
      </c>
      <c r="L1883" t="str">
        <f t="shared" si="132"/>
        <v>20% off</v>
      </c>
      <c r="N1883" t="str">
        <f t="shared" si="133"/>
        <v>Yes</v>
      </c>
      <c r="O1883" t="s">
        <v>34</v>
      </c>
      <c r="P1883" s="3">
        <f t="shared" si="134"/>
        <v>988.77</v>
      </c>
      <c r="Q1883" t="s">
        <v>35</v>
      </c>
      <c r="R1883">
        <v>3</v>
      </c>
      <c r="S1883" t="str">
        <f t="shared" si="135"/>
        <v>Average</v>
      </c>
    </row>
    <row r="1884" spans="1:19" x14ac:dyDescent="0.25">
      <c r="A1884" t="s">
        <v>2308</v>
      </c>
      <c r="B1884">
        <v>54</v>
      </c>
      <c r="C1884" t="s">
        <v>29</v>
      </c>
      <c r="D1884" t="s">
        <v>2509</v>
      </c>
      <c r="E1884" t="s">
        <v>42</v>
      </c>
      <c r="F1884" t="s">
        <v>43</v>
      </c>
      <c r="G1884" t="s">
        <v>490</v>
      </c>
      <c r="H1884" t="str">
        <f>TEXT(walmart[[#This Row],[Purchase_Date]],"DDD")</f>
        <v>Mon</v>
      </c>
      <c r="I1884" t="str">
        <f>TEXT(walmart[[#This Row],[Purchase_Date]],"MMM")</f>
        <v>Dec</v>
      </c>
      <c r="J1884" t="str">
        <f>TEXT(walmart[[#This Row],[Purchase_Date]],"YYY")</f>
        <v>2024</v>
      </c>
      <c r="K1884" s="3">
        <v>512.94000000000005</v>
      </c>
      <c r="L1884" t="str">
        <f t="shared" si="132"/>
        <v>10% off</v>
      </c>
      <c r="N1884" t="str">
        <f t="shared" si="133"/>
        <v>Yes</v>
      </c>
      <c r="O1884" t="s">
        <v>21</v>
      </c>
      <c r="P1884" s="3">
        <f t="shared" si="134"/>
        <v>512.94000000000005</v>
      </c>
      <c r="Q1884" t="s">
        <v>27</v>
      </c>
      <c r="R1884">
        <v>2</v>
      </c>
      <c r="S1884" t="str">
        <f t="shared" si="135"/>
        <v>Poor</v>
      </c>
    </row>
    <row r="1885" spans="1:19" x14ac:dyDescent="0.25">
      <c r="A1885" t="s">
        <v>2309</v>
      </c>
      <c r="B1885">
        <v>49</v>
      </c>
      <c r="C1885" t="s">
        <v>16</v>
      </c>
      <c r="D1885" t="s">
        <v>2510</v>
      </c>
      <c r="E1885" t="s">
        <v>24</v>
      </c>
      <c r="F1885" t="s">
        <v>209</v>
      </c>
      <c r="G1885" t="s">
        <v>317</v>
      </c>
      <c r="H1885" t="str">
        <f>TEXT(walmart[[#This Row],[Purchase_Date]],"DDD")</f>
        <v>Mon</v>
      </c>
      <c r="I1885" t="str">
        <f>TEXT(walmart[[#This Row],[Purchase_Date]],"MMM")</f>
        <v>Aug</v>
      </c>
      <c r="J1885" t="str">
        <f>TEXT(walmart[[#This Row],[Purchase_Date]],"YYY")</f>
        <v>2024</v>
      </c>
      <c r="K1885" s="3">
        <v>775.75</v>
      </c>
      <c r="L1885" t="str">
        <f t="shared" si="132"/>
        <v>15% off</v>
      </c>
      <c r="N1885" t="str">
        <f t="shared" si="133"/>
        <v>Yes</v>
      </c>
      <c r="O1885" t="s">
        <v>34</v>
      </c>
      <c r="P1885" s="3">
        <f t="shared" si="134"/>
        <v>775.75</v>
      </c>
      <c r="Q1885" t="s">
        <v>27</v>
      </c>
      <c r="R1885">
        <v>2</v>
      </c>
      <c r="S1885" t="str">
        <f t="shared" si="135"/>
        <v>Poor</v>
      </c>
    </row>
    <row r="1886" spans="1:19" x14ac:dyDescent="0.25">
      <c r="A1886" t="s">
        <v>2310</v>
      </c>
      <c r="B1886">
        <v>42</v>
      </c>
      <c r="C1886" t="s">
        <v>29</v>
      </c>
      <c r="D1886" t="s">
        <v>2511</v>
      </c>
      <c r="E1886" t="s">
        <v>37</v>
      </c>
      <c r="F1886" t="s">
        <v>117</v>
      </c>
      <c r="G1886" t="s">
        <v>2075</v>
      </c>
      <c r="H1886" t="str">
        <f>TEXT(walmart[[#This Row],[Purchase_Date]],"DDD")</f>
        <v>Sun</v>
      </c>
      <c r="I1886" t="str">
        <f>TEXT(walmart[[#This Row],[Purchase_Date]],"MMM")</f>
        <v>Apr</v>
      </c>
      <c r="J1886" t="str">
        <f>TEXT(walmart[[#This Row],[Purchase_Date]],"YYY")</f>
        <v>2024</v>
      </c>
      <c r="K1886" s="3">
        <v>165.68</v>
      </c>
      <c r="L1886" t="str">
        <f t="shared" si="132"/>
        <v>5% off</v>
      </c>
      <c r="N1886" t="str">
        <f t="shared" si="133"/>
        <v>Yes</v>
      </c>
      <c r="O1886" t="s">
        <v>21</v>
      </c>
      <c r="P1886" s="3">
        <f t="shared" si="134"/>
        <v>165.68</v>
      </c>
      <c r="Q1886" t="s">
        <v>47</v>
      </c>
      <c r="R1886">
        <v>5</v>
      </c>
      <c r="S1886" t="str">
        <f t="shared" si="135"/>
        <v>Excellent</v>
      </c>
    </row>
    <row r="1887" spans="1:19" x14ac:dyDescent="0.25">
      <c r="A1887" t="s">
        <v>2311</v>
      </c>
      <c r="B1887">
        <v>55</v>
      </c>
      <c r="C1887" t="s">
        <v>16</v>
      </c>
      <c r="D1887" t="s">
        <v>2512</v>
      </c>
      <c r="E1887" t="s">
        <v>37</v>
      </c>
      <c r="F1887" t="s">
        <v>117</v>
      </c>
      <c r="G1887" t="s">
        <v>811</v>
      </c>
      <c r="H1887" t="str">
        <f>TEXT(walmart[[#This Row],[Purchase_Date]],"DDD")</f>
        <v>Sun</v>
      </c>
      <c r="I1887" t="str">
        <f>TEXT(walmart[[#This Row],[Purchase_Date]],"MMM")</f>
        <v>Sep</v>
      </c>
      <c r="J1887" t="str">
        <f>TEXT(walmart[[#This Row],[Purchase_Date]],"YYY")</f>
        <v>2024</v>
      </c>
      <c r="K1887" s="3">
        <v>165.68</v>
      </c>
      <c r="L1887" t="str">
        <f t="shared" si="132"/>
        <v>5% off</v>
      </c>
      <c r="N1887" t="str">
        <f t="shared" si="133"/>
        <v>Yes</v>
      </c>
      <c r="O1887" t="s">
        <v>34</v>
      </c>
      <c r="P1887" s="3">
        <f t="shared" si="134"/>
        <v>165.68</v>
      </c>
      <c r="Q1887" t="s">
        <v>35</v>
      </c>
      <c r="R1887">
        <v>2</v>
      </c>
      <c r="S1887" t="str">
        <f t="shared" si="135"/>
        <v>Poor</v>
      </c>
    </row>
    <row r="1888" spans="1:19" x14ac:dyDescent="0.25">
      <c r="A1888" t="s">
        <v>2312</v>
      </c>
      <c r="B1888">
        <v>32</v>
      </c>
      <c r="C1888" t="s">
        <v>29</v>
      </c>
      <c r="D1888" t="s">
        <v>2513</v>
      </c>
      <c r="E1888" t="s">
        <v>31</v>
      </c>
      <c r="F1888" t="s">
        <v>300</v>
      </c>
      <c r="G1888" t="s">
        <v>315</v>
      </c>
      <c r="H1888" t="str">
        <f>TEXT(walmart[[#This Row],[Purchase_Date]],"DDD")</f>
        <v>Mon</v>
      </c>
      <c r="I1888" t="str">
        <f>TEXT(walmart[[#This Row],[Purchase_Date]],"MMM")</f>
        <v>Apr</v>
      </c>
      <c r="J1888" t="str">
        <f>TEXT(walmart[[#This Row],[Purchase_Date]],"YYY")</f>
        <v>2024</v>
      </c>
      <c r="K1888" s="3">
        <v>340.04</v>
      </c>
      <c r="L1888" t="str">
        <f t="shared" si="132"/>
        <v>5% off</v>
      </c>
      <c r="N1888" t="str">
        <f t="shared" si="133"/>
        <v>Yes</v>
      </c>
      <c r="O1888" t="s">
        <v>21</v>
      </c>
      <c r="P1888" s="3">
        <f t="shared" si="134"/>
        <v>340.04</v>
      </c>
      <c r="Q1888" t="s">
        <v>22</v>
      </c>
      <c r="R1888">
        <v>2</v>
      </c>
      <c r="S1888" t="str">
        <f t="shared" si="135"/>
        <v>Poor</v>
      </c>
    </row>
    <row r="1889" spans="1:19" x14ac:dyDescent="0.25">
      <c r="A1889" t="s">
        <v>2313</v>
      </c>
      <c r="B1889">
        <v>49</v>
      </c>
      <c r="C1889" t="s">
        <v>29</v>
      </c>
      <c r="D1889" t="s">
        <v>2514</v>
      </c>
      <c r="E1889" t="s">
        <v>18</v>
      </c>
      <c r="F1889" t="s">
        <v>142</v>
      </c>
      <c r="G1889" t="s">
        <v>547</v>
      </c>
      <c r="H1889" t="str">
        <f>TEXT(walmart[[#This Row],[Purchase_Date]],"DDD")</f>
        <v>Fri</v>
      </c>
      <c r="I1889" t="str">
        <f>TEXT(walmart[[#This Row],[Purchase_Date]],"MMM")</f>
        <v>May</v>
      </c>
      <c r="J1889" t="str">
        <f>TEXT(walmart[[#This Row],[Purchase_Date]],"YYY")</f>
        <v>2024</v>
      </c>
      <c r="K1889" s="3">
        <v>485.26</v>
      </c>
      <c r="L1889" t="str">
        <f t="shared" si="132"/>
        <v>5% off</v>
      </c>
      <c r="N1889" t="str">
        <f t="shared" si="133"/>
        <v>Yes</v>
      </c>
      <c r="O1889" t="s">
        <v>34</v>
      </c>
      <c r="P1889" s="3">
        <f t="shared" si="134"/>
        <v>485.26</v>
      </c>
      <c r="Q1889" t="s">
        <v>47</v>
      </c>
      <c r="R1889">
        <v>5</v>
      </c>
      <c r="S1889" t="str">
        <f t="shared" si="135"/>
        <v>Excellent</v>
      </c>
    </row>
    <row r="1890" spans="1:19" x14ac:dyDescent="0.25">
      <c r="A1890" t="s">
        <v>2314</v>
      </c>
      <c r="B1890">
        <v>24</v>
      </c>
      <c r="C1890" t="s">
        <v>16</v>
      </c>
      <c r="D1890" t="s">
        <v>2515</v>
      </c>
      <c r="E1890" t="s">
        <v>73</v>
      </c>
      <c r="F1890" t="s">
        <v>74</v>
      </c>
      <c r="G1890" t="s">
        <v>909</v>
      </c>
      <c r="H1890" t="str">
        <f>TEXT(walmart[[#This Row],[Purchase_Date]],"DDD")</f>
        <v>Mon</v>
      </c>
      <c r="I1890" t="str">
        <f>TEXT(walmart[[#This Row],[Purchase_Date]],"MMM")</f>
        <v>Jan</v>
      </c>
      <c r="J1890" t="str">
        <f>TEXT(walmart[[#This Row],[Purchase_Date]],"YYY")</f>
        <v>2025</v>
      </c>
      <c r="K1890" s="3">
        <v>782.29</v>
      </c>
      <c r="L1890" t="str">
        <f t="shared" si="132"/>
        <v>15% off</v>
      </c>
      <c r="N1890" t="str">
        <f t="shared" si="133"/>
        <v>Yes</v>
      </c>
      <c r="O1890" t="s">
        <v>34</v>
      </c>
      <c r="P1890" s="3">
        <f t="shared" si="134"/>
        <v>782.29</v>
      </c>
      <c r="Q1890" t="s">
        <v>35</v>
      </c>
      <c r="R1890">
        <v>4</v>
      </c>
      <c r="S1890" t="str">
        <f t="shared" si="135"/>
        <v>Good</v>
      </c>
    </row>
    <row r="1891" spans="1:19" x14ac:dyDescent="0.25">
      <c r="A1891" t="s">
        <v>2315</v>
      </c>
      <c r="B1891">
        <v>52</v>
      </c>
      <c r="C1891" t="s">
        <v>16</v>
      </c>
      <c r="D1891" t="s">
        <v>2516</v>
      </c>
      <c r="E1891" t="s">
        <v>55</v>
      </c>
      <c r="F1891" t="s">
        <v>67</v>
      </c>
      <c r="G1891" t="s">
        <v>605</v>
      </c>
      <c r="H1891" t="str">
        <f>TEXT(walmart[[#This Row],[Purchase_Date]],"DDD")</f>
        <v>Sun</v>
      </c>
      <c r="I1891" t="str">
        <f>TEXT(walmart[[#This Row],[Purchase_Date]],"MMM")</f>
        <v>Mar</v>
      </c>
      <c r="J1891" t="str">
        <f>TEXT(walmart[[#This Row],[Purchase_Date]],"YYY")</f>
        <v>2025</v>
      </c>
      <c r="K1891" s="3">
        <v>452.97</v>
      </c>
      <c r="L1891" t="str">
        <f t="shared" si="132"/>
        <v>5% off</v>
      </c>
      <c r="N1891" t="str">
        <f t="shared" si="133"/>
        <v>Yes</v>
      </c>
      <c r="O1891" t="s">
        <v>21</v>
      </c>
      <c r="P1891" s="3">
        <f t="shared" si="134"/>
        <v>452.97</v>
      </c>
      <c r="Q1891" t="s">
        <v>27</v>
      </c>
      <c r="R1891">
        <v>3</v>
      </c>
      <c r="S1891" t="str">
        <f t="shared" si="135"/>
        <v>Average</v>
      </c>
    </row>
    <row r="1892" spans="1:19" x14ac:dyDescent="0.25">
      <c r="A1892" t="s">
        <v>2316</v>
      </c>
      <c r="B1892">
        <v>66</v>
      </c>
      <c r="C1892" t="s">
        <v>16</v>
      </c>
      <c r="D1892" t="s">
        <v>2517</v>
      </c>
      <c r="E1892" t="s">
        <v>18</v>
      </c>
      <c r="F1892" t="s">
        <v>142</v>
      </c>
      <c r="G1892" t="s">
        <v>741</v>
      </c>
      <c r="H1892" t="str">
        <f>TEXT(walmart[[#This Row],[Purchase_Date]],"DDD")</f>
        <v>Mon</v>
      </c>
      <c r="I1892" t="str">
        <f>TEXT(walmart[[#This Row],[Purchase_Date]],"MMM")</f>
        <v>Sep</v>
      </c>
      <c r="J1892" t="str">
        <f>TEXT(walmart[[#This Row],[Purchase_Date]],"YYY")</f>
        <v>2024</v>
      </c>
      <c r="K1892" s="3">
        <v>485.26</v>
      </c>
      <c r="L1892" t="str">
        <f t="shared" si="132"/>
        <v>5% off</v>
      </c>
      <c r="N1892" t="str">
        <f t="shared" si="133"/>
        <v>Yes</v>
      </c>
      <c r="O1892" t="s">
        <v>34</v>
      </c>
      <c r="P1892" s="3">
        <f t="shared" si="134"/>
        <v>485.26</v>
      </c>
      <c r="Q1892" t="s">
        <v>22</v>
      </c>
      <c r="R1892">
        <v>1</v>
      </c>
      <c r="S1892" t="str">
        <f t="shared" si="135"/>
        <v>Very Poor</v>
      </c>
    </row>
    <row r="1893" spans="1:19" x14ac:dyDescent="0.25">
      <c r="A1893" t="s">
        <v>2317</v>
      </c>
      <c r="B1893">
        <v>49</v>
      </c>
      <c r="C1893" t="s">
        <v>16</v>
      </c>
      <c r="D1893" t="s">
        <v>2518</v>
      </c>
      <c r="E1893" t="s">
        <v>55</v>
      </c>
      <c r="F1893" t="s">
        <v>100</v>
      </c>
      <c r="G1893" t="s">
        <v>171</v>
      </c>
      <c r="H1893" t="str">
        <f>TEXT(walmart[[#This Row],[Purchase_Date]],"DDD")</f>
        <v>Tue</v>
      </c>
      <c r="I1893" t="str">
        <f>TEXT(walmart[[#This Row],[Purchase_Date]],"MMM")</f>
        <v>Nov</v>
      </c>
      <c r="J1893" t="str">
        <f>TEXT(walmart[[#This Row],[Purchase_Date]],"YYY")</f>
        <v>2024</v>
      </c>
      <c r="K1893" s="3">
        <v>592.26</v>
      </c>
      <c r="L1893" t="str">
        <f t="shared" si="132"/>
        <v>10% off</v>
      </c>
      <c r="N1893" t="str">
        <f t="shared" si="133"/>
        <v>Yes</v>
      </c>
      <c r="O1893" t="s">
        <v>21</v>
      </c>
      <c r="P1893" s="3">
        <f t="shared" si="134"/>
        <v>592.26</v>
      </c>
      <c r="Q1893" t="s">
        <v>27</v>
      </c>
      <c r="R1893">
        <v>1</v>
      </c>
      <c r="S1893" t="str">
        <f t="shared" si="135"/>
        <v>Very Poor</v>
      </c>
    </row>
    <row r="1894" spans="1:19" x14ac:dyDescent="0.25">
      <c r="A1894" t="s">
        <v>2318</v>
      </c>
      <c r="B1894">
        <v>47</v>
      </c>
      <c r="C1894" t="s">
        <v>16</v>
      </c>
      <c r="D1894" t="s">
        <v>2519</v>
      </c>
      <c r="E1894" t="s">
        <v>31</v>
      </c>
      <c r="F1894" t="s">
        <v>300</v>
      </c>
      <c r="G1894" t="s">
        <v>639</v>
      </c>
      <c r="H1894" t="str">
        <f>TEXT(walmart[[#This Row],[Purchase_Date]],"DDD")</f>
        <v>Fri</v>
      </c>
      <c r="I1894" t="str">
        <f>TEXT(walmart[[#This Row],[Purchase_Date]],"MMM")</f>
        <v>Jun</v>
      </c>
      <c r="J1894" t="str">
        <f>TEXT(walmart[[#This Row],[Purchase_Date]],"YYY")</f>
        <v>2024</v>
      </c>
      <c r="K1894" s="3">
        <v>340.04</v>
      </c>
      <c r="L1894" t="str">
        <f t="shared" si="132"/>
        <v>5% off</v>
      </c>
      <c r="N1894" t="str">
        <f t="shared" si="133"/>
        <v>Yes</v>
      </c>
      <c r="O1894" t="s">
        <v>34</v>
      </c>
      <c r="P1894" s="3">
        <f t="shared" si="134"/>
        <v>340.04</v>
      </c>
      <c r="Q1894" t="s">
        <v>22</v>
      </c>
      <c r="R1894">
        <v>5</v>
      </c>
      <c r="S1894" t="str">
        <f t="shared" si="135"/>
        <v>Excellent</v>
      </c>
    </row>
    <row r="1895" spans="1:19" x14ac:dyDescent="0.25">
      <c r="A1895" t="s">
        <v>2319</v>
      </c>
      <c r="B1895">
        <v>47</v>
      </c>
      <c r="C1895" t="s">
        <v>29</v>
      </c>
      <c r="D1895" t="s">
        <v>2520</v>
      </c>
      <c r="E1895" t="s">
        <v>73</v>
      </c>
      <c r="F1895" t="s">
        <v>91</v>
      </c>
      <c r="G1895" t="s">
        <v>1432</v>
      </c>
      <c r="H1895" t="str">
        <f>TEXT(walmart[[#This Row],[Purchase_Date]],"DDD")</f>
        <v>Wed</v>
      </c>
      <c r="I1895" t="str">
        <f>TEXT(walmart[[#This Row],[Purchase_Date]],"MMM")</f>
        <v>Jan</v>
      </c>
      <c r="J1895" t="str">
        <f>TEXT(walmart[[#This Row],[Purchase_Date]],"YYY")</f>
        <v>2025</v>
      </c>
      <c r="K1895" s="3">
        <v>418.55</v>
      </c>
      <c r="L1895" t="str">
        <f t="shared" si="132"/>
        <v>5% off</v>
      </c>
      <c r="N1895" t="str">
        <f t="shared" si="133"/>
        <v>Yes</v>
      </c>
      <c r="O1895" t="s">
        <v>34</v>
      </c>
      <c r="P1895" s="3">
        <f t="shared" si="134"/>
        <v>418.55</v>
      </c>
      <c r="Q1895" t="s">
        <v>35</v>
      </c>
      <c r="R1895">
        <v>4</v>
      </c>
      <c r="S1895" t="str">
        <f t="shared" si="135"/>
        <v>Good</v>
      </c>
    </row>
    <row r="1896" spans="1:19" x14ac:dyDescent="0.25">
      <c r="A1896" t="s">
        <v>2320</v>
      </c>
      <c r="B1896">
        <v>19</v>
      </c>
      <c r="C1896" t="s">
        <v>29</v>
      </c>
      <c r="D1896" t="s">
        <v>2521</v>
      </c>
      <c r="E1896" t="s">
        <v>55</v>
      </c>
      <c r="F1896" t="s">
        <v>56</v>
      </c>
      <c r="G1896" t="s">
        <v>151</v>
      </c>
      <c r="H1896" t="str">
        <f>TEXT(walmart[[#This Row],[Purchase_Date]],"DDD")</f>
        <v>Mon</v>
      </c>
      <c r="I1896" t="str">
        <f>TEXT(walmart[[#This Row],[Purchase_Date]],"MMM")</f>
        <v>May</v>
      </c>
      <c r="J1896" t="str">
        <f>TEXT(walmart[[#This Row],[Purchase_Date]],"YYY")</f>
        <v>2024</v>
      </c>
      <c r="K1896" s="3">
        <v>76.81</v>
      </c>
      <c r="L1896" t="str">
        <f t="shared" si="132"/>
        <v>0% off</v>
      </c>
      <c r="N1896" t="str">
        <f t="shared" si="133"/>
        <v>No</v>
      </c>
      <c r="O1896" t="s">
        <v>34</v>
      </c>
      <c r="P1896" s="3">
        <f t="shared" si="134"/>
        <v>76.81</v>
      </c>
      <c r="Q1896" t="s">
        <v>22</v>
      </c>
      <c r="R1896">
        <v>2</v>
      </c>
      <c r="S1896" t="str">
        <f t="shared" si="135"/>
        <v>Poor</v>
      </c>
    </row>
    <row r="1897" spans="1:19" x14ac:dyDescent="0.25">
      <c r="A1897" t="s">
        <v>2321</v>
      </c>
      <c r="B1897">
        <v>67</v>
      </c>
      <c r="C1897" t="s">
        <v>29</v>
      </c>
      <c r="D1897" t="s">
        <v>2522</v>
      </c>
      <c r="E1897" t="s">
        <v>42</v>
      </c>
      <c r="F1897" t="s">
        <v>103</v>
      </c>
      <c r="G1897" t="s">
        <v>644</v>
      </c>
      <c r="H1897" t="str">
        <f>TEXT(walmart[[#This Row],[Purchase_Date]],"DDD")</f>
        <v>Fri</v>
      </c>
      <c r="I1897" t="str">
        <f>TEXT(walmart[[#This Row],[Purchase_Date]],"MMM")</f>
        <v>Jan</v>
      </c>
      <c r="J1897" t="str">
        <f>TEXT(walmart[[#This Row],[Purchase_Date]],"YYY")</f>
        <v>2025</v>
      </c>
      <c r="K1897" s="3">
        <v>315.56</v>
      </c>
      <c r="L1897" t="str">
        <f t="shared" si="132"/>
        <v>5% off</v>
      </c>
      <c r="N1897" t="str">
        <f t="shared" si="133"/>
        <v>Yes</v>
      </c>
      <c r="O1897" t="s">
        <v>34</v>
      </c>
      <c r="P1897" s="3">
        <f t="shared" si="134"/>
        <v>315.56</v>
      </c>
      <c r="Q1897" t="s">
        <v>35</v>
      </c>
      <c r="R1897">
        <v>1</v>
      </c>
      <c r="S1897" t="str">
        <f t="shared" si="135"/>
        <v>Very Poor</v>
      </c>
    </row>
    <row r="1898" spans="1:19" x14ac:dyDescent="0.25">
      <c r="A1898" t="s">
        <v>2322</v>
      </c>
      <c r="B1898">
        <v>29</v>
      </c>
      <c r="C1898" t="s">
        <v>16</v>
      </c>
      <c r="D1898" t="s">
        <v>2485</v>
      </c>
      <c r="E1898" t="s">
        <v>73</v>
      </c>
      <c r="F1898" t="s">
        <v>74</v>
      </c>
      <c r="G1898" t="s">
        <v>1001</v>
      </c>
      <c r="H1898" t="str">
        <f>TEXT(walmart[[#This Row],[Purchase_Date]],"DDD")</f>
        <v>Thu</v>
      </c>
      <c r="I1898" t="str">
        <f>TEXT(walmart[[#This Row],[Purchase_Date]],"MMM")</f>
        <v>Aug</v>
      </c>
      <c r="J1898" t="str">
        <f>TEXT(walmart[[#This Row],[Purchase_Date]],"YYY")</f>
        <v>2024</v>
      </c>
      <c r="K1898" s="3">
        <v>782.29</v>
      </c>
      <c r="L1898" t="str">
        <f t="shared" si="132"/>
        <v>15% off</v>
      </c>
      <c r="N1898" t="str">
        <f t="shared" si="133"/>
        <v>Yes</v>
      </c>
      <c r="O1898" t="s">
        <v>21</v>
      </c>
      <c r="P1898" s="3">
        <f t="shared" si="134"/>
        <v>782.29</v>
      </c>
      <c r="Q1898" t="s">
        <v>27</v>
      </c>
      <c r="R1898">
        <v>1</v>
      </c>
      <c r="S1898" t="str">
        <f t="shared" si="135"/>
        <v>Very Poor</v>
      </c>
    </row>
    <row r="1899" spans="1:19" x14ac:dyDescent="0.25">
      <c r="A1899" t="s">
        <v>2323</v>
      </c>
      <c r="B1899">
        <v>19</v>
      </c>
      <c r="C1899" t="s">
        <v>16</v>
      </c>
      <c r="D1899" t="s">
        <v>2523</v>
      </c>
      <c r="E1899" t="s">
        <v>73</v>
      </c>
      <c r="F1899" t="s">
        <v>91</v>
      </c>
      <c r="G1899" t="s">
        <v>1789</v>
      </c>
      <c r="H1899" t="str">
        <f>TEXT(walmart[[#This Row],[Purchase_Date]],"DDD")</f>
        <v>Sun</v>
      </c>
      <c r="I1899" t="str">
        <f>TEXT(walmart[[#This Row],[Purchase_Date]],"MMM")</f>
        <v>Oct</v>
      </c>
      <c r="J1899" t="str">
        <f>TEXT(walmart[[#This Row],[Purchase_Date]],"YYY")</f>
        <v>2024</v>
      </c>
      <c r="K1899" s="3">
        <v>418.55</v>
      </c>
      <c r="L1899" t="str">
        <f t="shared" si="132"/>
        <v>5% off</v>
      </c>
      <c r="N1899" t="str">
        <f t="shared" si="133"/>
        <v>Yes</v>
      </c>
      <c r="O1899" t="s">
        <v>21</v>
      </c>
      <c r="P1899" s="3">
        <f t="shared" si="134"/>
        <v>418.55</v>
      </c>
      <c r="Q1899" t="s">
        <v>27</v>
      </c>
      <c r="R1899">
        <v>4</v>
      </c>
      <c r="S1899" t="str">
        <f t="shared" si="135"/>
        <v>Good</v>
      </c>
    </row>
    <row r="1900" spans="1:19" x14ac:dyDescent="0.25">
      <c r="A1900" t="s">
        <v>2324</v>
      </c>
      <c r="B1900">
        <v>39</v>
      </c>
      <c r="C1900" t="s">
        <v>29</v>
      </c>
      <c r="D1900" t="s">
        <v>2518</v>
      </c>
      <c r="E1900" t="s">
        <v>42</v>
      </c>
      <c r="F1900" t="s">
        <v>103</v>
      </c>
      <c r="G1900" t="s">
        <v>2037</v>
      </c>
      <c r="H1900" t="str">
        <f>TEXT(walmart[[#This Row],[Purchase_Date]],"DDD")</f>
        <v>Sun</v>
      </c>
      <c r="I1900" t="str">
        <f>TEXT(walmart[[#This Row],[Purchase_Date]],"MMM")</f>
        <v>Oct</v>
      </c>
      <c r="J1900" t="str">
        <f>TEXT(walmart[[#This Row],[Purchase_Date]],"YYY")</f>
        <v>2024</v>
      </c>
      <c r="K1900" s="3">
        <v>315.56</v>
      </c>
      <c r="L1900" t="str">
        <f t="shared" si="132"/>
        <v>5% off</v>
      </c>
      <c r="N1900" t="str">
        <f t="shared" si="133"/>
        <v>Yes</v>
      </c>
      <c r="O1900" t="s">
        <v>21</v>
      </c>
      <c r="P1900" s="3">
        <f t="shared" si="134"/>
        <v>315.56</v>
      </c>
      <c r="Q1900" t="s">
        <v>35</v>
      </c>
      <c r="R1900">
        <v>5</v>
      </c>
      <c r="S1900" t="str">
        <f t="shared" si="135"/>
        <v>Excellent</v>
      </c>
    </row>
    <row r="1901" spans="1:19" x14ac:dyDescent="0.25">
      <c r="A1901" t="s">
        <v>2325</v>
      </c>
      <c r="B1901">
        <v>42</v>
      </c>
      <c r="C1901" t="s">
        <v>16</v>
      </c>
      <c r="D1901" t="s">
        <v>2524</v>
      </c>
      <c r="E1901" t="s">
        <v>73</v>
      </c>
      <c r="F1901" t="s">
        <v>94</v>
      </c>
      <c r="G1901" t="s">
        <v>145</v>
      </c>
      <c r="H1901" t="str">
        <f>TEXT(walmart[[#This Row],[Purchase_Date]],"DDD")</f>
        <v>Mon</v>
      </c>
      <c r="I1901" t="str">
        <f>TEXT(walmart[[#This Row],[Purchase_Date]],"MMM")</f>
        <v>Jun</v>
      </c>
      <c r="J1901" t="str">
        <f>TEXT(walmart[[#This Row],[Purchase_Date]],"YYY")</f>
        <v>2024</v>
      </c>
      <c r="K1901" s="3">
        <v>965.09</v>
      </c>
      <c r="L1901" t="str">
        <f t="shared" si="132"/>
        <v>20% off</v>
      </c>
      <c r="N1901" t="str">
        <f t="shared" si="133"/>
        <v>Yes</v>
      </c>
      <c r="O1901" t="s">
        <v>34</v>
      </c>
      <c r="P1901" s="3">
        <f t="shared" si="134"/>
        <v>965.09</v>
      </c>
      <c r="Q1901" t="s">
        <v>35</v>
      </c>
      <c r="R1901">
        <v>5</v>
      </c>
      <c r="S1901" t="str">
        <f t="shared" si="135"/>
        <v>Excellent</v>
      </c>
    </row>
    <row r="1902" spans="1:19" x14ac:dyDescent="0.25">
      <c r="A1902" t="s">
        <v>2326</v>
      </c>
      <c r="B1902">
        <v>18</v>
      </c>
      <c r="C1902" t="s">
        <v>29</v>
      </c>
      <c r="D1902" t="s">
        <v>2525</v>
      </c>
      <c r="E1902" t="s">
        <v>55</v>
      </c>
      <c r="F1902" t="s">
        <v>56</v>
      </c>
      <c r="G1902" t="s">
        <v>785</v>
      </c>
      <c r="H1902" t="str">
        <f>TEXT(walmart[[#This Row],[Purchase_Date]],"DDD")</f>
        <v>Sat</v>
      </c>
      <c r="I1902" t="str">
        <f>TEXT(walmart[[#This Row],[Purchase_Date]],"MMM")</f>
        <v>Apr</v>
      </c>
      <c r="J1902" t="str">
        <f>TEXT(walmart[[#This Row],[Purchase_Date]],"YYY")</f>
        <v>2024</v>
      </c>
      <c r="K1902" s="3">
        <v>76.81</v>
      </c>
      <c r="L1902" t="str">
        <f t="shared" si="132"/>
        <v>0% off</v>
      </c>
      <c r="N1902" t="str">
        <f t="shared" si="133"/>
        <v>No</v>
      </c>
      <c r="O1902" t="s">
        <v>34</v>
      </c>
      <c r="P1902" s="3">
        <f t="shared" si="134"/>
        <v>76.81</v>
      </c>
      <c r="Q1902" t="s">
        <v>35</v>
      </c>
      <c r="R1902">
        <v>3</v>
      </c>
      <c r="S1902" t="str">
        <f t="shared" si="135"/>
        <v>Average</v>
      </c>
    </row>
    <row r="1903" spans="1:19" x14ac:dyDescent="0.25">
      <c r="A1903" t="s">
        <v>2327</v>
      </c>
      <c r="B1903">
        <v>66</v>
      </c>
      <c r="C1903" t="s">
        <v>16</v>
      </c>
      <c r="D1903" t="s">
        <v>2487</v>
      </c>
      <c r="E1903" t="s">
        <v>24</v>
      </c>
      <c r="F1903" t="s">
        <v>209</v>
      </c>
      <c r="G1903" t="s">
        <v>83</v>
      </c>
      <c r="H1903" t="str">
        <f>TEXT(walmart[[#This Row],[Purchase_Date]],"DDD")</f>
        <v>Sun</v>
      </c>
      <c r="I1903" t="str">
        <f>TEXT(walmart[[#This Row],[Purchase_Date]],"MMM")</f>
        <v>Apr</v>
      </c>
      <c r="J1903" t="str">
        <f>TEXT(walmart[[#This Row],[Purchase_Date]],"YYY")</f>
        <v>2024</v>
      </c>
      <c r="K1903" s="3">
        <v>775.75</v>
      </c>
      <c r="L1903" t="str">
        <f t="shared" si="132"/>
        <v>15% off</v>
      </c>
      <c r="N1903" t="str">
        <f t="shared" si="133"/>
        <v>Yes</v>
      </c>
      <c r="O1903" t="s">
        <v>21</v>
      </c>
      <c r="P1903" s="3">
        <f t="shared" si="134"/>
        <v>775.75</v>
      </c>
      <c r="Q1903" t="s">
        <v>35</v>
      </c>
      <c r="R1903">
        <v>4</v>
      </c>
      <c r="S1903" t="str">
        <f t="shared" si="135"/>
        <v>Good</v>
      </c>
    </row>
    <row r="1904" spans="1:19" x14ac:dyDescent="0.25">
      <c r="A1904" t="s">
        <v>2328</v>
      </c>
      <c r="B1904">
        <v>51</v>
      </c>
      <c r="C1904" t="s">
        <v>16</v>
      </c>
      <c r="D1904" t="s">
        <v>2519</v>
      </c>
      <c r="E1904" t="s">
        <v>37</v>
      </c>
      <c r="F1904" t="s">
        <v>82</v>
      </c>
      <c r="G1904" t="s">
        <v>1432</v>
      </c>
      <c r="H1904" t="str">
        <f>TEXT(walmart[[#This Row],[Purchase_Date]],"DDD")</f>
        <v>Wed</v>
      </c>
      <c r="I1904" t="str">
        <f>TEXT(walmart[[#This Row],[Purchase_Date]],"MMM")</f>
        <v>Jan</v>
      </c>
      <c r="J1904" t="str">
        <f>TEXT(walmart[[#This Row],[Purchase_Date]],"YYY")</f>
        <v>2025</v>
      </c>
      <c r="K1904" s="3">
        <v>270.41000000000003</v>
      </c>
      <c r="L1904" t="str">
        <f t="shared" si="132"/>
        <v>5% off</v>
      </c>
      <c r="N1904" t="str">
        <f t="shared" si="133"/>
        <v>Yes</v>
      </c>
      <c r="O1904" t="s">
        <v>21</v>
      </c>
      <c r="P1904" s="3">
        <f t="shared" si="134"/>
        <v>270.41000000000003</v>
      </c>
      <c r="Q1904" t="s">
        <v>22</v>
      </c>
      <c r="R1904">
        <v>1</v>
      </c>
      <c r="S1904" t="str">
        <f t="shared" si="135"/>
        <v>Very Poor</v>
      </c>
    </row>
    <row r="1905" spans="1:19" x14ac:dyDescent="0.25">
      <c r="A1905" t="s">
        <v>2329</v>
      </c>
      <c r="B1905">
        <v>65</v>
      </c>
      <c r="C1905" t="s">
        <v>29</v>
      </c>
      <c r="D1905" t="s">
        <v>2520</v>
      </c>
      <c r="E1905" t="s">
        <v>55</v>
      </c>
      <c r="F1905" t="s">
        <v>100</v>
      </c>
      <c r="G1905" t="s">
        <v>586</v>
      </c>
      <c r="H1905" t="str">
        <f>TEXT(walmart[[#This Row],[Purchase_Date]],"DDD")</f>
        <v>Fri</v>
      </c>
      <c r="I1905" t="str">
        <f>TEXT(walmart[[#This Row],[Purchase_Date]],"MMM")</f>
        <v>Feb</v>
      </c>
      <c r="J1905" t="str">
        <f>TEXT(walmart[[#This Row],[Purchase_Date]],"YYY")</f>
        <v>2025</v>
      </c>
      <c r="K1905" s="3">
        <v>592.26</v>
      </c>
      <c r="L1905" t="str">
        <f t="shared" si="132"/>
        <v>10% off</v>
      </c>
      <c r="N1905" t="str">
        <f t="shared" si="133"/>
        <v>Yes</v>
      </c>
      <c r="O1905" t="s">
        <v>21</v>
      </c>
      <c r="P1905" s="3">
        <f t="shared" si="134"/>
        <v>592.26</v>
      </c>
      <c r="Q1905" t="s">
        <v>47</v>
      </c>
      <c r="R1905">
        <v>4</v>
      </c>
      <c r="S1905" t="str">
        <f t="shared" si="135"/>
        <v>Good</v>
      </c>
    </row>
    <row r="1906" spans="1:19" x14ac:dyDescent="0.25">
      <c r="A1906" t="s">
        <v>2330</v>
      </c>
      <c r="B1906">
        <v>62</v>
      </c>
      <c r="C1906" t="s">
        <v>29</v>
      </c>
      <c r="D1906" t="s">
        <v>2526</v>
      </c>
      <c r="E1906" t="s">
        <v>31</v>
      </c>
      <c r="F1906" t="s">
        <v>169</v>
      </c>
      <c r="G1906" t="s">
        <v>128</v>
      </c>
      <c r="H1906" t="str">
        <f>TEXT(walmart[[#This Row],[Purchase_Date]],"DDD")</f>
        <v>Sun</v>
      </c>
      <c r="I1906" t="str">
        <f>TEXT(walmart[[#This Row],[Purchase_Date]],"MMM")</f>
        <v>Jul</v>
      </c>
      <c r="J1906" t="str">
        <f>TEXT(walmart[[#This Row],[Purchase_Date]],"YYY")</f>
        <v>2024</v>
      </c>
      <c r="K1906" s="3">
        <v>52.44</v>
      </c>
      <c r="L1906" t="str">
        <f t="shared" si="132"/>
        <v>0% off</v>
      </c>
      <c r="N1906" t="str">
        <f t="shared" si="133"/>
        <v>No</v>
      </c>
      <c r="O1906" t="s">
        <v>21</v>
      </c>
      <c r="P1906" s="3">
        <f t="shared" si="134"/>
        <v>52.44</v>
      </c>
      <c r="Q1906" t="s">
        <v>35</v>
      </c>
      <c r="R1906">
        <v>5</v>
      </c>
      <c r="S1906" t="str">
        <f t="shared" si="135"/>
        <v>Excellent</v>
      </c>
    </row>
    <row r="1907" spans="1:19" x14ac:dyDescent="0.25">
      <c r="A1907" t="s">
        <v>2331</v>
      </c>
      <c r="B1907">
        <v>41</v>
      </c>
      <c r="C1907" t="s">
        <v>16</v>
      </c>
      <c r="D1907" t="s">
        <v>2527</v>
      </c>
      <c r="E1907" t="s">
        <v>37</v>
      </c>
      <c r="F1907" t="s">
        <v>38</v>
      </c>
      <c r="G1907" t="s">
        <v>191</v>
      </c>
      <c r="H1907" t="str">
        <f>TEXT(walmart[[#This Row],[Purchase_Date]],"DDD")</f>
        <v>Mon</v>
      </c>
      <c r="I1907" t="str">
        <f>TEXT(walmart[[#This Row],[Purchase_Date]],"MMM")</f>
        <v>Apr</v>
      </c>
      <c r="J1907" t="str">
        <f>TEXT(walmart[[#This Row],[Purchase_Date]],"YYY")</f>
        <v>2024</v>
      </c>
      <c r="K1907" s="3">
        <v>211.46</v>
      </c>
      <c r="L1907" t="str">
        <f t="shared" si="132"/>
        <v>5% off</v>
      </c>
      <c r="N1907" t="str">
        <f t="shared" si="133"/>
        <v>Yes</v>
      </c>
      <c r="O1907" t="s">
        <v>21</v>
      </c>
      <c r="P1907" s="3">
        <f t="shared" si="134"/>
        <v>211.46</v>
      </c>
      <c r="Q1907" t="s">
        <v>22</v>
      </c>
      <c r="R1907">
        <v>2</v>
      </c>
      <c r="S1907" t="str">
        <f t="shared" si="135"/>
        <v>Poor</v>
      </c>
    </row>
    <row r="1908" spans="1:19" x14ac:dyDescent="0.25">
      <c r="A1908" t="s">
        <v>2332</v>
      </c>
      <c r="B1908">
        <v>62</v>
      </c>
      <c r="C1908" t="s">
        <v>16</v>
      </c>
      <c r="D1908" t="s">
        <v>2528</v>
      </c>
      <c r="E1908" t="s">
        <v>73</v>
      </c>
      <c r="F1908" t="s">
        <v>91</v>
      </c>
      <c r="G1908" t="s">
        <v>1203</v>
      </c>
      <c r="H1908" t="str">
        <f>TEXT(walmart[[#This Row],[Purchase_Date]],"DDD")</f>
        <v>Mon</v>
      </c>
      <c r="I1908" t="str">
        <f>TEXT(walmart[[#This Row],[Purchase_Date]],"MMM")</f>
        <v>Jul</v>
      </c>
      <c r="J1908" t="str">
        <f>TEXT(walmart[[#This Row],[Purchase_Date]],"YYY")</f>
        <v>2024</v>
      </c>
      <c r="K1908" s="3">
        <v>418.55</v>
      </c>
      <c r="L1908" t="str">
        <f t="shared" si="132"/>
        <v>5% off</v>
      </c>
      <c r="N1908" t="str">
        <f t="shared" si="133"/>
        <v>Yes</v>
      </c>
      <c r="O1908" t="s">
        <v>21</v>
      </c>
      <c r="P1908" s="3">
        <f t="shared" si="134"/>
        <v>418.55</v>
      </c>
      <c r="Q1908" t="s">
        <v>47</v>
      </c>
      <c r="R1908">
        <v>4</v>
      </c>
      <c r="S1908" t="str">
        <f t="shared" si="135"/>
        <v>Good</v>
      </c>
    </row>
    <row r="1909" spans="1:19" x14ac:dyDescent="0.25">
      <c r="A1909" t="s">
        <v>2333</v>
      </c>
      <c r="B1909">
        <v>32</v>
      </c>
      <c r="C1909" t="s">
        <v>29</v>
      </c>
      <c r="D1909" t="s">
        <v>2529</v>
      </c>
      <c r="E1909" t="s">
        <v>18</v>
      </c>
      <c r="F1909" t="s">
        <v>19</v>
      </c>
      <c r="G1909" t="s">
        <v>540</v>
      </c>
      <c r="H1909" t="str">
        <f>TEXT(walmart[[#This Row],[Purchase_Date]],"DDD")</f>
        <v>Sun</v>
      </c>
      <c r="I1909" t="str">
        <f>TEXT(walmart[[#This Row],[Purchase_Date]],"MMM")</f>
        <v>Feb</v>
      </c>
      <c r="J1909" t="str">
        <f>TEXT(walmart[[#This Row],[Purchase_Date]],"YYY")</f>
        <v>2025</v>
      </c>
      <c r="K1909" s="3">
        <v>697.86</v>
      </c>
      <c r="L1909" t="str">
        <f t="shared" si="132"/>
        <v>10% off</v>
      </c>
      <c r="N1909" t="str">
        <f t="shared" si="133"/>
        <v>Yes</v>
      </c>
      <c r="O1909" t="s">
        <v>34</v>
      </c>
      <c r="P1909" s="3">
        <f t="shared" si="134"/>
        <v>697.86</v>
      </c>
      <c r="Q1909" t="s">
        <v>22</v>
      </c>
      <c r="R1909">
        <v>4</v>
      </c>
      <c r="S1909" t="str">
        <f t="shared" si="135"/>
        <v>Good</v>
      </c>
    </row>
    <row r="1910" spans="1:19" x14ac:dyDescent="0.25">
      <c r="A1910" t="s">
        <v>2334</v>
      </c>
      <c r="B1910">
        <v>43</v>
      </c>
      <c r="C1910" t="s">
        <v>16</v>
      </c>
      <c r="D1910" t="s">
        <v>2530</v>
      </c>
      <c r="E1910" t="s">
        <v>73</v>
      </c>
      <c r="F1910" t="s">
        <v>91</v>
      </c>
      <c r="G1910" t="s">
        <v>428</v>
      </c>
      <c r="H1910" t="str">
        <f>TEXT(walmart[[#This Row],[Purchase_Date]],"DDD")</f>
        <v>Wed</v>
      </c>
      <c r="I1910" t="str">
        <f>TEXT(walmart[[#This Row],[Purchase_Date]],"MMM")</f>
        <v>May</v>
      </c>
      <c r="J1910" t="str">
        <f>TEXT(walmart[[#This Row],[Purchase_Date]],"YYY")</f>
        <v>2024</v>
      </c>
      <c r="K1910" s="3">
        <v>418.55</v>
      </c>
      <c r="L1910" t="str">
        <f t="shared" si="132"/>
        <v>5% off</v>
      </c>
      <c r="N1910" t="str">
        <f t="shared" si="133"/>
        <v>Yes</v>
      </c>
      <c r="O1910" t="s">
        <v>21</v>
      </c>
      <c r="P1910" s="3">
        <f t="shared" si="134"/>
        <v>418.55</v>
      </c>
      <c r="Q1910" t="s">
        <v>35</v>
      </c>
      <c r="R1910">
        <v>1</v>
      </c>
      <c r="S1910" t="str">
        <f t="shared" si="135"/>
        <v>Very Poor</v>
      </c>
    </row>
    <row r="1911" spans="1:19" x14ac:dyDescent="0.25">
      <c r="A1911" t="s">
        <v>2335</v>
      </c>
      <c r="B1911">
        <v>59</v>
      </c>
      <c r="C1911" t="s">
        <v>16</v>
      </c>
      <c r="D1911" t="s">
        <v>2531</v>
      </c>
      <c r="E1911" t="s">
        <v>42</v>
      </c>
      <c r="F1911" t="s">
        <v>120</v>
      </c>
      <c r="G1911" t="s">
        <v>696</v>
      </c>
      <c r="H1911" t="str">
        <f>TEXT(walmart[[#This Row],[Purchase_Date]],"DDD")</f>
        <v>Thu</v>
      </c>
      <c r="I1911" t="str">
        <f>TEXT(walmart[[#This Row],[Purchase_Date]],"MMM")</f>
        <v>Nov</v>
      </c>
      <c r="J1911" t="str">
        <f>TEXT(walmart[[#This Row],[Purchase_Date]],"YYY")</f>
        <v>2024</v>
      </c>
      <c r="K1911" s="3">
        <v>260.77999999999997</v>
      </c>
      <c r="L1911" t="str">
        <f t="shared" si="132"/>
        <v>5% off</v>
      </c>
      <c r="N1911" t="str">
        <f t="shared" si="133"/>
        <v>Yes</v>
      </c>
      <c r="O1911" t="s">
        <v>34</v>
      </c>
      <c r="P1911" s="3">
        <f t="shared" si="134"/>
        <v>260.77999999999997</v>
      </c>
      <c r="Q1911" t="s">
        <v>22</v>
      </c>
      <c r="R1911">
        <v>2</v>
      </c>
      <c r="S1911" t="str">
        <f t="shared" si="135"/>
        <v>Poor</v>
      </c>
    </row>
    <row r="1912" spans="1:19" x14ac:dyDescent="0.25">
      <c r="A1912" t="s">
        <v>2336</v>
      </c>
      <c r="B1912">
        <v>43</v>
      </c>
      <c r="C1912" t="s">
        <v>16</v>
      </c>
      <c r="D1912" t="s">
        <v>2532</v>
      </c>
      <c r="E1912" t="s">
        <v>73</v>
      </c>
      <c r="F1912" t="s">
        <v>138</v>
      </c>
      <c r="G1912" t="s">
        <v>714</v>
      </c>
      <c r="H1912" t="str">
        <f>TEXT(walmart[[#This Row],[Purchase_Date]],"DDD")</f>
        <v>Sun</v>
      </c>
      <c r="I1912" t="str">
        <f>TEXT(walmart[[#This Row],[Purchase_Date]],"MMM")</f>
        <v>Jan</v>
      </c>
      <c r="J1912" t="str">
        <f>TEXT(walmart[[#This Row],[Purchase_Date]],"YYY")</f>
        <v>2025</v>
      </c>
      <c r="K1912" s="3">
        <v>461.81</v>
      </c>
      <c r="L1912" t="str">
        <f t="shared" si="132"/>
        <v>5% off</v>
      </c>
      <c r="N1912" t="str">
        <f t="shared" si="133"/>
        <v>Yes</v>
      </c>
      <c r="O1912" t="s">
        <v>21</v>
      </c>
      <c r="P1912" s="3">
        <f t="shared" si="134"/>
        <v>461.81</v>
      </c>
      <c r="Q1912" t="s">
        <v>35</v>
      </c>
      <c r="R1912">
        <v>1</v>
      </c>
      <c r="S1912" t="str">
        <f t="shared" si="135"/>
        <v>Very Poor</v>
      </c>
    </row>
    <row r="1913" spans="1:19" x14ac:dyDescent="0.25">
      <c r="A1913" t="s">
        <v>2337</v>
      </c>
      <c r="B1913">
        <v>41</v>
      </c>
      <c r="C1913" t="s">
        <v>29</v>
      </c>
      <c r="D1913" t="s">
        <v>2533</v>
      </c>
      <c r="E1913" t="s">
        <v>55</v>
      </c>
      <c r="F1913" t="s">
        <v>64</v>
      </c>
      <c r="G1913" t="s">
        <v>1126</v>
      </c>
      <c r="H1913" t="str">
        <f>TEXT(walmart[[#This Row],[Purchase_Date]],"DDD")</f>
        <v>Wed</v>
      </c>
      <c r="I1913" t="str">
        <f>TEXT(walmart[[#This Row],[Purchase_Date]],"MMM")</f>
        <v>Dec</v>
      </c>
      <c r="J1913" t="str">
        <f>TEXT(walmart[[#This Row],[Purchase_Date]],"YYY")</f>
        <v>2024</v>
      </c>
      <c r="K1913" s="3">
        <v>374.92</v>
      </c>
      <c r="L1913" t="str">
        <f t="shared" si="132"/>
        <v>5% off</v>
      </c>
      <c r="N1913" t="str">
        <f t="shared" si="133"/>
        <v>Yes</v>
      </c>
      <c r="O1913" t="s">
        <v>21</v>
      </c>
      <c r="P1913" s="3">
        <f t="shared" si="134"/>
        <v>374.92</v>
      </c>
      <c r="Q1913" t="s">
        <v>35</v>
      </c>
      <c r="R1913">
        <v>2</v>
      </c>
      <c r="S1913" t="str">
        <f t="shared" si="135"/>
        <v>Poor</v>
      </c>
    </row>
    <row r="1914" spans="1:19" x14ac:dyDescent="0.25">
      <c r="A1914" t="s">
        <v>2338</v>
      </c>
      <c r="B1914">
        <v>58</v>
      </c>
      <c r="C1914" t="s">
        <v>16</v>
      </c>
      <c r="D1914" t="s">
        <v>2534</v>
      </c>
      <c r="E1914" t="s">
        <v>31</v>
      </c>
      <c r="F1914" t="s">
        <v>112</v>
      </c>
      <c r="G1914" t="s">
        <v>221</v>
      </c>
      <c r="H1914" t="str">
        <f>TEXT(walmart[[#This Row],[Purchase_Date]],"DDD")</f>
        <v>Fri</v>
      </c>
      <c r="I1914" t="str">
        <f>TEXT(walmart[[#This Row],[Purchase_Date]],"MMM")</f>
        <v>Dec</v>
      </c>
      <c r="J1914" t="str">
        <f>TEXT(walmart[[#This Row],[Purchase_Date]],"YYY")</f>
        <v>2024</v>
      </c>
      <c r="K1914" s="3">
        <v>492.1</v>
      </c>
      <c r="L1914" t="str">
        <f t="shared" si="132"/>
        <v>5% off</v>
      </c>
      <c r="N1914" t="str">
        <f t="shared" si="133"/>
        <v>Yes</v>
      </c>
      <c r="O1914" t="s">
        <v>21</v>
      </c>
      <c r="P1914" s="3">
        <f t="shared" si="134"/>
        <v>492.1</v>
      </c>
      <c r="Q1914" t="s">
        <v>27</v>
      </c>
      <c r="R1914">
        <v>3</v>
      </c>
      <c r="S1914" t="str">
        <f t="shared" si="135"/>
        <v>Average</v>
      </c>
    </row>
    <row r="1915" spans="1:19" x14ac:dyDescent="0.25">
      <c r="A1915" t="s">
        <v>2339</v>
      </c>
      <c r="B1915">
        <v>58</v>
      </c>
      <c r="C1915" t="s">
        <v>29</v>
      </c>
      <c r="D1915" t="s">
        <v>2535</v>
      </c>
      <c r="E1915" t="s">
        <v>37</v>
      </c>
      <c r="F1915" t="s">
        <v>117</v>
      </c>
      <c r="G1915" t="s">
        <v>44</v>
      </c>
      <c r="H1915" t="str">
        <f>TEXT(walmart[[#This Row],[Purchase_Date]],"DDD")</f>
        <v>Fri</v>
      </c>
      <c r="I1915" t="str">
        <f>TEXT(walmart[[#This Row],[Purchase_Date]],"MMM")</f>
        <v>Aug</v>
      </c>
      <c r="J1915" t="str">
        <f>TEXT(walmart[[#This Row],[Purchase_Date]],"YYY")</f>
        <v>2024</v>
      </c>
      <c r="K1915" s="3">
        <v>165.68</v>
      </c>
      <c r="L1915" t="str">
        <f t="shared" si="132"/>
        <v>5% off</v>
      </c>
      <c r="N1915" t="str">
        <f t="shared" si="133"/>
        <v>Yes</v>
      </c>
      <c r="O1915" t="s">
        <v>21</v>
      </c>
      <c r="P1915" s="3">
        <f t="shared" si="134"/>
        <v>165.68</v>
      </c>
      <c r="Q1915" t="s">
        <v>47</v>
      </c>
      <c r="R1915">
        <v>4</v>
      </c>
      <c r="S1915" t="str">
        <f t="shared" si="135"/>
        <v>Good</v>
      </c>
    </row>
    <row r="1916" spans="1:19" x14ac:dyDescent="0.25">
      <c r="A1916" t="s">
        <v>2340</v>
      </c>
      <c r="B1916">
        <v>53</v>
      </c>
      <c r="C1916" t="s">
        <v>29</v>
      </c>
      <c r="D1916" t="s">
        <v>2518</v>
      </c>
      <c r="E1916" t="s">
        <v>37</v>
      </c>
      <c r="F1916" t="s">
        <v>38</v>
      </c>
      <c r="G1916" t="s">
        <v>302</v>
      </c>
      <c r="H1916" t="str">
        <f>TEXT(walmart[[#This Row],[Purchase_Date]],"DDD")</f>
        <v>Sun</v>
      </c>
      <c r="I1916" t="str">
        <f>TEXT(walmart[[#This Row],[Purchase_Date]],"MMM")</f>
        <v>Mar</v>
      </c>
      <c r="J1916" t="str">
        <f>TEXT(walmart[[#This Row],[Purchase_Date]],"YYY")</f>
        <v>2025</v>
      </c>
      <c r="K1916" s="3">
        <v>211.46</v>
      </c>
      <c r="L1916" t="str">
        <f t="shared" si="132"/>
        <v>5% off</v>
      </c>
      <c r="N1916" t="str">
        <f t="shared" si="133"/>
        <v>Yes</v>
      </c>
      <c r="O1916" t="s">
        <v>34</v>
      </c>
      <c r="P1916" s="3">
        <f t="shared" si="134"/>
        <v>211.46</v>
      </c>
      <c r="Q1916" t="s">
        <v>22</v>
      </c>
      <c r="R1916">
        <v>4</v>
      </c>
      <c r="S1916" t="str">
        <f t="shared" si="135"/>
        <v>Good</v>
      </c>
    </row>
    <row r="1917" spans="1:19" x14ac:dyDescent="0.25">
      <c r="A1917" t="s">
        <v>2341</v>
      </c>
      <c r="B1917">
        <v>46</v>
      </c>
      <c r="C1917" t="s">
        <v>29</v>
      </c>
      <c r="D1917" t="s">
        <v>2536</v>
      </c>
      <c r="E1917" t="s">
        <v>55</v>
      </c>
      <c r="F1917" t="s">
        <v>56</v>
      </c>
      <c r="G1917" t="s">
        <v>39</v>
      </c>
      <c r="H1917" t="str">
        <f>TEXT(walmart[[#This Row],[Purchase_Date]],"DDD")</f>
        <v>Sat</v>
      </c>
      <c r="I1917" t="str">
        <f>TEXT(walmart[[#This Row],[Purchase_Date]],"MMM")</f>
        <v>Nov</v>
      </c>
      <c r="J1917" t="str">
        <f>TEXT(walmart[[#This Row],[Purchase_Date]],"YYY")</f>
        <v>2024</v>
      </c>
      <c r="K1917" s="3">
        <v>76.81</v>
      </c>
      <c r="L1917" t="str">
        <f t="shared" si="132"/>
        <v>0% off</v>
      </c>
      <c r="N1917" t="str">
        <f t="shared" si="133"/>
        <v>No</v>
      </c>
      <c r="O1917" t="s">
        <v>34</v>
      </c>
      <c r="P1917" s="3">
        <f t="shared" si="134"/>
        <v>76.81</v>
      </c>
      <c r="Q1917" t="s">
        <v>27</v>
      </c>
      <c r="R1917">
        <v>1</v>
      </c>
      <c r="S1917" t="str">
        <f t="shared" si="135"/>
        <v>Very Poor</v>
      </c>
    </row>
    <row r="1918" spans="1:19" x14ac:dyDescent="0.25">
      <c r="A1918" t="s">
        <v>2342</v>
      </c>
      <c r="B1918">
        <v>56</v>
      </c>
      <c r="C1918" t="s">
        <v>29</v>
      </c>
      <c r="D1918" t="s">
        <v>2537</v>
      </c>
      <c r="E1918" t="s">
        <v>73</v>
      </c>
      <c r="F1918" t="s">
        <v>91</v>
      </c>
      <c r="G1918" t="s">
        <v>421</v>
      </c>
      <c r="H1918" t="str">
        <f>TEXT(walmart[[#This Row],[Purchase_Date]],"DDD")</f>
        <v>Fri</v>
      </c>
      <c r="I1918" t="str">
        <f>TEXT(walmart[[#This Row],[Purchase_Date]],"MMM")</f>
        <v>Aug</v>
      </c>
      <c r="J1918" t="str">
        <f>TEXT(walmart[[#This Row],[Purchase_Date]],"YYY")</f>
        <v>2024</v>
      </c>
      <c r="K1918" s="3">
        <v>418.55</v>
      </c>
      <c r="L1918" t="str">
        <f t="shared" si="132"/>
        <v>5% off</v>
      </c>
      <c r="N1918" t="str">
        <f t="shared" si="133"/>
        <v>Yes</v>
      </c>
      <c r="O1918" t="s">
        <v>34</v>
      </c>
      <c r="P1918" s="3">
        <f t="shared" si="134"/>
        <v>418.55</v>
      </c>
      <c r="Q1918" t="s">
        <v>22</v>
      </c>
      <c r="R1918">
        <v>2</v>
      </c>
      <c r="S1918" t="str">
        <f t="shared" si="135"/>
        <v>Poor</v>
      </c>
    </row>
    <row r="1919" spans="1:19" x14ac:dyDescent="0.25">
      <c r="A1919" t="s">
        <v>2343</v>
      </c>
      <c r="B1919">
        <v>65</v>
      </c>
      <c r="C1919" t="s">
        <v>16</v>
      </c>
      <c r="D1919" t="s">
        <v>2538</v>
      </c>
      <c r="E1919" t="s">
        <v>73</v>
      </c>
      <c r="F1919" t="s">
        <v>91</v>
      </c>
      <c r="G1919" t="s">
        <v>428</v>
      </c>
      <c r="H1919" t="str">
        <f>TEXT(walmart[[#This Row],[Purchase_Date]],"DDD")</f>
        <v>Wed</v>
      </c>
      <c r="I1919" t="str">
        <f>TEXT(walmart[[#This Row],[Purchase_Date]],"MMM")</f>
        <v>May</v>
      </c>
      <c r="J1919" t="str">
        <f>TEXT(walmart[[#This Row],[Purchase_Date]],"YYY")</f>
        <v>2024</v>
      </c>
      <c r="K1919" s="3">
        <v>418.55</v>
      </c>
      <c r="L1919" t="str">
        <f t="shared" si="132"/>
        <v>5% off</v>
      </c>
      <c r="N1919" t="str">
        <f t="shared" si="133"/>
        <v>Yes</v>
      </c>
      <c r="O1919" t="s">
        <v>21</v>
      </c>
      <c r="P1919" s="3">
        <f t="shared" si="134"/>
        <v>418.55</v>
      </c>
      <c r="Q1919" t="s">
        <v>35</v>
      </c>
      <c r="R1919">
        <v>3</v>
      </c>
      <c r="S1919" t="str">
        <f t="shared" si="135"/>
        <v>Average</v>
      </c>
    </row>
    <row r="1920" spans="1:19" x14ac:dyDescent="0.25">
      <c r="A1920" t="s">
        <v>2344</v>
      </c>
      <c r="B1920">
        <v>45</v>
      </c>
      <c r="C1920" t="s">
        <v>29</v>
      </c>
      <c r="D1920" t="s">
        <v>2539</v>
      </c>
      <c r="E1920" t="s">
        <v>24</v>
      </c>
      <c r="F1920" t="s">
        <v>186</v>
      </c>
      <c r="G1920" t="s">
        <v>708</v>
      </c>
      <c r="H1920" t="str">
        <f>TEXT(walmart[[#This Row],[Purchase_Date]],"DDD")</f>
        <v>Mon</v>
      </c>
      <c r="I1920" t="str">
        <f>TEXT(walmart[[#This Row],[Purchase_Date]],"MMM")</f>
        <v>Feb</v>
      </c>
      <c r="J1920" t="str">
        <f>TEXT(walmart[[#This Row],[Purchase_Date]],"YYY")</f>
        <v>2025</v>
      </c>
      <c r="K1920" s="3">
        <v>527.16999999999996</v>
      </c>
      <c r="L1920" t="str">
        <f t="shared" si="132"/>
        <v>10% off</v>
      </c>
      <c r="N1920" t="str">
        <f t="shared" si="133"/>
        <v>Yes</v>
      </c>
      <c r="O1920" t="s">
        <v>34</v>
      </c>
      <c r="P1920" s="3">
        <f t="shared" si="134"/>
        <v>527.16999999999996</v>
      </c>
      <c r="Q1920" t="s">
        <v>47</v>
      </c>
      <c r="R1920">
        <v>1</v>
      </c>
      <c r="S1920" t="str">
        <f t="shared" si="135"/>
        <v>Very Poor</v>
      </c>
    </row>
    <row r="1921" spans="1:19" x14ac:dyDescent="0.25">
      <c r="A1921" t="s">
        <v>2345</v>
      </c>
      <c r="B1921">
        <v>47</v>
      </c>
      <c r="C1921" t="s">
        <v>16</v>
      </c>
      <c r="D1921" t="s">
        <v>2540</v>
      </c>
      <c r="E1921" t="s">
        <v>73</v>
      </c>
      <c r="F1921" t="s">
        <v>138</v>
      </c>
      <c r="G1921" t="s">
        <v>1495</v>
      </c>
      <c r="H1921" t="str">
        <f>TEXT(walmart[[#This Row],[Purchase_Date]],"DDD")</f>
        <v>Tue</v>
      </c>
      <c r="I1921" t="str">
        <f>TEXT(walmart[[#This Row],[Purchase_Date]],"MMM")</f>
        <v>Mar</v>
      </c>
      <c r="J1921" t="str">
        <f>TEXT(walmart[[#This Row],[Purchase_Date]],"YYY")</f>
        <v>2025</v>
      </c>
      <c r="K1921" s="3">
        <v>461.81</v>
      </c>
      <c r="L1921" t="str">
        <f t="shared" si="132"/>
        <v>5% off</v>
      </c>
      <c r="N1921" t="str">
        <f t="shared" si="133"/>
        <v>Yes</v>
      </c>
      <c r="O1921" t="s">
        <v>21</v>
      </c>
      <c r="P1921" s="3">
        <f t="shared" si="134"/>
        <v>461.81</v>
      </c>
      <c r="Q1921" t="s">
        <v>35</v>
      </c>
      <c r="R1921">
        <v>2</v>
      </c>
      <c r="S1921" t="str">
        <f t="shared" si="135"/>
        <v>Poor</v>
      </c>
    </row>
    <row r="1922" spans="1:19" x14ac:dyDescent="0.25">
      <c r="A1922" t="s">
        <v>2346</v>
      </c>
      <c r="B1922">
        <v>32</v>
      </c>
      <c r="C1922" t="s">
        <v>16</v>
      </c>
      <c r="D1922" t="s">
        <v>2488</v>
      </c>
      <c r="E1922" t="s">
        <v>31</v>
      </c>
      <c r="F1922" t="s">
        <v>169</v>
      </c>
      <c r="G1922" t="s">
        <v>558</v>
      </c>
      <c r="H1922" t="str">
        <f>TEXT(walmart[[#This Row],[Purchase_Date]],"DDD")</f>
        <v>Tue</v>
      </c>
      <c r="I1922" t="str">
        <f>TEXT(walmart[[#This Row],[Purchase_Date]],"MMM")</f>
        <v>Dec</v>
      </c>
      <c r="J1922" t="str">
        <f>TEXT(walmart[[#This Row],[Purchase_Date]],"YYY")</f>
        <v>2024</v>
      </c>
      <c r="K1922" s="3">
        <v>52.44</v>
      </c>
      <c r="L1922" t="str">
        <f t="shared" si="132"/>
        <v>0% off</v>
      </c>
      <c r="N1922" t="str">
        <f t="shared" si="133"/>
        <v>No</v>
      </c>
      <c r="O1922" t="s">
        <v>34</v>
      </c>
      <c r="P1922" s="3">
        <f t="shared" si="134"/>
        <v>52.44</v>
      </c>
      <c r="Q1922" t="s">
        <v>35</v>
      </c>
      <c r="R1922">
        <v>1</v>
      </c>
      <c r="S1922" t="str">
        <f t="shared" si="135"/>
        <v>Very Poor</v>
      </c>
    </row>
    <row r="1923" spans="1:19" x14ac:dyDescent="0.25">
      <c r="A1923" t="s">
        <v>2347</v>
      </c>
      <c r="B1923">
        <v>41</v>
      </c>
      <c r="C1923" t="s">
        <v>29</v>
      </c>
      <c r="D1923" t="s">
        <v>2541</v>
      </c>
      <c r="E1923" t="s">
        <v>55</v>
      </c>
      <c r="F1923" t="s">
        <v>56</v>
      </c>
      <c r="G1923" t="s">
        <v>260</v>
      </c>
      <c r="H1923" t="str">
        <f>TEXT(walmart[[#This Row],[Purchase_Date]],"DDD")</f>
        <v>Thu</v>
      </c>
      <c r="I1923" t="str">
        <f>TEXT(walmart[[#This Row],[Purchase_Date]],"MMM")</f>
        <v>Mar</v>
      </c>
      <c r="J1923" t="str">
        <f>TEXT(walmart[[#This Row],[Purchase_Date]],"YYY")</f>
        <v>2025</v>
      </c>
      <c r="K1923" s="3">
        <v>76.81</v>
      </c>
      <c r="L1923" t="str">
        <f t="shared" ref="L1923:L1986" si="136">IF(K1923&lt;150,"0% off",IF(K1923&lt;500,"5% off",IF(K1923&lt;700,"10% off",IF(K1923&lt;900,"15% off","20% off"))))</f>
        <v>0% off</v>
      </c>
      <c r="N1923" t="str">
        <f t="shared" ref="N1923:N1986" si="137">IF(L1923="0% off", "No", "Yes")</f>
        <v>No</v>
      </c>
      <c r="O1923" t="s">
        <v>21</v>
      </c>
      <c r="P1923" s="3">
        <f t="shared" ref="P1923:P1986" si="138">K1923-M1923</f>
        <v>76.81</v>
      </c>
      <c r="Q1923" t="s">
        <v>27</v>
      </c>
      <c r="R1923">
        <v>2</v>
      </c>
      <c r="S1923" t="str">
        <f t="shared" ref="S1923:S1986" si="139">IF(R1923=5, "Excellent", IF(R1923=4, "Good", IF(R1923=3, "Average", IF(R1923=2, "Poor", IF(R1923=1, "Very Poor", "Invalid Rating")))))</f>
        <v>Poor</v>
      </c>
    </row>
    <row r="1924" spans="1:19" x14ac:dyDescent="0.25">
      <c r="A1924" t="s">
        <v>2348</v>
      </c>
      <c r="B1924">
        <v>62</v>
      </c>
      <c r="C1924" t="s">
        <v>29</v>
      </c>
      <c r="D1924" t="s">
        <v>2542</v>
      </c>
      <c r="E1924" t="s">
        <v>31</v>
      </c>
      <c r="F1924" t="s">
        <v>32</v>
      </c>
      <c r="G1924" t="s">
        <v>730</v>
      </c>
      <c r="H1924" t="str">
        <f>TEXT(walmart[[#This Row],[Purchase_Date]],"DDD")</f>
        <v>Tue</v>
      </c>
      <c r="I1924" t="str">
        <f>TEXT(walmart[[#This Row],[Purchase_Date]],"MMM")</f>
        <v>Jan</v>
      </c>
      <c r="J1924" t="str">
        <f>TEXT(walmart[[#This Row],[Purchase_Date]],"YYY")</f>
        <v>2025</v>
      </c>
      <c r="K1924" s="3">
        <v>493.96</v>
      </c>
      <c r="L1924" t="str">
        <f t="shared" si="136"/>
        <v>5% off</v>
      </c>
      <c r="N1924" t="str">
        <f t="shared" si="137"/>
        <v>Yes</v>
      </c>
      <c r="O1924" t="s">
        <v>34</v>
      </c>
      <c r="P1924" s="3">
        <f t="shared" si="138"/>
        <v>493.96</v>
      </c>
      <c r="Q1924" t="s">
        <v>47</v>
      </c>
      <c r="R1924">
        <v>2</v>
      </c>
      <c r="S1924" t="str">
        <f t="shared" si="139"/>
        <v>Poor</v>
      </c>
    </row>
    <row r="1925" spans="1:19" x14ac:dyDescent="0.25">
      <c r="A1925" t="s">
        <v>2349</v>
      </c>
      <c r="B1925">
        <v>36</v>
      </c>
      <c r="C1925" t="s">
        <v>16</v>
      </c>
      <c r="D1925" t="s">
        <v>2543</v>
      </c>
      <c r="E1925" t="s">
        <v>37</v>
      </c>
      <c r="F1925" t="s">
        <v>97</v>
      </c>
      <c r="G1925" t="s">
        <v>632</v>
      </c>
      <c r="H1925" t="str">
        <f>TEXT(walmart[[#This Row],[Purchase_Date]],"DDD")</f>
        <v>Wed</v>
      </c>
      <c r="I1925" t="str">
        <f>TEXT(walmart[[#This Row],[Purchase_Date]],"MMM")</f>
        <v>Jan</v>
      </c>
      <c r="J1925" t="str">
        <f>TEXT(walmart[[#This Row],[Purchase_Date]],"YYY")</f>
        <v>2025</v>
      </c>
      <c r="K1925" s="3">
        <v>855.21</v>
      </c>
      <c r="L1925" t="str">
        <f t="shared" si="136"/>
        <v>15% off</v>
      </c>
      <c r="N1925" t="str">
        <f t="shared" si="137"/>
        <v>Yes</v>
      </c>
      <c r="O1925" t="s">
        <v>34</v>
      </c>
      <c r="P1925" s="3">
        <f t="shared" si="138"/>
        <v>855.21</v>
      </c>
      <c r="Q1925" t="s">
        <v>27</v>
      </c>
      <c r="R1925">
        <v>5</v>
      </c>
      <c r="S1925" t="str">
        <f t="shared" si="139"/>
        <v>Excellent</v>
      </c>
    </row>
    <row r="1926" spans="1:19" x14ac:dyDescent="0.25">
      <c r="A1926" t="s">
        <v>2350</v>
      </c>
      <c r="B1926">
        <v>45</v>
      </c>
      <c r="C1926" t="s">
        <v>16</v>
      </c>
      <c r="D1926" t="s">
        <v>2544</v>
      </c>
      <c r="E1926" t="s">
        <v>37</v>
      </c>
      <c r="F1926" t="s">
        <v>38</v>
      </c>
      <c r="G1926" t="s">
        <v>361</v>
      </c>
      <c r="H1926" t="str">
        <f>TEXT(walmart[[#This Row],[Purchase_Date]],"DDD")</f>
        <v>Sat</v>
      </c>
      <c r="I1926" t="str">
        <f>TEXT(walmart[[#This Row],[Purchase_Date]],"MMM")</f>
        <v>Jul</v>
      </c>
      <c r="J1926" t="str">
        <f>TEXT(walmart[[#This Row],[Purchase_Date]],"YYY")</f>
        <v>2024</v>
      </c>
      <c r="K1926" s="3">
        <v>211.46</v>
      </c>
      <c r="L1926" t="str">
        <f t="shared" si="136"/>
        <v>5% off</v>
      </c>
      <c r="N1926" t="str">
        <f t="shared" si="137"/>
        <v>Yes</v>
      </c>
      <c r="O1926" t="s">
        <v>34</v>
      </c>
      <c r="P1926" s="3">
        <f t="shared" si="138"/>
        <v>211.46</v>
      </c>
      <c r="Q1926" t="s">
        <v>47</v>
      </c>
      <c r="R1926">
        <v>2</v>
      </c>
      <c r="S1926" t="str">
        <f t="shared" si="139"/>
        <v>Poor</v>
      </c>
    </row>
    <row r="1927" spans="1:19" x14ac:dyDescent="0.25">
      <c r="A1927" t="s">
        <v>2351</v>
      </c>
      <c r="B1927">
        <v>63</v>
      </c>
      <c r="C1927" t="s">
        <v>29</v>
      </c>
      <c r="D1927" t="s">
        <v>2545</v>
      </c>
      <c r="E1927" t="s">
        <v>18</v>
      </c>
      <c r="F1927" t="s">
        <v>59</v>
      </c>
      <c r="G1927" t="s">
        <v>801</v>
      </c>
      <c r="H1927" t="str">
        <f>TEXT(walmart[[#This Row],[Purchase_Date]],"DDD")</f>
        <v>Sat</v>
      </c>
      <c r="I1927" t="str">
        <f>TEXT(walmart[[#This Row],[Purchase_Date]],"MMM")</f>
        <v>Jan</v>
      </c>
      <c r="J1927" t="str">
        <f>TEXT(walmart[[#This Row],[Purchase_Date]],"YYY")</f>
        <v>2025</v>
      </c>
      <c r="K1927" s="3">
        <v>78.349999999999994</v>
      </c>
      <c r="L1927" t="str">
        <f t="shared" si="136"/>
        <v>0% off</v>
      </c>
      <c r="N1927" t="str">
        <f t="shared" si="137"/>
        <v>No</v>
      </c>
      <c r="O1927" t="s">
        <v>34</v>
      </c>
      <c r="P1927" s="3">
        <f t="shared" si="138"/>
        <v>78.349999999999994</v>
      </c>
      <c r="Q1927" t="s">
        <v>47</v>
      </c>
      <c r="R1927">
        <v>4</v>
      </c>
      <c r="S1927" t="str">
        <f t="shared" si="139"/>
        <v>Good</v>
      </c>
    </row>
    <row r="1928" spans="1:19" x14ac:dyDescent="0.25">
      <c r="A1928" t="s">
        <v>2352</v>
      </c>
      <c r="B1928">
        <v>53</v>
      </c>
      <c r="C1928" t="s">
        <v>29</v>
      </c>
      <c r="D1928" t="s">
        <v>2546</v>
      </c>
      <c r="E1928" t="s">
        <v>55</v>
      </c>
      <c r="F1928" t="s">
        <v>56</v>
      </c>
      <c r="G1928" t="s">
        <v>628</v>
      </c>
      <c r="H1928" t="str">
        <f>TEXT(walmart[[#This Row],[Purchase_Date]],"DDD")</f>
        <v>Wed</v>
      </c>
      <c r="I1928" t="str">
        <f>TEXT(walmart[[#This Row],[Purchase_Date]],"MMM")</f>
        <v>Nov</v>
      </c>
      <c r="J1928" t="str">
        <f>TEXT(walmart[[#This Row],[Purchase_Date]],"YYY")</f>
        <v>2024</v>
      </c>
      <c r="K1928" s="3">
        <v>76.81</v>
      </c>
      <c r="L1928" t="str">
        <f t="shared" si="136"/>
        <v>0% off</v>
      </c>
      <c r="N1928" t="str">
        <f t="shared" si="137"/>
        <v>No</v>
      </c>
      <c r="O1928" t="s">
        <v>21</v>
      </c>
      <c r="P1928" s="3">
        <f t="shared" si="138"/>
        <v>76.81</v>
      </c>
      <c r="Q1928" t="s">
        <v>35</v>
      </c>
      <c r="R1928">
        <v>1</v>
      </c>
      <c r="S1928" t="str">
        <f t="shared" si="139"/>
        <v>Very Poor</v>
      </c>
    </row>
    <row r="1929" spans="1:19" x14ac:dyDescent="0.25">
      <c r="A1929" t="s">
        <v>2353</v>
      </c>
      <c r="B1929">
        <v>19</v>
      </c>
      <c r="C1929" t="s">
        <v>16</v>
      </c>
      <c r="D1929" t="s">
        <v>2547</v>
      </c>
      <c r="E1929" t="s">
        <v>31</v>
      </c>
      <c r="F1929" t="s">
        <v>32</v>
      </c>
      <c r="G1929" t="s">
        <v>628</v>
      </c>
      <c r="H1929" t="str">
        <f>TEXT(walmart[[#This Row],[Purchase_Date]],"DDD")</f>
        <v>Wed</v>
      </c>
      <c r="I1929" t="str">
        <f>TEXT(walmart[[#This Row],[Purchase_Date]],"MMM")</f>
        <v>Nov</v>
      </c>
      <c r="J1929" t="str">
        <f>TEXT(walmart[[#This Row],[Purchase_Date]],"YYY")</f>
        <v>2024</v>
      </c>
      <c r="K1929" s="3">
        <v>493.96</v>
      </c>
      <c r="L1929" t="str">
        <f t="shared" si="136"/>
        <v>5% off</v>
      </c>
      <c r="N1929" t="str">
        <f t="shared" si="137"/>
        <v>Yes</v>
      </c>
      <c r="O1929" t="s">
        <v>34</v>
      </c>
      <c r="P1929" s="3">
        <f t="shared" si="138"/>
        <v>493.96</v>
      </c>
      <c r="Q1929" t="s">
        <v>35</v>
      </c>
      <c r="R1929">
        <v>4</v>
      </c>
      <c r="S1929" t="str">
        <f t="shared" si="139"/>
        <v>Good</v>
      </c>
    </row>
    <row r="1930" spans="1:19" x14ac:dyDescent="0.25">
      <c r="A1930" t="s">
        <v>2354</v>
      </c>
      <c r="B1930">
        <v>60</v>
      </c>
      <c r="C1930" t="s">
        <v>29</v>
      </c>
      <c r="D1930" t="s">
        <v>2548</v>
      </c>
      <c r="E1930" t="s">
        <v>18</v>
      </c>
      <c r="F1930" t="s">
        <v>142</v>
      </c>
      <c r="G1930" t="s">
        <v>1283</v>
      </c>
      <c r="H1930" t="str">
        <f>TEXT(walmart[[#This Row],[Purchase_Date]],"DDD")</f>
        <v>Wed</v>
      </c>
      <c r="I1930" t="str">
        <f>TEXT(walmart[[#This Row],[Purchase_Date]],"MMM")</f>
        <v>Nov</v>
      </c>
      <c r="J1930" t="str">
        <f>TEXT(walmart[[#This Row],[Purchase_Date]],"YYY")</f>
        <v>2024</v>
      </c>
      <c r="K1930" s="3">
        <v>485.26</v>
      </c>
      <c r="L1930" t="str">
        <f t="shared" si="136"/>
        <v>5% off</v>
      </c>
      <c r="N1930" t="str">
        <f t="shared" si="137"/>
        <v>Yes</v>
      </c>
      <c r="O1930" t="s">
        <v>34</v>
      </c>
      <c r="P1930" s="3">
        <f t="shared" si="138"/>
        <v>485.26</v>
      </c>
      <c r="Q1930" t="s">
        <v>35</v>
      </c>
      <c r="R1930">
        <v>5</v>
      </c>
      <c r="S1930" t="str">
        <f t="shared" si="139"/>
        <v>Excellent</v>
      </c>
    </row>
    <row r="1931" spans="1:19" x14ac:dyDescent="0.25">
      <c r="A1931" t="s">
        <v>2355</v>
      </c>
      <c r="B1931">
        <v>37</v>
      </c>
      <c r="C1931" t="s">
        <v>29</v>
      </c>
      <c r="D1931" t="s">
        <v>2549</v>
      </c>
      <c r="E1931" t="s">
        <v>55</v>
      </c>
      <c r="F1931" t="s">
        <v>56</v>
      </c>
      <c r="G1931" t="s">
        <v>746</v>
      </c>
      <c r="H1931" t="str">
        <f>TEXT(walmart[[#This Row],[Purchase_Date]],"DDD")</f>
        <v>Tue</v>
      </c>
      <c r="I1931" t="str">
        <f>TEXT(walmart[[#This Row],[Purchase_Date]],"MMM")</f>
        <v>Dec</v>
      </c>
      <c r="J1931" t="str">
        <f>TEXT(walmart[[#This Row],[Purchase_Date]],"YYY")</f>
        <v>2024</v>
      </c>
      <c r="K1931" s="3">
        <v>76.81</v>
      </c>
      <c r="L1931" t="str">
        <f t="shared" si="136"/>
        <v>0% off</v>
      </c>
      <c r="N1931" t="str">
        <f t="shared" si="137"/>
        <v>No</v>
      </c>
      <c r="O1931" t="s">
        <v>34</v>
      </c>
      <c r="P1931" s="3">
        <f t="shared" si="138"/>
        <v>76.81</v>
      </c>
      <c r="Q1931" t="s">
        <v>22</v>
      </c>
      <c r="R1931">
        <v>5</v>
      </c>
      <c r="S1931" t="str">
        <f t="shared" si="139"/>
        <v>Excellent</v>
      </c>
    </row>
    <row r="1932" spans="1:19" x14ac:dyDescent="0.25">
      <c r="A1932" t="s">
        <v>2356</v>
      </c>
      <c r="B1932">
        <v>45</v>
      </c>
      <c r="C1932" t="s">
        <v>16</v>
      </c>
      <c r="D1932" t="s">
        <v>2550</v>
      </c>
      <c r="E1932" t="s">
        <v>73</v>
      </c>
      <c r="F1932" t="s">
        <v>91</v>
      </c>
      <c r="G1932" t="s">
        <v>1286</v>
      </c>
      <c r="H1932" t="str">
        <f>TEXT(walmart[[#This Row],[Purchase_Date]],"DDD")</f>
        <v>Mon</v>
      </c>
      <c r="I1932" t="str">
        <f>TEXT(walmart[[#This Row],[Purchase_Date]],"MMM")</f>
        <v>Apr</v>
      </c>
      <c r="J1932" t="str">
        <f>TEXT(walmart[[#This Row],[Purchase_Date]],"YYY")</f>
        <v>2024</v>
      </c>
      <c r="K1932" s="3">
        <v>418.55</v>
      </c>
      <c r="L1932" t="str">
        <f t="shared" si="136"/>
        <v>5% off</v>
      </c>
      <c r="N1932" t="str">
        <f t="shared" si="137"/>
        <v>Yes</v>
      </c>
      <c r="O1932" t="s">
        <v>34</v>
      </c>
      <c r="P1932" s="3">
        <f t="shared" si="138"/>
        <v>418.55</v>
      </c>
      <c r="Q1932" t="s">
        <v>35</v>
      </c>
      <c r="R1932">
        <v>3</v>
      </c>
      <c r="S1932" t="str">
        <f t="shared" si="139"/>
        <v>Average</v>
      </c>
    </row>
    <row r="1933" spans="1:19" x14ac:dyDescent="0.25">
      <c r="A1933" t="s">
        <v>2357</v>
      </c>
      <c r="B1933">
        <v>37</v>
      </c>
      <c r="C1933" t="s">
        <v>16</v>
      </c>
      <c r="D1933" t="s">
        <v>2551</v>
      </c>
      <c r="E1933" t="s">
        <v>55</v>
      </c>
      <c r="F1933" t="s">
        <v>64</v>
      </c>
      <c r="G1933" t="s">
        <v>147</v>
      </c>
      <c r="H1933" t="str">
        <f>TEXT(walmart[[#This Row],[Purchase_Date]],"DDD")</f>
        <v>Sat</v>
      </c>
      <c r="I1933" t="str">
        <f>TEXT(walmart[[#This Row],[Purchase_Date]],"MMM")</f>
        <v>Apr</v>
      </c>
      <c r="J1933" t="str">
        <f>TEXT(walmart[[#This Row],[Purchase_Date]],"YYY")</f>
        <v>2024</v>
      </c>
      <c r="K1933" s="3">
        <v>374.92</v>
      </c>
      <c r="L1933" t="str">
        <f t="shared" si="136"/>
        <v>5% off</v>
      </c>
      <c r="N1933" t="str">
        <f t="shared" si="137"/>
        <v>Yes</v>
      </c>
      <c r="O1933" t="s">
        <v>21</v>
      </c>
      <c r="P1933" s="3">
        <f t="shared" si="138"/>
        <v>374.92</v>
      </c>
      <c r="Q1933" t="s">
        <v>22</v>
      </c>
      <c r="R1933">
        <v>1</v>
      </c>
      <c r="S1933" t="str">
        <f t="shared" si="139"/>
        <v>Very Poor</v>
      </c>
    </row>
    <row r="1934" spans="1:19" x14ac:dyDescent="0.25">
      <c r="A1934" t="s">
        <v>2358</v>
      </c>
      <c r="B1934">
        <v>70</v>
      </c>
      <c r="C1934" t="s">
        <v>29</v>
      </c>
      <c r="D1934" t="s">
        <v>2552</v>
      </c>
      <c r="E1934" t="s">
        <v>73</v>
      </c>
      <c r="F1934" t="s">
        <v>94</v>
      </c>
      <c r="G1934" t="s">
        <v>859</v>
      </c>
      <c r="H1934" t="str">
        <f>TEXT(walmart[[#This Row],[Purchase_Date]],"DDD")</f>
        <v>Tue</v>
      </c>
      <c r="I1934" t="str">
        <f>TEXT(walmart[[#This Row],[Purchase_Date]],"MMM")</f>
        <v>Jun</v>
      </c>
      <c r="J1934" t="str">
        <f>TEXT(walmart[[#This Row],[Purchase_Date]],"YYY")</f>
        <v>2024</v>
      </c>
      <c r="K1934" s="3">
        <v>965.09</v>
      </c>
      <c r="L1934" t="str">
        <f t="shared" si="136"/>
        <v>20% off</v>
      </c>
      <c r="N1934" t="str">
        <f t="shared" si="137"/>
        <v>Yes</v>
      </c>
      <c r="O1934" t="s">
        <v>21</v>
      </c>
      <c r="P1934" s="3">
        <f t="shared" si="138"/>
        <v>965.09</v>
      </c>
      <c r="Q1934" t="s">
        <v>35</v>
      </c>
      <c r="R1934">
        <v>1</v>
      </c>
      <c r="S1934" t="str">
        <f t="shared" si="139"/>
        <v>Very Poor</v>
      </c>
    </row>
    <row r="1935" spans="1:19" x14ac:dyDescent="0.25">
      <c r="A1935" t="s">
        <v>2359</v>
      </c>
      <c r="B1935">
        <v>31</v>
      </c>
      <c r="C1935" t="s">
        <v>29</v>
      </c>
      <c r="D1935" t="s">
        <v>2553</v>
      </c>
      <c r="E1935" t="s">
        <v>24</v>
      </c>
      <c r="F1935" t="s">
        <v>209</v>
      </c>
      <c r="G1935" t="s">
        <v>1339</v>
      </c>
      <c r="H1935" t="str">
        <f>TEXT(walmart[[#This Row],[Purchase_Date]],"DDD")</f>
        <v>Wed</v>
      </c>
      <c r="I1935" t="str">
        <f>TEXT(walmart[[#This Row],[Purchase_Date]],"MMM")</f>
        <v>Oct</v>
      </c>
      <c r="J1935" t="str">
        <f>TEXT(walmart[[#This Row],[Purchase_Date]],"YYY")</f>
        <v>2024</v>
      </c>
      <c r="K1935" s="3">
        <v>775.75</v>
      </c>
      <c r="L1935" t="str">
        <f t="shared" si="136"/>
        <v>15% off</v>
      </c>
      <c r="N1935" t="str">
        <f t="shared" si="137"/>
        <v>Yes</v>
      </c>
      <c r="O1935" t="s">
        <v>21</v>
      </c>
      <c r="P1935" s="3">
        <f t="shared" si="138"/>
        <v>775.75</v>
      </c>
      <c r="Q1935" t="s">
        <v>27</v>
      </c>
      <c r="R1935">
        <v>5</v>
      </c>
      <c r="S1935" t="str">
        <f t="shared" si="139"/>
        <v>Excellent</v>
      </c>
    </row>
    <row r="1936" spans="1:19" x14ac:dyDescent="0.25">
      <c r="A1936" t="s">
        <v>2360</v>
      </c>
      <c r="B1936">
        <v>36</v>
      </c>
      <c r="C1936" t="s">
        <v>16</v>
      </c>
      <c r="D1936" t="s">
        <v>2554</v>
      </c>
      <c r="E1936" t="s">
        <v>55</v>
      </c>
      <c r="F1936" t="s">
        <v>100</v>
      </c>
      <c r="G1936" t="s">
        <v>875</v>
      </c>
      <c r="H1936" t="str">
        <f>TEXT(walmart[[#This Row],[Purchase_Date]],"DDD")</f>
        <v>Fri</v>
      </c>
      <c r="I1936" t="str">
        <f>TEXT(walmart[[#This Row],[Purchase_Date]],"MMM")</f>
        <v>Jul</v>
      </c>
      <c r="J1936" t="str">
        <f>TEXT(walmart[[#This Row],[Purchase_Date]],"YYY")</f>
        <v>2024</v>
      </c>
      <c r="K1936" s="3">
        <v>592.26</v>
      </c>
      <c r="L1936" t="str">
        <f t="shared" si="136"/>
        <v>10% off</v>
      </c>
      <c r="N1936" t="str">
        <f t="shared" si="137"/>
        <v>Yes</v>
      </c>
      <c r="O1936" t="s">
        <v>21</v>
      </c>
      <c r="P1936" s="3">
        <f t="shared" si="138"/>
        <v>592.26</v>
      </c>
      <c r="Q1936" t="s">
        <v>22</v>
      </c>
      <c r="R1936">
        <v>5</v>
      </c>
      <c r="S1936" t="str">
        <f t="shared" si="139"/>
        <v>Excellent</v>
      </c>
    </row>
    <row r="1937" spans="1:19" x14ac:dyDescent="0.25">
      <c r="A1937" t="s">
        <v>2361</v>
      </c>
      <c r="B1937">
        <v>37</v>
      </c>
      <c r="C1937" t="s">
        <v>16</v>
      </c>
      <c r="D1937" t="s">
        <v>2555</v>
      </c>
      <c r="E1937" t="s">
        <v>42</v>
      </c>
      <c r="F1937" t="s">
        <v>52</v>
      </c>
      <c r="G1937" t="s">
        <v>98</v>
      </c>
      <c r="H1937" t="str">
        <f>TEXT(walmart[[#This Row],[Purchase_Date]],"DDD")</f>
        <v>Sun</v>
      </c>
      <c r="I1937" t="str">
        <f>TEXT(walmart[[#This Row],[Purchase_Date]],"MMM")</f>
        <v>Aug</v>
      </c>
      <c r="J1937" t="str">
        <f>TEXT(walmart[[#This Row],[Purchase_Date]],"YYY")</f>
        <v>2024</v>
      </c>
      <c r="K1937" s="3">
        <v>988.77</v>
      </c>
      <c r="L1937" t="str">
        <f t="shared" si="136"/>
        <v>20% off</v>
      </c>
      <c r="N1937" t="str">
        <f t="shared" si="137"/>
        <v>Yes</v>
      </c>
      <c r="O1937" t="s">
        <v>21</v>
      </c>
      <c r="P1937" s="3">
        <f t="shared" si="138"/>
        <v>988.77</v>
      </c>
      <c r="Q1937" t="s">
        <v>35</v>
      </c>
      <c r="R1937">
        <v>2</v>
      </c>
      <c r="S1937" t="str">
        <f t="shared" si="139"/>
        <v>Poor</v>
      </c>
    </row>
    <row r="1938" spans="1:19" x14ac:dyDescent="0.25">
      <c r="A1938" t="s">
        <v>2362</v>
      </c>
      <c r="B1938">
        <v>19</v>
      </c>
      <c r="C1938" t="s">
        <v>29</v>
      </c>
      <c r="D1938" t="s">
        <v>2556</v>
      </c>
      <c r="E1938" t="s">
        <v>37</v>
      </c>
      <c r="F1938" t="s">
        <v>97</v>
      </c>
      <c r="G1938" t="s">
        <v>600</v>
      </c>
      <c r="H1938" t="str">
        <f>TEXT(walmart[[#This Row],[Purchase_Date]],"DDD")</f>
        <v>Sun</v>
      </c>
      <c r="I1938" t="str">
        <f>TEXT(walmart[[#This Row],[Purchase_Date]],"MMM")</f>
        <v>Dec</v>
      </c>
      <c r="J1938" t="str">
        <f>TEXT(walmart[[#This Row],[Purchase_Date]],"YYY")</f>
        <v>2024</v>
      </c>
      <c r="K1938" s="3">
        <v>855.21</v>
      </c>
      <c r="L1938" t="str">
        <f t="shared" si="136"/>
        <v>15% off</v>
      </c>
      <c r="N1938" t="str">
        <f t="shared" si="137"/>
        <v>Yes</v>
      </c>
      <c r="O1938" t="s">
        <v>34</v>
      </c>
      <c r="P1938" s="3">
        <f t="shared" si="138"/>
        <v>855.21</v>
      </c>
      <c r="Q1938" t="s">
        <v>35</v>
      </c>
      <c r="R1938">
        <v>1</v>
      </c>
      <c r="S1938" t="str">
        <f t="shared" si="139"/>
        <v>Very Poor</v>
      </c>
    </row>
    <row r="1939" spans="1:19" x14ac:dyDescent="0.25">
      <c r="A1939" t="s">
        <v>2363</v>
      </c>
      <c r="B1939">
        <v>44</v>
      </c>
      <c r="C1939" t="s">
        <v>29</v>
      </c>
      <c r="D1939" t="s">
        <v>2557</v>
      </c>
      <c r="E1939" t="s">
        <v>55</v>
      </c>
      <c r="F1939" t="s">
        <v>100</v>
      </c>
      <c r="G1939" t="s">
        <v>794</v>
      </c>
      <c r="H1939" t="str">
        <f>TEXT(walmart[[#This Row],[Purchase_Date]],"DDD")</f>
        <v>Wed</v>
      </c>
      <c r="I1939" t="str">
        <f>TEXT(walmart[[#This Row],[Purchase_Date]],"MMM")</f>
        <v>Jan</v>
      </c>
      <c r="J1939" t="str">
        <f>TEXT(walmart[[#This Row],[Purchase_Date]],"YYY")</f>
        <v>2025</v>
      </c>
      <c r="K1939" s="3">
        <v>592.26</v>
      </c>
      <c r="L1939" t="str">
        <f t="shared" si="136"/>
        <v>10% off</v>
      </c>
      <c r="N1939" t="str">
        <f t="shared" si="137"/>
        <v>Yes</v>
      </c>
      <c r="O1939" t="s">
        <v>21</v>
      </c>
      <c r="P1939" s="3">
        <f t="shared" si="138"/>
        <v>592.26</v>
      </c>
      <c r="Q1939" t="s">
        <v>47</v>
      </c>
      <c r="R1939">
        <v>3</v>
      </c>
      <c r="S1939" t="str">
        <f t="shared" si="139"/>
        <v>Average</v>
      </c>
    </row>
    <row r="1940" spans="1:19" x14ac:dyDescent="0.25">
      <c r="A1940" t="s">
        <v>2364</v>
      </c>
      <c r="B1940">
        <v>25</v>
      </c>
      <c r="C1940" t="s">
        <v>29</v>
      </c>
      <c r="D1940" t="s">
        <v>2558</v>
      </c>
      <c r="E1940" t="s">
        <v>37</v>
      </c>
      <c r="F1940" t="s">
        <v>82</v>
      </c>
      <c r="G1940" t="s">
        <v>510</v>
      </c>
      <c r="H1940" t="str">
        <f>TEXT(walmart[[#This Row],[Purchase_Date]],"DDD")</f>
        <v>Tue</v>
      </c>
      <c r="I1940" t="str">
        <f>TEXT(walmart[[#This Row],[Purchase_Date]],"MMM")</f>
        <v>Feb</v>
      </c>
      <c r="J1940" t="str">
        <f>TEXT(walmart[[#This Row],[Purchase_Date]],"YYY")</f>
        <v>2025</v>
      </c>
      <c r="K1940" s="3">
        <v>270.41000000000003</v>
      </c>
      <c r="L1940" t="str">
        <f t="shared" si="136"/>
        <v>5% off</v>
      </c>
      <c r="N1940" t="str">
        <f t="shared" si="137"/>
        <v>Yes</v>
      </c>
      <c r="O1940" t="s">
        <v>34</v>
      </c>
      <c r="P1940" s="3">
        <f t="shared" si="138"/>
        <v>270.41000000000003</v>
      </c>
      <c r="Q1940" t="s">
        <v>47</v>
      </c>
      <c r="R1940">
        <v>2</v>
      </c>
      <c r="S1940" t="str">
        <f t="shared" si="139"/>
        <v>Poor</v>
      </c>
    </row>
    <row r="1941" spans="1:19" x14ac:dyDescent="0.25">
      <c r="A1941" t="s">
        <v>2365</v>
      </c>
      <c r="B1941">
        <v>67</v>
      </c>
      <c r="C1941" t="s">
        <v>16</v>
      </c>
      <c r="D1941" t="s">
        <v>2559</v>
      </c>
      <c r="E1941" t="s">
        <v>73</v>
      </c>
      <c r="F1941" t="s">
        <v>94</v>
      </c>
      <c r="G1941" t="s">
        <v>65</v>
      </c>
      <c r="H1941" t="str">
        <f>TEXT(walmart[[#This Row],[Purchase_Date]],"DDD")</f>
        <v>Wed</v>
      </c>
      <c r="I1941" t="str">
        <f>TEXT(walmart[[#This Row],[Purchase_Date]],"MMM")</f>
        <v>Mar</v>
      </c>
      <c r="J1941" t="str">
        <f>TEXT(walmart[[#This Row],[Purchase_Date]],"YYY")</f>
        <v>2025</v>
      </c>
      <c r="K1941" s="3">
        <v>965.09</v>
      </c>
      <c r="L1941" t="str">
        <f t="shared" si="136"/>
        <v>20% off</v>
      </c>
      <c r="N1941" t="str">
        <f t="shared" si="137"/>
        <v>Yes</v>
      </c>
      <c r="O1941" t="s">
        <v>21</v>
      </c>
      <c r="P1941" s="3">
        <f t="shared" si="138"/>
        <v>965.09</v>
      </c>
      <c r="Q1941" t="s">
        <v>27</v>
      </c>
      <c r="R1941">
        <v>5</v>
      </c>
      <c r="S1941" t="str">
        <f t="shared" si="139"/>
        <v>Excellent</v>
      </c>
    </row>
    <row r="1942" spans="1:19" x14ac:dyDescent="0.25">
      <c r="A1942" t="s">
        <v>2366</v>
      </c>
      <c r="B1942">
        <v>27</v>
      </c>
      <c r="C1942" t="s">
        <v>29</v>
      </c>
      <c r="D1942" t="s">
        <v>2560</v>
      </c>
      <c r="E1942" t="s">
        <v>55</v>
      </c>
      <c r="F1942" t="s">
        <v>56</v>
      </c>
      <c r="G1942" t="s">
        <v>302</v>
      </c>
      <c r="H1942" t="str">
        <f>TEXT(walmart[[#This Row],[Purchase_Date]],"DDD")</f>
        <v>Sun</v>
      </c>
      <c r="I1942" t="str">
        <f>TEXT(walmart[[#This Row],[Purchase_Date]],"MMM")</f>
        <v>Mar</v>
      </c>
      <c r="J1942" t="str">
        <f>TEXT(walmart[[#This Row],[Purchase_Date]],"YYY")</f>
        <v>2025</v>
      </c>
      <c r="K1942" s="3">
        <v>76.81</v>
      </c>
      <c r="L1942" t="str">
        <f t="shared" si="136"/>
        <v>0% off</v>
      </c>
      <c r="N1942" t="str">
        <f t="shared" si="137"/>
        <v>No</v>
      </c>
      <c r="O1942" t="s">
        <v>21</v>
      </c>
      <c r="P1942" s="3">
        <f t="shared" si="138"/>
        <v>76.81</v>
      </c>
      <c r="Q1942" t="s">
        <v>47</v>
      </c>
      <c r="R1942">
        <v>4</v>
      </c>
      <c r="S1942" t="str">
        <f t="shared" si="139"/>
        <v>Good</v>
      </c>
    </row>
    <row r="1943" spans="1:19" x14ac:dyDescent="0.25">
      <c r="A1943" t="s">
        <v>2367</v>
      </c>
      <c r="B1943">
        <v>24</v>
      </c>
      <c r="C1943" t="s">
        <v>29</v>
      </c>
      <c r="D1943" t="s">
        <v>2561</v>
      </c>
      <c r="E1943" t="s">
        <v>42</v>
      </c>
      <c r="F1943" t="s">
        <v>43</v>
      </c>
      <c r="G1943" t="s">
        <v>741</v>
      </c>
      <c r="H1943" t="str">
        <f>TEXT(walmart[[#This Row],[Purchase_Date]],"DDD")</f>
        <v>Mon</v>
      </c>
      <c r="I1943" t="str">
        <f>TEXT(walmart[[#This Row],[Purchase_Date]],"MMM")</f>
        <v>Sep</v>
      </c>
      <c r="J1943" t="str">
        <f>TEXT(walmart[[#This Row],[Purchase_Date]],"YYY")</f>
        <v>2024</v>
      </c>
      <c r="K1943" s="3">
        <v>512.94000000000005</v>
      </c>
      <c r="L1943" t="str">
        <f t="shared" si="136"/>
        <v>10% off</v>
      </c>
      <c r="N1943" t="str">
        <f t="shared" si="137"/>
        <v>Yes</v>
      </c>
      <c r="O1943" t="s">
        <v>21</v>
      </c>
      <c r="P1943" s="3">
        <f t="shared" si="138"/>
        <v>512.94000000000005</v>
      </c>
      <c r="Q1943" t="s">
        <v>47</v>
      </c>
      <c r="R1943">
        <v>5</v>
      </c>
      <c r="S1943" t="str">
        <f t="shared" si="139"/>
        <v>Excellent</v>
      </c>
    </row>
    <row r="1944" spans="1:19" x14ac:dyDescent="0.25">
      <c r="A1944" t="s">
        <v>2368</v>
      </c>
      <c r="B1944">
        <v>66</v>
      </c>
      <c r="C1944" t="s">
        <v>29</v>
      </c>
      <c r="D1944" t="s">
        <v>2501</v>
      </c>
      <c r="E1944" t="s">
        <v>37</v>
      </c>
      <c r="F1944" t="s">
        <v>117</v>
      </c>
      <c r="G1944" t="s">
        <v>617</v>
      </c>
      <c r="H1944" t="str">
        <f>TEXT(walmart[[#This Row],[Purchase_Date]],"DDD")</f>
        <v>Mon</v>
      </c>
      <c r="I1944" t="str">
        <f>TEXT(walmart[[#This Row],[Purchase_Date]],"MMM")</f>
        <v>Jul</v>
      </c>
      <c r="J1944" t="str">
        <f>TEXT(walmart[[#This Row],[Purchase_Date]],"YYY")</f>
        <v>2024</v>
      </c>
      <c r="K1944" s="3">
        <v>165.68</v>
      </c>
      <c r="L1944" t="str">
        <f t="shared" si="136"/>
        <v>5% off</v>
      </c>
      <c r="N1944" t="str">
        <f t="shared" si="137"/>
        <v>Yes</v>
      </c>
      <c r="O1944" t="s">
        <v>21</v>
      </c>
      <c r="P1944" s="3">
        <f t="shared" si="138"/>
        <v>165.68</v>
      </c>
      <c r="Q1944" t="s">
        <v>27</v>
      </c>
      <c r="R1944">
        <v>2</v>
      </c>
      <c r="S1944" t="str">
        <f t="shared" si="139"/>
        <v>Poor</v>
      </c>
    </row>
    <row r="1945" spans="1:19" x14ac:dyDescent="0.25">
      <c r="A1945" t="s">
        <v>2369</v>
      </c>
      <c r="B1945">
        <v>44</v>
      </c>
      <c r="C1945" t="s">
        <v>29</v>
      </c>
      <c r="D1945" t="s">
        <v>2504</v>
      </c>
      <c r="E1945" t="s">
        <v>18</v>
      </c>
      <c r="F1945" t="s">
        <v>142</v>
      </c>
      <c r="G1945" t="s">
        <v>126</v>
      </c>
      <c r="H1945" t="str">
        <f>TEXT(walmart[[#This Row],[Purchase_Date]],"DDD")</f>
        <v>Sat</v>
      </c>
      <c r="I1945" t="str">
        <f>TEXT(walmart[[#This Row],[Purchase_Date]],"MMM")</f>
        <v>Oct</v>
      </c>
      <c r="J1945" t="str">
        <f>TEXT(walmart[[#This Row],[Purchase_Date]],"YYY")</f>
        <v>2024</v>
      </c>
      <c r="K1945" s="3">
        <v>485.26</v>
      </c>
      <c r="L1945" t="str">
        <f t="shared" si="136"/>
        <v>5% off</v>
      </c>
      <c r="N1945" t="str">
        <f t="shared" si="137"/>
        <v>Yes</v>
      </c>
      <c r="O1945" t="s">
        <v>21</v>
      </c>
      <c r="P1945" s="3">
        <f t="shared" si="138"/>
        <v>485.26</v>
      </c>
      <c r="Q1945" t="s">
        <v>35</v>
      </c>
      <c r="R1945">
        <v>3</v>
      </c>
      <c r="S1945" t="str">
        <f t="shared" si="139"/>
        <v>Average</v>
      </c>
    </row>
    <row r="1946" spans="1:19" x14ac:dyDescent="0.25">
      <c r="A1946" t="s">
        <v>2370</v>
      </c>
      <c r="B1946">
        <v>68</v>
      </c>
      <c r="C1946" t="s">
        <v>29</v>
      </c>
      <c r="D1946" t="s">
        <v>2505</v>
      </c>
      <c r="E1946" t="s">
        <v>31</v>
      </c>
      <c r="F1946" t="s">
        <v>169</v>
      </c>
      <c r="G1946" t="s">
        <v>321</v>
      </c>
      <c r="H1946" t="str">
        <f>TEXT(walmart[[#This Row],[Purchase_Date]],"DDD")</f>
        <v>Tue</v>
      </c>
      <c r="I1946" t="str">
        <f>TEXT(walmart[[#This Row],[Purchase_Date]],"MMM")</f>
        <v>Dec</v>
      </c>
      <c r="J1946" t="str">
        <f>TEXT(walmart[[#This Row],[Purchase_Date]],"YYY")</f>
        <v>2024</v>
      </c>
      <c r="K1946" s="3">
        <v>52.44</v>
      </c>
      <c r="L1946" t="str">
        <f t="shared" si="136"/>
        <v>0% off</v>
      </c>
      <c r="N1946" t="str">
        <f t="shared" si="137"/>
        <v>No</v>
      </c>
      <c r="O1946" t="s">
        <v>34</v>
      </c>
      <c r="P1946" s="3">
        <f t="shared" si="138"/>
        <v>52.44</v>
      </c>
      <c r="Q1946" t="s">
        <v>47</v>
      </c>
      <c r="R1946">
        <v>1</v>
      </c>
      <c r="S1946" t="str">
        <f t="shared" si="139"/>
        <v>Very Poor</v>
      </c>
    </row>
    <row r="1947" spans="1:19" x14ac:dyDescent="0.25">
      <c r="A1947" t="s">
        <v>2371</v>
      </c>
      <c r="B1947">
        <v>68</v>
      </c>
      <c r="C1947" t="s">
        <v>16</v>
      </c>
      <c r="D1947" t="s">
        <v>2562</v>
      </c>
      <c r="E1947" t="s">
        <v>37</v>
      </c>
      <c r="F1947" t="s">
        <v>97</v>
      </c>
      <c r="G1947" t="s">
        <v>978</v>
      </c>
      <c r="H1947" t="str">
        <f>TEXT(walmart[[#This Row],[Purchase_Date]],"DDD")</f>
        <v>Sun</v>
      </c>
      <c r="I1947" t="str">
        <f>TEXT(walmart[[#This Row],[Purchase_Date]],"MMM")</f>
        <v>Jun</v>
      </c>
      <c r="J1947" t="str">
        <f>TEXT(walmart[[#This Row],[Purchase_Date]],"YYY")</f>
        <v>2024</v>
      </c>
      <c r="K1947" s="3">
        <v>855.21</v>
      </c>
      <c r="L1947" t="str">
        <f t="shared" si="136"/>
        <v>15% off</v>
      </c>
      <c r="N1947" t="str">
        <f t="shared" si="137"/>
        <v>Yes</v>
      </c>
      <c r="O1947" t="s">
        <v>34</v>
      </c>
      <c r="P1947" s="3">
        <f t="shared" si="138"/>
        <v>855.21</v>
      </c>
      <c r="Q1947" t="s">
        <v>35</v>
      </c>
      <c r="R1947">
        <v>2</v>
      </c>
      <c r="S1947" t="str">
        <f t="shared" si="139"/>
        <v>Poor</v>
      </c>
    </row>
    <row r="1948" spans="1:19" x14ac:dyDescent="0.25">
      <c r="A1948" t="s">
        <v>2372</v>
      </c>
      <c r="B1948">
        <v>57</v>
      </c>
      <c r="C1948" t="s">
        <v>29</v>
      </c>
      <c r="D1948" t="s">
        <v>2563</v>
      </c>
      <c r="E1948" t="s">
        <v>18</v>
      </c>
      <c r="F1948" t="s">
        <v>19</v>
      </c>
      <c r="G1948" t="s">
        <v>128</v>
      </c>
      <c r="H1948" t="str">
        <f>TEXT(walmart[[#This Row],[Purchase_Date]],"DDD")</f>
        <v>Sun</v>
      </c>
      <c r="I1948" t="str">
        <f>TEXT(walmart[[#This Row],[Purchase_Date]],"MMM")</f>
        <v>Jul</v>
      </c>
      <c r="J1948" t="str">
        <f>TEXT(walmart[[#This Row],[Purchase_Date]],"YYY")</f>
        <v>2024</v>
      </c>
      <c r="K1948" s="3">
        <v>697.86</v>
      </c>
      <c r="L1948" t="str">
        <f t="shared" si="136"/>
        <v>10% off</v>
      </c>
      <c r="N1948" t="str">
        <f t="shared" si="137"/>
        <v>Yes</v>
      </c>
      <c r="O1948" t="s">
        <v>34</v>
      </c>
      <c r="P1948" s="3">
        <f t="shared" si="138"/>
        <v>697.86</v>
      </c>
      <c r="Q1948" t="s">
        <v>35</v>
      </c>
      <c r="R1948">
        <v>1</v>
      </c>
      <c r="S1948" t="str">
        <f t="shared" si="139"/>
        <v>Very Poor</v>
      </c>
    </row>
    <row r="1949" spans="1:19" x14ac:dyDescent="0.25">
      <c r="A1949" t="s">
        <v>2373</v>
      </c>
      <c r="B1949">
        <v>50</v>
      </c>
      <c r="C1949" t="s">
        <v>16</v>
      </c>
      <c r="D1949" t="s">
        <v>2564</v>
      </c>
      <c r="E1949" t="s">
        <v>31</v>
      </c>
      <c r="F1949" t="s">
        <v>32</v>
      </c>
      <c r="G1949" t="s">
        <v>480</v>
      </c>
      <c r="H1949" t="str">
        <f>TEXT(walmart[[#This Row],[Purchase_Date]],"DDD")</f>
        <v>Mon</v>
      </c>
      <c r="I1949" t="str">
        <f>TEXT(walmart[[#This Row],[Purchase_Date]],"MMM")</f>
        <v>Oct</v>
      </c>
      <c r="J1949" t="str">
        <f>TEXT(walmart[[#This Row],[Purchase_Date]],"YYY")</f>
        <v>2024</v>
      </c>
      <c r="K1949" s="3">
        <v>493.96</v>
      </c>
      <c r="L1949" t="str">
        <f t="shared" si="136"/>
        <v>5% off</v>
      </c>
      <c r="N1949" t="str">
        <f t="shared" si="137"/>
        <v>Yes</v>
      </c>
      <c r="O1949" t="s">
        <v>21</v>
      </c>
      <c r="P1949" s="3">
        <f t="shared" si="138"/>
        <v>493.96</v>
      </c>
      <c r="Q1949" t="s">
        <v>27</v>
      </c>
      <c r="R1949">
        <v>2</v>
      </c>
      <c r="S1949" t="str">
        <f t="shared" si="139"/>
        <v>Poor</v>
      </c>
    </row>
    <row r="1950" spans="1:19" x14ac:dyDescent="0.25">
      <c r="A1950" t="s">
        <v>2374</v>
      </c>
      <c r="B1950">
        <v>40</v>
      </c>
      <c r="C1950" t="s">
        <v>29</v>
      </c>
      <c r="D1950" t="s">
        <v>2565</v>
      </c>
      <c r="E1950" t="s">
        <v>18</v>
      </c>
      <c r="F1950" t="s">
        <v>77</v>
      </c>
      <c r="G1950" t="s">
        <v>219</v>
      </c>
      <c r="H1950" t="str">
        <f>TEXT(walmart[[#This Row],[Purchase_Date]],"DDD")</f>
        <v>Thu</v>
      </c>
      <c r="I1950" t="str">
        <f>TEXT(walmart[[#This Row],[Purchase_Date]],"MMM")</f>
        <v>Aug</v>
      </c>
      <c r="J1950" t="str">
        <f>TEXT(walmart[[#This Row],[Purchase_Date]],"YYY")</f>
        <v>2024</v>
      </c>
      <c r="K1950" s="3">
        <v>116.78</v>
      </c>
      <c r="L1950" t="str">
        <f t="shared" si="136"/>
        <v>0% off</v>
      </c>
      <c r="N1950" t="str">
        <f t="shared" si="137"/>
        <v>No</v>
      </c>
      <c r="O1950" t="s">
        <v>34</v>
      </c>
      <c r="P1950" s="3">
        <f t="shared" si="138"/>
        <v>116.78</v>
      </c>
      <c r="Q1950" t="s">
        <v>35</v>
      </c>
      <c r="R1950">
        <v>5</v>
      </c>
      <c r="S1950" t="str">
        <f t="shared" si="139"/>
        <v>Excellent</v>
      </c>
    </row>
    <row r="1951" spans="1:19" x14ac:dyDescent="0.25">
      <c r="A1951" t="s">
        <v>2375</v>
      </c>
      <c r="B1951">
        <v>38</v>
      </c>
      <c r="C1951" t="s">
        <v>16</v>
      </c>
      <c r="D1951" t="s">
        <v>2566</v>
      </c>
      <c r="E1951" t="s">
        <v>73</v>
      </c>
      <c r="F1951" t="s">
        <v>94</v>
      </c>
      <c r="G1951" t="s">
        <v>1043</v>
      </c>
      <c r="H1951" t="str">
        <f>TEXT(walmart[[#This Row],[Purchase_Date]],"DDD")</f>
        <v>Sun</v>
      </c>
      <c r="I1951" t="str">
        <f>TEXT(walmart[[#This Row],[Purchase_Date]],"MMM")</f>
        <v>Sep</v>
      </c>
      <c r="J1951" t="str">
        <f>TEXT(walmart[[#This Row],[Purchase_Date]],"YYY")</f>
        <v>2024</v>
      </c>
      <c r="K1951" s="3">
        <v>965.09</v>
      </c>
      <c r="L1951" t="str">
        <f t="shared" si="136"/>
        <v>20% off</v>
      </c>
      <c r="N1951" t="str">
        <f t="shared" si="137"/>
        <v>Yes</v>
      </c>
      <c r="O1951" t="s">
        <v>34</v>
      </c>
      <c r="P1951" s="3">
        <f t="shared" si="138"/>
        <v>965.09</v>
      </c>
      <c r="Q1951" t="s">
        <v>47</v>
      </c>
      <c r="R1951">
        <v>1</v>
      </c>
      <c r="S1951" t="str">
        <f t="shared" si="139"/>
        <v>Very Poor</v>
      </c>
    </row>
    <row r="1952" spans="1:19" x14ac:dyDescent="0.25">
      <c r="A1952" t="s">
        <v>2376</v>
      </c>
      <c r="B1952">
        <v>67</v>
      </c>
      <c r="C1952" t="s">
        <v>16</v>
      </c>
      <c r="D1952" t="s">
        <v>2433</v>
      </c>
      <c r="E1952" t="s">
        <v>24</v>
      </c>
      <c r="F1952" t="s">
        <v>162</v>
      </c>
      <c r="G1952" t="s">
        <v>510</v>
      </c>
      <c r="H1952" t="str">
        <f>TEXT(walmart[[#This Row],[Purchase_Date]],"DDD")</f>
        <v>Tue</v>
      </c>
      <c r="I1952" t="str">
        <f>TEXT(walmart[[#This Row],[Purchase_Date]],"MMM")</f>
        <v>Feb</v>
      </c>
      <c r="J1952" t="str">
        <f>TEXT(walmart[[#This Row],[Purchase_Date]],"YYY")</f>
        <v>2025</v>
      </c>
      <c r="K1952" s="3">
        <v>362.55</v>
      </c>
      <c r="L1952" t="str">
        <f t="shared" si="136"/>
        <v>5% off</v>
      </c>
      <c r="N1952" t="str">
        <f t="shared" si="137"/>
        <v>Yes</v>
      </c>
      <c r="O1952" t="s">
        <v>21</v>
      </c>
      <c r="P1952" s="3">
        <f t="shared" si="138"/>
        <v>362.55</v>
      </c>
      <c r="Q1952" t="s">
        <v>35</v>
      </c>
      <c r="R1952">
        <v>1</v>
      </c>
      <c r="S1952" t="str">
        <f t="shared" si="139"/>
        <v>Very Poor</v>
      </c>
    </row>
    <row r="1953" spans="1:19" x14ac:dyDescent="0.25">
      <c r="A1953" t="s">
        <v>2377</v>
      </c>
      <c r="B1953">
        <v>67</v>
      </c>
      <c r="C1953" t="s">
        <v>29</v>
      </c>
      <c r="D1953" t="s">
        <v>49</v>
      </c>
      <c r="E1953" t="s">
        <v>55</v>
      </c>
      <c r="F1953" t="s">
        <v>56</v>
      </c>
      <c r="G1953" t="s">
        <v>630</v>
      </c>
      <c r="H1953" t="str">
        <f>TEXT(walmart[[#This Row],[Purchase_Date]],"DDD")</f>
        <v>Tue</v>
      </c>
      <c r="I1953" t="str">
        <f>TEXT(walmart[[#This Row],[Purchase_Date]],"MMM")</f>
        <v>Mar</v>
      </c>
      <c r="J1953" t="str">
        <f>TEXT(walmart[[#This Row],[Purchase_Date]],"YYY")</f>
        <v>2025</v>
      </c>
      <c r="K1953" s="3">
        <v>76.81</v>
      </c>
      <c r="L1953" t="str">
        <f t="shared" si="136"/>
        <v>0% off</v>
      </c>
      <c r="N1953" t="str">
        <f t="shared" si="137"/>
        <v>No</v>
      </c>
      <c r="O1953" t="s">
        <v>34</v>
      </c>
      <c r="P1953" s="3">
        <f t="shared" si="138"/>
        <v>76.81</v>
      </c>
      <c r="Q1953" t="s">
        <v>27</v>
      </c>
      <c r="R1953">
        <v>4</v>
      </c>
      <c r="S1953" t="str">
        <f t="shared" si="139"/>
        <v>Good</v>
      </c>
    </row>
    <row r="1954" spans="1:19" x14ac:dyDescent="0.25">
      <c r="A1954" t="s">
        <v>2378</v>
      </c>
      <c r="B1954">
        <v>43</v>
      </c>
      <c r="C1954" t="s">
        <v>29</v>
      </c>
      <c r="D1954" t="s">
        <v>30</v>
      </c>
      <c r="E1954" t="s">
        <v>31</v>
      </c>
      <c r="F1954" t="s">
        <v>300</v>
      </c>
      <c r="G1954" t="s">
        <v>302</v>
      </c>
      <c r="H1954" t="str">
        <f>TEXT(walmart[[#This Row],[Purchase_Date]],"DDD")</f>
        <v>Sun</v>
      </c>
      <c r="I1954" t="str">
        <f>TEXT(walmart[[#This Row],[Purchase_Date]],"MMM")</f>
        <v>Mar</v>
      </c>
      <c r="J1954" t="str">
        <f>TEXT(walmart[[#This Row],[Purchase_Date]],"YYY")</f>
        <v>2025</v>
      </c>
      <c r="K1954" s="3">
        <v>340.04</v>
      </c>
      <c r="L1954" t="str">
        <f t="shared" si="136"/>
        <v>5% off</v>
      </c>
      <c r="N1954" t="str">
        <f t="shared" si="137"/>
        <v>Yes</v>
      </c>
      <c r="O1954" t="s">
        <v>21</v>
      </c>
      <c r="P1954" s="3">
        <f t="shared" si="138"/>
        <v>340.04</v>
      </c>
      <c r="Q1954" t="s">
        <v>47</v>
      </c>
      <c r="R1954">
        <v>5</v>
      </c>
      <c r="S1954" t="str">
        <f t="shared" si="139"/>
        <v>Excellent</v>
      </c>
    </row>
    <row r="1955" spans="1:19" x14ac:dyDescent="0.25">
      <c r="A1955" t="s">
        <v>2379</v>
      </c>
      <c r="B1955">
        <v>70</v>
      </c>
      <c r="C1955" t="s">
        <v>29</v>
      </c>
      <c r="D1955" t="s">
        <v>41</v>
      </c>
      <c r="E1955" t="s">
        <v>24</v>
      </c>
      <c r="F1955" t="s">
        <v>186</v>
      </c>
      <c r="G1955" t="s">
        <v>231</v>
      </c>
      <c r="H1955" t="str">
        <f>TEXT(walmart[[#This Row],[Purchase_Date]],"DDD")</f>
        <v>Thu</v>
      </c>
      <c r="I1955" t="str">
        <f>TEXT(walmart[[#This Row],[Purchase_Date]],"MMM")</f>
        <v>Oct</v>
      </c>
      <c r="J1955" t="str">
        <f>TEXT(walmart[[#This Row],[Purchase_Date]],"YYY")</f>
        <v>2024</v>
      </c>
      <c r="K1955" s="3">
        <v>527.16999999999996</v>
      </c>
      <c r="L1955" t="str">
        <f t="shared" si="136"/>
        <v>10% off</v>
      </c>
      <c r="N1955" t="str">
        <f t="shared" si="137"/>
        <v>Yes</v>
      </c>
      <c r="O1955" t="s">
        <v>21</v>
      </c>
      <c r="P1955" s="3">
        <f t="shared" si="138"/>
        <v>527.16999999999996</v>
      </c>
      <c r="Q1955" t="s">
        <v>47</v>
      </c>
      <c r="R1955">
        <v>3</v>
      </c>
      <c r="S1955" t="str">
        <f t="shared" si="139"/>
        <v>Average</v>
      </c>
    </row>
    <row r="1956" spans="1:19" x14ac:dyDescent="0.25">
      <c r="A1956" t="s">
        <v>2380</v>
      </c>
      <c r="B1956">
        <v>59</v>
      </c>
      <c r="C1956" t="s">
        <v>29</v>
      </c>
      <c r="D1956" t="s">
        <v>2434</v>
      </c>
      <c r="E1956" t="s">
        <v>31</v>
      </c>
      <c r="F1956" t="s">
        <v>32</v>
      </c>
      <c r="G1956" t="s">
        <v>57</v>
      </c>
      <c r="H1956" t="str">
        <f>TEXT(walmart[[#This Row],[Purchase_Date]],"DDD")</f>
        <v>Wed</v>
      </c>
      <c r="I1956" t="str">
        <f>TEXT(walmart[[#This Row],[Purchase_Date]],"MMM")</f>
        <v>May</v>
      </c>
      <c r="J1956" t="str">
        <f>TEXT(walmart[[#This Row],[Purchase_Date]],"YYY")</f>
        <v>2024</v>
      </c>
      <c r="K1956" s="3">
        <v>493.96</v>
      </c>
      <c r="L1956" t="str">
        <f t="shared" si="136"/>
        <v>5% off</v>
      </c>
      <c r="N1956" t="str">
        <f t="shared" si="137"/>
        <v>Yes</v>
      </c>
      <c r="O1956" t="s">
        <v>34</v>
      </c>
      <c r="P1956" s="3">
        <f t="shared" si="138"/>
        <v>493.96</v>
      </c>
      <c r="Q1956" t="s">
        <v>35</v>
      </c>
      <c r="R1956">
        <v>3</v>
      </c>
      <c r="S1956" t="str">
        <f t="shared" si="139"/>
        <v>Average</v>
      </c>
    </row>
    <row r="1957" spans="1:19" x14ac:dyDescent="0.25">
      <c r="A1957" t="s">
        <v>2381</v>
      </c>
      <c r="B1957">
        <v>60</v>
      </c>
      <c r="C1957" t="s">
        <v>29</v>
      </c>
      <c r="D1957" t="s">
        <v>2435</v>
      </c>
      <c r="E1957" t="s">
        <v>18</v>
      </c>
      <c r="F1957" t="s">
        <v>142</v>
      </c>
      <c r="G1957" t="s">
        <v>514</v>
      </c>
      <c r="H1957" t="str">
        <f>TEXT(walmart[[#This Row],[Purchase_Date]],"DDD")</f>
        <v>Sat</v>
      </c>
      <c r="I1957" t="str">
        <f>TEXT(walmart[[#This Row],[Purchase_Date]],"MMM")</f>
        <v>Feb</v>
      </c>
      <c r="J1957" t="str">
        <f>TEXT(walmart[[#This Row],[Purchase_Date]],"YYY")</f>
        <v>2025</v>
      </c>
      <c r="K1957" s="3">
        <v>485.26</v>
      </c>
      <c r="L1957" t="str">
        <f t="shared" si="136"/>
        <v>5% off</v>
      </c>
      <c r="N1957" t="str">
        <f t="shared" si="137"/>
        <v>Yes</v>
      </c>
      <c r="O1957" t="s">
        <v>34</v>
      </c>
      <c r="P1957" s="3">
        <f t="shared" si="138"/>
        <v>485.26</v>
      </c>
      <c r="Q1957" t="s">
        <v>47</v>
      </c>
      <c r="R1957">
        <v>5</v>
      </c>
      <c r="S1957" t="str">
        <f t="shared" si="139"/>
        <v>Excellent</v>
      </c>
    </row>
    <row r="1958" spans="1:19" x14ac:dyDescent="0.25">
      <c r="A1958" t="s">
        <v>2382</v>
      </c>
      <c r="B1958">
        <v>64</v>
      </c>
      <c r="C1958" t="s">
        <v>29</v>
      </c>
      <c r="D1958" t="s">
        <v>2436</v>
      </c>
      <c r="E1958" t="s">
        <v>31</v>
      </c>
      <c r="F1958" t="s">
        <v>32</v>
      </c>
      <c r="G1958" t="s">
        <v>955</v>
      </c>
      <c r="H1958" t="str">
        <f>TEXT(walmart[[#This Row],[Purchase_Date]],"DDD")</f>
        <v>Sun</v>
      </c>
      <c r="I1958" t="str">
        <f>TEXT(walmart[[#This Row],[Purchase_Date]],"MMM")</f>
        <v>Jun</v>
      </c>
      <c r="J1958" t="str">
        <f>TEXT(walmart[[#This Row],[Purchase_Date]],"YYY")</f>
        <v>2024</v>
      </c>
      <c r="K1958" s="3">
        <v>493.96</v>
      </c>
      <c r="L1958" t="str">
        <f t="shared" si="136"/>
        <v>5% off</v>
      </c>
      <c r="N1958" t="str">
        <f t="shared" si="137"/>
        <v>Yes</v>
      </c>
      <c r="O1958" t="s">
        <v>21</v>
      </c>
      <c r="P1958" s="3">
        <f t="shared" si="138"/>
        <v>493.96</v>
      </c>
      <c r="Q1958" t="s">
        <v>35</v>
      </c>
      <c r="R1958">
        <v>2</v>
      </c>
      <c r="S1958" t="str">
        <f t="shared" si="139"/>
        <v>Poor</v>
      </c>
    </row>
    <row r="1959" spans="1:19" x14ac:dyDescent="0.25">
      <c r="A1959" t="s">
        <v>2383</v>
      </c>
      <c r="B1959">
        <v>27</v>
      </c>
      <c r="C1959" t="s">
        <v>16</v>
      </c>
      <c r="D1959" t="s">
        <v>2437</v>
      </c>
      <c r="E1959" t="s">
        <v>31</v>
      </c>
      <c r="F1959" t="s">
        <v>169</v>
      </c>
      <c r="G1959" t="s">
        <v>1101</v>
      </c>
      <c r="H1959" t="str">
        <f>TEXT(walmart[[#This Row],[Purchase_Date]],"DDD")</f>
        <v>Thu</v>
      </c>
      <c r="I1959" t="str">
        <f>TEXT(walmart[[#This Row],[Purchase_Date]],"MMM")</f>
        <v>Mar</v>
      </c>
      <c r="J1959" t="str">
        <f>TEXT(walmart[[#This Row],[Purchase_Date]],"YYY")</f>
        <v>2025</v>
      </c>
      <c r="K1959" s="3">
        <v>52.44</v>
      </c>
      <c r="L1959" t="str">
        <f t="shared" si="136"/>
        <v>0% off</v>
      </c>
      <c r="N1959" t="str">
        <f t="shared" si="137"/>
        <v>No</v>
      </c>
      <c r="O1959" t="s">
        <v>34</v>
      </c>
      <c r="P1959" s="3">
        <f t="shared" si="138"/>
        <v>52.44</v>
      </c>
      <c r="Q1959" t="s">
        <v>27</v>
      </c>
      <c r="R1959">
        <v>4</v>
      </c>
      <c r="S1959" t="str">
        <f t="shared" si="139"/>
        <v>Good</v>
      </c>
    </row>
    <row r="1960" spans="1:19" x14ac:dyDescent="0.25">
      <c r="A1960" t="s">
        <v>2384</v>
      </c>
      <c r="B1960">
        <v>50</v>
      </c>
      <c r="C1960" t="s">
        <v>29</v>
      </c>
      <c r="D1960" t="s">
        <v>2438</v>
      </c>
      <c r="E1960" t="s">
        <v>73</v>
      </c>
      <c r="F1960" t="s">
        <v>91</v>
      </c>
      <c r="G1960" t="s">
        <v>285</v>
      </c>
      <c r="H1960" t="str">
        <f>TEXT(walmart[[#This Row],[Purchase_Date]],"DDD")</f>
        <v>Sun</v>
      </c>
      <c r="I1960" t="str">
        <f>TEXT(walmart[[#This Row],[Purchase_Date]],"MMM")</f>
        <v>Feb</v>
      </c>
      <c r="J1960" t="str">
        <f>TEXT(walmart[[#This Row],[Purchase_Date]],"YYY")</f>
        <v>2025</v>
      </c>
      <c r="K1960" s="3">
        <v>418.55</v>
      </c>
      <c r="L1960" t="str">
        <f t="shared" si="136"/>
        <v>5% off</v>
      </c>
      <c r="N1960" t="str">
        <f t="shared" si="137"/>
        <v>Yes</v>
      </c>
      <c r="O1960" t="s">
        <v>21</v>
      </c>
      <c r="P1960" s="3">
        <f t="shared" si="138"/>
        <v>418.55</v>
      </c>
      <c r="Q1960" t="s">
        <v>47</v>
      </c>
      <c r="R1960">
        <v>4</v>
      </c>
      <c r="S1960" t="str">
        <f t="shared" si="139"/>
        <v>Good</v>
      </c>
    </row>
    <row r="1961" spans="1:19" x14ac:dyDescent="0.25">
      <c r="A1961" t="s">
        <v>2385</v>
      </c>
      <c r="B1961">
        <v>56</v>
      </c>
      <c r="C1961" t="s">
        <v>29</v>
      </c>
      <c r="D1961" t="s">
        <v>2439</v>
      </c>
      <c r="E1961" t="s">
        <v>31</v>
      </c>
      <c r="F1961" t="s">
        <v>300</v>
      </c>
      <c r="G1961" t="s">
        <v>340</v>
      </c>
      <c r="H1961" t="str">
        <f>TEXT(walmart[[#This Row],[Purchase_Date]],"DDD")</f>
        <v>Thu</v>
      </c>
      <c r="I1961" t="str">
        <f>TEXT(walmart[[#This Row],[Purchase_Date]],"MMM")</f>
        <v>Jun</v>
      </c>
      <c r="J1961" t="str">
        <f>TEXT(walmart[[#This Row],[Purchase_Date]],"YYY")</f>
        <v>2024</v>
      </c>
      <c r="K1961" s="3">
        <v>340.04</v>
      </c>
      <c r="L1961" t="str">
        <f t="shared" si="136"/>
        <v>5% off</v>
      </c>
      <c r="N1961" t="str">
        <f t="shared" si="137"/>
        <v>Yes</v>
      </c>
      <c r="O1961" t="s">
        <v>21</v>
      </c>
      <c r="P1961" s="3">
        <f t="shared" si="138"/>
        <v>340.04</v>
      </c>
      <c r="Q1961" t="s">
        <v>47</v>
      </c>
      <c r="R1961">
        <v>2</v>
      </c>
      <c r="S1961" t="str">
        <f t="shared" si="139"/>
        <v>Poor</v>
      </c>
    </row>
    <row r="1962" spans="1:19" x14ac:dyDescent="0.25">
      <c r="A1962" t="s">
        <v>2386</v>
      </c>
      <c r="B1962">
        <v>69</v>
      </c>
      <c r="C1962" t="s">
        <v>16</v>
      </c>
      <c r="D1962" t="s">
        <v>2440</v>
      </c>
      <c r="E1962" t="s">
        <v>18</v>
      </c>
      <c r="F1962" t="s">
        <v>77</v>
      </c>
      <c r="G1962" t="s">
        <v>205</v>
      </c>
      <c r="H1962" t="str">
        <f>TEXT(walmart[[#This Row],[Purchase_Date]],"DDD")</f>
        <v>Mon</v>
      </c>
      <c r="I1962" t="str">
        <f>TEXT(walmart[[#This Row],[Purchase_Date]],"MMM")</f>
        <v>Nov</v>
      </c>
      <c r="J1962" t="str">
        <f>TEXT(walmart[[#This Row],[Purchase_Date]],"YYY")</f>
        <v>2024</v>
      </c>
      <c r="K1962" s="3">
        <v>116.78</v>
      </c>
      <c r="L1962" t="str">
        <f t="shared" si="136"/>
        <v>0% off</v>
      </c>
      <c r="N1962" t="str">
        <f t="shared" si="137"/>
        <v>No</v>
      </c>
      <c r="O1962" t="s">
        <v>34</v>
      </c>
      <c r="P1962" s="3">
        <f t="shared" si="138"/>
        <v>116.78</v>
      </c>
      <c r="Q1962" t="s">
        <v>35</v>
      </c>
      <c r="R1962">
        <v>3</v>
      </c>
      <c r="S1962" t="str">
        <f t="shared" si="139"/>
        <v>Average</v>
      </c>
    </row>
    <row r="1963" spans="1:19" x14ac:dyDescent="0.25">
      <c r="A1963" t="s">
        <v>2387</v>
      </c>
      <c r="B1963">
        <v>21</v>
      </c>
      <c r="C1963" t="s">
        <v>29</v>
      </c>
      <c r="D1963" t="s">
        <v>2441</v>
      </c>
      <c r="E1963" t="s">
        <v>31</v>
      </c>
      <c r="F1963" t="s">
        <v>169</v>
      </c>
      <c r="G1963" t="s">
        <v>128</v>
      </c>
      <c r="H1963" t="str">
        <f>TEXT(walmart[[#This Row],[Purchase_Date]],"DDD")</f>
        <v>Sun</v>
      </c>
      <c r="I1963" t="str">
        <f>TEXT(walmart[[#This Row],[Purchase_Date]],"MMM")</f>
        <v>Jul</v>
      </c>
      <c r="J1963" t="str">
        <f>TEXT(walmart[[#This Row],[Purchase_Date]],"YYY")</f>
        <v>2024</v>
      </c>
      <c r="K1963" s="3">
        <v>52.44</v>
      </c>
      <c r="L1963" t="str">
        <f t="shared" si="136"/>
        <v>0% off</v>
      </c>
      <c r="N1963" t="str">
        <f t="shared" si="137"/>
        <v>No</v>
      </c>
      <c r="O1963" t="s">
        <v>21</v>
      </c>
      <c r="P1963" s="3">
        <f t="shared" si="138"/>
        <v>52.44</v>
      </c>
      <c r="Q1963" t="s">
        <v>22</v>
      </c>
      <c r="R1963">
        <v>2</v>
      </c>
      <c r="S1963" t="str">
        <f t="shared" si="139"/>
        <v>Poor</v>
      </c>
    </row>
    <row r="1964" spans="1:19" x14ac:dyDescent="0.25">
      <c r="A1964" t="s">
        <v>2388</v>
      </c>
      <c r="B1964">
        <v>26</v>
      </c>
      <c r="C1964" t="s">
        <v>16</v>
      </c>
      <c r="D1964" t="s">
        <v>17</v>
      </c>
      <c r="E1964" t="s">
        <v>37</v>
      </c>
      <c r="F1964" t="s">
        <v>97</v>
      </c>
      <c r="G1964" t="s">
        <v>814</v>
      </c>
      <c r="H1964" t="str">
        <f>TEXT(walmart[[#This Row],[Purchase_Date]],"DDD")</f>
        <v>Thu</v>
      </c>
      <c r="I1964" t="str">
        <f>TEXT(walmart[[#This Row],[Purchase_Date]],"MMM")</f>
        <v>Apr</v>
      </c>
      <c r="J1964" t="str">
        <f>TEXT(walmart[[#This Row],[Purchase_Date]],"YYY")</f>
        <v>2024</v>
      </c>
      <c r="K1964" s="3">
        <v>855.21</v>
      </c>
      <c r="L1964" t="str">
        <f t="shared" si="136"/>
        <v>15% off</v>
      </c>
      <c r="N1964" t="str">
        <f t="shared" si="137"/>
        <v>Yes</v>
      </c>
      <c r="O1964" t="s">
        <v>21</v>
      </c>
      <c r="P1964" s="3">
        <f t="shared" si="138"/>
        <v>855.21</v>
      </c>
      <c r="Q1964" t="s">
        <v>27</v>
      </c>
      <c r="R1964">
        <v>2</v>
      </c>
      <c r="S1964" t="str">
        <f t="shared" si="139"/>
        <v>Poor</v>
      </c>
    </row>
    <row r="1965" spans="1:19" x14ac:dyDescent="0.25">
      <c r="A1965" t="s">
        <v>2389</v>
      </c>
      <c r="B1965">
        <v>44</v>
      </c>
      <c r="C1965" t="s">
        <v>29</v>
      </c>
      <c r="D1965" t="s">
        <v>2442</v>
      </c>
      <c r="E1965" t="s">
        <v>73</v>
      </c>
      <c r="F1965" t="s">
        <v>91</v>
      </c>
      <c r="G1965" t="s">
        <v>92</v>
      </c>
      <c r="H1965" t="str">
        <f>TEXT(walmart[[#This Row],[Purchase_Date]],"DDD")</f>
        <v>Sun</v>
      </c>
      <c r="I1965" t="str">
        <f>TEXT(walmart[[#This Row],[Purchase_Date]],"MMM")</f>
        <v>May</v>
      </c>
      <c r="J1965" t="str">
        <f>TEXT(walmart[[#This Row],[Purchase_Date]],"YYY")</f>
        <v>2024</v>
      </c>
      <c r="K1965" s="3">
        <v>418.55</v>
      </c>
      <c r="L1965" t="str">
        <f t="shared" si="136"/>
        <v>5% off</v>
      </c>
      <c r="N1965" t="str">
        <f t="shared" si="137"/>
        <v>Yes</v>
      </c>
      <c r="O1965" t="s">
        <v>21</v>
      </c>
      <c r="P1965" s="3">
        <f t="shared" si="138"/>
        <v>418.55</v>
      </c>
      <c r="Q1965" t="s">
        <v>47</v>
      </c>
      <c r="R1965">
        <v>3</v>
      </c>
      <c r="S1965" t="str">
        <f t="shared" si="139"/>
        <v>Average</v>
      </c>
    </row>
    <row r="1966" spans="1:19" x14ac:dyDescent="0.25">
      <c r="A1966" t="s">
        <v>2390</v>
      </c>
      <c r="B1966">
        <v>52</v>
      </c>
      <c r="C1966" t="s">
        <v>29</v>
      </c>
      <c r="D1966" t="s">
        <v>2443</v>
      </c>
      <c r="E1966" t="s">
        <v>73</v>
      </c>
      <c r="F1966" t="s">
        <v>74</v>
      </c>
      <c r="G1966" t="s">
        <v>508</v>
      </c>
      <c r="H1966" t="str">
        <f>TEXT(walmart[[#This Row],[Purchase_Date]],"DDD")</f>
        <v>Thu</v>
      </c>
      <c r="I1966" t="str">
        <f>TEXT(walmart[[#This Row],[Purchase_Date]],"MMM")</f>
        <v>Jul</v>
      </c>
      <c r="J1966" t="str">
        <f>TEXT(walmart[[#This Row],[Purchase_Date]],"YYY")</f>
        <v>2024</v>
      </c>
      <c r="K1966" s="3">
        <v>782.29</v>
      </c>
      <c r="L1966" t="str">
        <f t="shared" si="136"/>
        <v>15% off</v>
      </c>
      <c r="N1966" t="str">
        <f t="shared" si="137"/>
        <v>Yes</v>
      </c>
      <c r="O1966" t="s">
        <v>21</v>
      </c>
      <c r="P1966" s="3">
        <f t="shared" si="138"/>
        <v>782.29</v>
      </c>
      <c r="Q1966" t="s">
        <v>47</v>
      </c>
      <c r="R1966">
        <v>4</v>
      </c>
      <c r="S1966" t="str">
        <f t="shared" si="139"/>
        <v>Good</v>
      </c>
    </row>
    <row r="1967" spans="1:19" x14ac:dyDescent="0.25">
      <c r="A1967" t="s">
        <v>2391</v>
      </c>
      <c r="B1967">
        <v>67</v>
      </c>
      <c r="C1967" t="s">
        <v>29</v>
      </c>
      <c r="D1967" t="s">
        <v>2444</v>
      </c>
      <c r="E1967" t="s">
        <v>24</v>
      </c>
      <c r="F1967" t="s">
        <v>209</v>
      </c>
      <c r="G1967" t="s">
        <v>1203</v>
      </c>
      <c r="H1967" t="str">
        <f>TEXT(walmart[[#This Row],[Purchase_Date]],"DDD")</f>
        <v>Mon</v>
      </c>
      <c r="I1967" t="str">
        <f>TEXT(walmart[[#This Row],[Purchase_Date]],"MMM")</f>
        <v>Jul</v>
      </c>
      <c r="J1967" t="str">
        <f>TEXT(walmart[[#This Row],[Purchase_Date]],"YYY")</f>
        <v>2024</v>
      </c>
      <c r="K1967" s="3">
        <v>775.75</v>
      </c>
      <c r="L1967" t="str">
        <f t="shared" si="136"/>
        <v>15% off</v>
      </c>
      <c r="N1967" t="str">
        <f t="shared" si="137"/>
        <v>Yes</v>
      </c>
      <c r="O1967" t="s">
        <v>34</v>
      </c>
      <c r="P1967" s="3">
        <f t="shared" si="138"/>
        <v>775.75</v>
      </c>
      <c r="Q1967" t="s">
        <v>22</v>
      </c>
      <c r="R1967">
        <v>1</v>
      </c>
      <c r="S1967" t="str">
        <f t="shared" si="139"/>
        <v>Very Poor</v>
      </c>
    </row>
    <row r="1968" spans="1:19" x14ac:dyDescent="0.25">
      <c r="A1968" t="s">
        <v>2392</v>
      </c>
      <c r="B1968">
        <v>28</v>
      </c>
      <c r="C1968" t="s">
        <v>16</v>
      </c>
      <c r="D1968" t="s">
        <v>2445</v>
      </c>
      <c r="E1968" t="s">
        <v>37</v>
      </c>
      <c r="F1968" t="s">
        <v>97</v>
      </c>
      <c r="G1968" t="s">
        <v>65</v>
      </c>
      <c r="H1968" t="str">
        <f>TEXT(walmart[[#This Row],[Purchase_Date]],"DDD")</f>
        <v>Wed</v>
      </c>
      <c r="I1968" t="str">
        <f>TEXT(walmart[[#This Row],[Purchase_Date]],"MMM")</f>
        <v>Mar</v>
      </c>
      <c r="J1968" t="str">
        <f>TEXT(walmart[[#This Row],[Purchase_Date]],"YYY")</f>
        <v>2025</v>
      </c>
      <c r="K1968" s="3">
        <v>855.21</v>
      </c>
      <c r="L1968" t="str">
        <f t="shared" si="136"/>
        <v>15% off</v>
      </c>
      <c r="N1968" t="str">
        <f t="shared" si="137"/>
        <v>Yes</v>
      </c>
      <c r="O1968" t="s">
        <v>21</v>
      </c>
      <c r="P1968" s="3">
        <f t="shared" si="138"/>
        <v>855.21</v>
      </c>
      <c r="Q1968" t="s">
        <v>47</v>
      </c>
      <c r="R1968">
        <v>3</v>
      </c>
      <c r="S1968" t="str">
        <f t="shared" si="139"/>
        <v>Average</v>
      </c>
    </row>
    <row r="1969" spans="1:19" x14ac:dyDescent="0.25">
      <c r="A1969" t="s">
        <v>2393</v>
      </c>
      <c r="B1969">
        <v>51</v>
      </c>
      <c r="C1969" t="s">
        <v>29</v>
      </c>
      <c r="D1969" t="s">
        <v>2446</v>
      </c>
      <c r="E1969" t="s">
        <v>55</v>
      </c>
      <c r="F1969" t="s">
        <v>100</v>
      </c>
      <c r="G1969" t="s">
        <v>140</v>
      </c>
      <c r="H1969" t="str">
        <f>TEXT(walmart[[#This Row],[Purchase_Date]],"DDD")</f>
        <v>Sun</v>
      </c>
      <c r="I1969" t="str">
        <f>TEXT(walmart[[#This Row],[Purchase_Date]],"MMM")</f>
        <v>Mar</v>
      </c>
      <c r="J1969" t="str">
        <f>TEXT(walmart[[#This Row],[Purchase_Date]],"YYY")</f>
        <v>2025</v>
      </c>
      <c r="K1969" s="3">
        <v>592.26</v>
      </c>
      <c r="L1969" t="str">
        <f t="shared" si="136"/>
        <v>10% off</v>
      </c>
      <c r="N1969" t="str">
        <f t="shared" si="137"/>
        <v>Yes</v>
      </c>
      <c r="O1969" t="s">
        <v>21</v>
      </c>
      <c r="P1969" s="3">
        <f t="shared" si="138"/>
        <v>592.26</v>
      </c>
      <c r="Q1969" t="s">
        <v>35</v>
      </c>
      <c r="R1969">
        <v>2</v>
      </c>
      <c r="S1969" t="str">
        <f t="shared" si="139"/>
        <v>Poor</v>
      </c>
    </row>
    <row r="1970" spans="1:19" x14ac:dyDescent="0.25">
      <c r="A1970" t="s">
        <v>2394</v>
      </c>
      <c r="B1970">
        <v>67</v>
      </c>
      <c r="C1970" t="s">
        <v>16</v>
      </c>
      <c r="D1970" t="s">
        <v>2447</v>
      </c>
      <c r="E1970" t="s">
        <v>42</v>
      </c>
      <c r="F1970" t="s">
        <v>52</v>
      </c>
      <c r="G1970" t="s">
        <v>302</v>
      </c>
      <c r="H1970" t="str">
        <f>TEXT(walmart[[#This Row],[Purchase_Date]],"DDD")</f>
        <v>Sun</v>
      </c>
      <c r="I1970" t="str">
        <f>TEXT(walmart[[#This Row],[Purchase_Date]],"MMM")</f>
        <v>Mar</v>
      </c>
      <c r="J1970" t="str">
        <f>TEXT(walmart[[#This Row],[Purchase_Date]],"YYY")</f>
        <v>2025</v>
      </c>
      <c r="K1970" s="3">
        <v>988.77</v>
      </c>
      <c r="L1970" t="str">
        <f t="shared" si="136"/>
        <v>20% off</v>
      </c>
      <c r="N1970" t="str">
        <f t="shared" si="137"/>
        <v>Yes</v>
      </c>
      <c r="O1970" t="s">
        <v>34</v>
      </c>
      <c r="P1970" s="3">
        <f t="shared" si="138"/>
        <v>988.77</v>
      </c>
      <c r="Q1970" t="s">
        <v>22</v>
      </c>
      <c r="R1970">
        <v>3</v>
      </c>
      <c r="S1970" t="str">
        <f t="shared" si="139"/>
        <v>Average</v>
      </c>
    </row>
    <row r="1971" spans="1:19" x14ac:dyDescent="0.25">
      <c r="A1971" t="s">
        <v>2395</v>
      </c>
      <c r="B1971">
        <v>50</v>
      </c>
      <c r="C1971" t="s">
        <v>16</v>
      </c>
      <c r="D1971" t="s">
        <v>2448</v>
      </c>
      <c r="E1971" t="s">
        <v>42</v>
      </c>
      <c r="F1971" t="s">
        <v>103</v>
      </c>
      <c r="G1971" t="s">
        <v>376</v>
      </c>
      <c r="H1971" t="str">
        <f>TEXT(walmart[[#This Row],[Purchase_Date]],"DDD")</f>
        <v>Sun</v>
      </c>
      <c r="I1971" t="str">
        <f>TEXT(walmart[[#This Row],[Purchase_Date]],"MMM")</f>
        <v>Oct</v>
      </c>
      <c r="J1971" t="str">
        <f>TEXT(walmart[[#This Row],[Purchase_Date]],"YYY")</f>
        <v>2024</v>
      </c>
      <c r="K1971" s="3">
        <v>315.56</v>
      </c>
      <c r="L1971" t="str">
        <f t="shared" si="136"/>
        <v>5% off</v>
      </c>
      <c r="N1971" t="str">
        <f t="shared" si="137"/>
        <v>Yes</v>
      </c>
      <c r="O1971" t="s">
        <v>34</v>
      </c>
      <c r="P1971" s="3">
        <f t="shared" si="138"/>
        <v>315.56</v>
      </c>
      <c r="Q1971" t="s">
        <v>22</v>
      </c>
      <c r="R1971">
        <v>5</v>
      </c>
      <c r="S1971" t="str">
        <f t="shared" si="139"/>
        <v>Excellent</v>
      </c>
    </row>
    <row r="1972" spans="1:19" x14ac:dyDescent="0.25">
      <c r="A1972" t="s">
        <v>2396</v>
      </c>
      <c r="B1972">
        <v>34</v>
      </c>
      <c r="C1972" t="s">
        <v>16</v>
      </c>
      <c r="D1972" t="s">
        <v>2449</v>
      </c>
      <c r="E1972" t="s">
        <v>24</v>
      </c>
      <c r="F1972" t="s">
        <v>209</v>
      </c>
      <c r="G1972" t="s">
        <v>33</v>
      </c>
      <c r="H1972" t="str">
        <f>TEXT(walmart[[#This Row],[Purchase_Date]],"DDD")</f>
        <v>Sat</v>
      </c>
      <c r="I1972" t="str">
        <f>TEXT(walmart[[#This Row],[Purchase_Date]],"MMM")</f>
        <v>Jul</v>
      </c>
      <c r="J1972" t="str">
        <f>TEXT(walmart[[#This Row],[Purchase_Date]],"YYY")</f>
        <v>2024</v>
      </c>
      <c r="K1972" s="3">
        <v>775.75</v>
      </c>
      <c r="L1972" t="str">
        <f t="shared" si="136"/>
        <v>15% off</v>
      </c>
      <c r="N1972" t="str">
        <f t="shared" si="137"/>
        <v>Yes</v>
      </c>
      <c r="O1972" t="s">
        <v>34</v>
      </c>
      <c r="P1972" s="3">
        <f t="shared" si="138"/>
        <v>775.75</v>
      </c>
      <c r="Q1972" t="s">
        <v>35</v>
      </c>
      <c r="R1972">
        <v>1</v>
      </c>
      <c r="S1972" t="str">
        <f t="shared" si="139"/>
        <v>Very Poor</v>
      </c>
    </row>
    <row r="1973" spans="1:19" x14ac:dyDescent="0.25">
      <c r="A1973" t="s">
        <v>2397</v>
      </c>
      <c r="B1973">
        <v>52</v>
      </c>
      <c r="C1973" t="s">
        <v>29</v>
      </c>
      <c r="D1973" t="s">
        <v>2450</v>
      </c>
      <c r="E1973" t="s">
        <v>37</v>
      </c>
      <c r="F1973" t="s">
        <v>97</v>
      </c>
      <c r="G1973" t="s">
        <v>95</v>
      </c>
      <c r="H1973" t="str">
        <f>TEXT(walmart[[#This Row],[Purchase_Date]],"DDD")</f>
        <v>Wed</v>
      </c>
      <c r="I1973" t="str">
        <f>TEXT(walmart[[#This Row],[Purchase_Date]],"MMM")</f>
        <v>Dec</v>
      </c>
      <c r="J1973" t="str">
        <f>TEXT(walmart[[#This Row],[Purchase_Date]],"YYY")</f>
        <v>2024</v>
      </c>
      <c r="K1973" s="3">
        <v>855.21</v>
      </c>
      <c r="L1973" t="str">
        <f t="shared" si="136"/>
        <v>15% off</v>
      </c>
      <c r="N1973" t="str">
        <f t="shared" si="137"/>
        <v>Yes</v>
      </c>
      <c r="O1973" t="s">
        <v>21</v>
      </c>
      <c r="P1973" s="3">
        <f t="shared" si="138"/>
        <v>855.21</v>
      </c>
      <c r="Q1973" t="s">
        <v>22</v>
      </c>
      <c r="R1973">
        <v>1</v>
      </c>
      <c r="S1973" t="str">
        <f t="shared" si="139"/>
        <v>Very Poor</v>
      </c>
    </row>
    <row r="1974" spans="1:19" x14ac:dyDescent="0.25">
      <c r="A1974" t="s">
        <v>2398</v>
      </c>
      <c r="B1974">
        <v>24</v>
      </c>
      <c r="C1974" t="s">
        <v>29</v>
      </c>
      <c r="D1974" t="s">
        <v>2451</v>
      </c>
      <c r="E1974" t="s">
        <v>24</v>
      </c>
      <c r="F1974" t="s">
        <v>186</v>
      </c>
      <c r="G1974" t="s">
        <v>1239</v>
      </c>
      <c r="H1974" t="str">
        <f>TEXT(walmart[[#This Row],[Purchase_Date]],"DDD")</f>
        <v>Sun</v>
      </c>
      <c r="I1974" t="str">
        <f>TEXT(walmart[[#This Row],[Purchase_Date]],"MMM")</f>
        <v>Jan</v>
      </c>
      <c r="J1974" t="str">
        <f>TEXT(walmart[[#This Row],[Purchase_Date]],"YYY")</f>
        <v>2025</v>
      </c>
      <c r="K1974" s="3">
        <v>527.16999999999996</v>
      </c>
      <c r="L1974" t="str">
        <f t="shared" si="136"/>
        <v>10% off</v>
      </c>
      <c r="N1974" t="str">
        <f t="shared" si="137"/>
        <v>Yes</v>
      </c>
      <c r="O1974" t="s">
        <v>21</v>
      </c>
      <c r="P1974" s="3">
        <f t="shared" si="138"/>
        <v>527.16999999999996</v>
      </c>
      <c r="Q1974" t="s">
        <v>47</v>
      </c>
      <c r="R1974">
        <v>2</v>
      </c>
      <c r="S1974" t="str">
        <f t="shared" si="139"/>
        <v>Poor</v>
      </c>
    </row>
    <row r="1975" spans="1:19" x14ac:dyDescent="0.25">
      <c r="A1975" t="s">
        <v>2399</v>
      </c>
      <c r="B1975">
        <v>38</v>
      </c>
      <c r="C1975" t="s">
        <v>16</v>
      </c>
      <c r="D1975" t="s">
        <v>2452</v>
      </c>
      <c r="E1975" t="s">
        <v>31</v>
      </c>
      <c r="F1975" t="s">
        <v>300</v>
      </c>
      <c r="G1975" t="s">
        <v>380</v>
      </c>
      <c r="H1975" t="str">
        <f>TEXT(walmart[[#This Row],[Purchase_Date]],"DDD")</f>
        <v>Sun</v>
      </c>
      <c r="I1975" t="str">
        <f>TEXT(walmart[[#This Row],[Purchase_Date]],"MMM")</f>
        <v>Jun</v>
      </c>
      <c r="J1975" t="str">
        <f>TEXT(walmart[[#This Row],[Purchase_Date]],"YYY")</f>
        <v>2024</v>
      </c>
      <c r="K1975" s="3">
        <v>340.04</v>
      </c>
      <c r="L1975" t="str">
        <f t="shared" si="136"/>
        <v>5% off</v>
      </c>
      <c r="N1975" t="str">
        <f t="shared" si="137"/>
        <v>Yes</v>
      </c>
      <c r="O1975" t="s">
        <v>34</v>
      </c>
      <c r="P1975" s="3">
        <f t="shared" si="138"/>
        <v>340.04</v>
      </c>
      <c r="Q1975" t="s">
        <v>47</v>
      </c>
      <c r="R1975">
        <v>4</v>
      </c>
      <c r="S1975" t="str">
        <f t="shared" si="139"/>
        <v>Good</v>
      </c>
    </row>
    <row r="1976" spans="1:19" x14ac:dyDescent="0.25">
      <c r="A1976" t="s">
        <v>2400</v>
      </c>
      <c r="B1976">
        <v>42</v>
      </c>
      <c r="C1976" t="s">
        <v>16</v>
      </c>
      <c r="D1976" t="s">
        <v>2453</v>
      </c>
      <c r="E1976" t="s">
        <v>18</v>
      </c>
      <c r="F1976" t="s">
        <v>59</v>
      </c>
      <c r="G1976" t="s">
        <v>445</v>
      </c>
      <c r="H1976" t="str">
        <f>TEXT(walmart[[#This Row],[Purchase_Date]],"DDD")</f>
        <v>Tue</v>
      </c>
      <c r="I1976" t="str">
        <f>TEXT(walmart[[#This Row],[Purchase_Date]],"MMM")</f>
        <v>Aug</v>
      </c>
      <c r="J1976" t="str">
        <f>TEXT(walmart[[#This Row],[Purchase_Date]],"YYY")</f>
        <v>2024</v>
      </c>
      <c r="K1976" s="3">
        <v>78.349999999999994</v>
      </c>
      <c r="L1976" t="str">
        <f t="shared" si="136"/>
        <v>0% off</v>
      </c>
      <c r="N1976" t="str">
        <f t="shared" si="137"/>
        <v>No</v>
      </c>
      <c r="O1976" t="s">
        <v>21</v>
      </c>
      <c r="P1976" s="3">
        <f t="shared" si="138"/>
        <v>78.349999999999994</v>
      </c>
      <c r="Q1976" t="s">
        <v>35</v>
      </c>
      <c r="R1976">
        <v>3</v>
      </c>
      <c r="S1976" t="str">
        <f t="shared" si="139"/>
        <v>Average</v>
      </c>
    </row>
    <row r="1977" spans="1:19" x14ac:dyDescent="0.25">
      <c r="A1977" t="s">
        <v>2401</v>
      </c>
      <c r="B1977">
        <v>20</v>
      </c>
      <c r="C1977" t="s">
        <v>29</v>
      </c>
      <c r="D1977" t="s">
        <v>2454</v>
      </c>
      <c r="E1977" t="s">
        <v>37</v>
      </c>
      <c r="F1977" t="s">
        <v>97</v>
      </c>
      <c r="G1977" t="s">
        <v>514</v>
      </c>
      <c r="H1977" t="str">
        <f>TEXT(walmart[[#This Row],[Purchase_Date]],"DDD")</f>
        <v>Sat</v>
      </c>
      <c r="I1977" t="str">
        <f>TEXT(walmart[[#This Row],[Purchase_Date]],"MMM")</f>
        <v>Feb</v>
      </c>
      <c r="J1977" t="str">
        <f>TEXT(walmart[[#This Row],[Purchase_Date]],"YYY")</f>
        <v>2025</v>
      </c>
      <c r="K1977" s="3">
        <v>855.21</v>
      </c>
      <c r="L1977" t="str">
        <f t="shared" si="136"/>
        <v>15% off</v>
      </c>
      <c r="N1977" t="str">
        <f t="shared" si="137"/>
        <v>Yes</v>
      </c>
      <c r="O1977" t="s">
        <v>34</v>
      </c>
      <c r="P1977" s="3">
        <f t="shared" si="138"/>
        <v>855.21</v>
      </c>
      <c r="Q1977" t="s">
        <v>27</v>
      </c>
      <c r="R1977">
        <v>3</v>
      </c>
      <c r="S1977" t="str">
        <f t="shared" si="139"/>
        <v>Average</v>
      </c>
    </row>
    <row r="1978" spans="1:19" x14ac:dyDescent="0.25">
      <c r="A1978" t="s">
        <v>2402</v>
      </c>
      <c r="B1978">
        <v>44</v>
      </c>
      <c r="C1978" t="s">
        <v>29</v>
      </c>
      <c r="D1978" t="s">
        <v>2455</v>
      </c>
      <c r="E1978" t="s">
        <v>55</v>
      </c>
      <c r="F1978" t="s">
        <v>100</v>
      </c>
      <c r="G1978" t="s">
        <v>240</v>
      </c>
      <c r="H1978" t="str">
        <f>TEXT(walmart[[#This Row],[Purchase_Date]],"DDD")</f>
        <v>Mon</v>
      </c>
      <c r="I1978" t="str">
        <f>TEXT(walmart[[#This Row],[Purchase_Date]],"MMM")</f>
        <v>Apr</v>
      </c>
      <c r="J1978" t="str">
        <f>TEXT(walmart[[#This Row],[Purchase_Date]],"YYY")</f>
        <v>2024</v>
      </c>
      <c r="K1978" s="3">
        <v>592.26</v>
      </c>
      <c r="L1978" t="str">
        <f t="shared" si="136"/>
        <v>10% off</v>
      </c>
      <c r="N1978" t="str">
        <f t="shared" si="137"/>
        <v>Yes</v>
      </c>
      <c r="O1978" t="s">
        <v>21</v>
      </c>
      <c r="P1978" s="3">
        <f t="shared" si="138"/>
        <v>592.26</v>
      </c>
      <c r="Q1978" t="s">
        <v>22</v>
      </c>
      <c r="R1978">
        <v>5</v>
      </c>
      <c r="S1978" t="str">
        <f t="shared" si="139"/>
        <v>Excellent</v>
      </c>
    </row>
    <row r="1979" spans="1:19" x14ac:dyDescent="0.25">
      <c r="A1979" t="s">
        <v>2403</v>
      </c>
      <c r="B1979">
        <v>29</v>
      </c>
      <c r="C1979" t="s">
        <v>16</v>
      </c>
      <c r="D1979" t="s">
        <v>2456</v>
      </c>
      <c r="E1979" t="s">
        <v>18</v>
      </c>
      <c r="F1979" t="s">
        <v>59</v>
      </c>
      <c r="G1979" t="s">
        <v>256</v>
      </c>
      <c r="H1979" t="str">
        <f>TEXT(walmart[[#This Row],[Purchase_Date]],"DDD")</f>
        <v>Sat</v>
      </c>
      <c r="I1979" t="str">
        <f>TEXT(walmart[[#This Row],[Purchase_Date]],"MMM")</f>
        <v>May</v>
      </c>
      <c r="J1979" t="str">
        <f>TEXT(walmart[[#This Row],[Purchase_Date]],"YYY")</f>
        <v>2024</v>
      </c>
      <c r="K1979" s="3">
        <v>78.349999999999994</v>
      </c>
      <c r="L1979" t="str">
        <f t="shared" si="136"/>
        <v>0% off</v>
      </c>
      <c r="N1979" t="str">
        <f t="shared" si="137"/>
        <v>No</v>
      </c>
      <c r="O1979" t="s">
        <v>21</v>
      </c>
      <c r="P1979" s="3">
        <f t="shared" si="138"/>
        <v>78.349999999999994</v>
      </c>
      <c r="Q1979" t="s">
        <v>47</v>
      </c>
      <c r="R1979">
        <v>1</v>
      </c>
      <c r="S1979" t="str">
        <f t="shared" si="139"/>
        <v>Very Poor</v>
      </c>
    </row>
    <row r="1980" spans="1:19" x14ac:dyDescent="0.25">
      <c r="A1980" t="s">
        <v>2404</v>
      </c>
      <c r="B1980">
        <v>51</v>
      </c>
      <c r="C1980" t="s">
        <v>29</v>
      </c>
      <c r="D1980" t="s">
        <v>2457</v>
      </c>
      <c r="E1980" t="s">
        <v>42</v>
      </c>
      <c r="F1980" t="s">
        <v>103</v>
      </c>
      <c r="G1980" t="s">
        <v>538</v>
      </c>
      <c r="H1980" t="str">
        <f>TEXT(walmart[[#This Row],[Purchase_Date]],"DDD")</f>
        <v>Mon</v>
      </c>
      <c r="I1980" t="str">
        <f>TEXT(walmart[[#This Row],[Purchase_Date]],"MMM")</f>
        <v>May</v>
      </c>
      <c r="J1980" t="str">
        <f>TEXT(walmart[[#This Row],[Purchase_Date]],"YYY")</f>
        <v>2024</v>
      </c>
      <c r="K1980" s="3">
        <v>315.56</v>
      </c>
      <c r="L1980" t="str">
        <f t="shared" si="136"/>
        <v>5% off</v>
      </c>
      <c r="N1980" t="str">
        <f t="shared" si="137"/>
        <v>Yes</v>
      </c>
      <c r="O1980" t="s">
        <v>21</v>
      </c>
      <c r="P1980" s="3">
        <f t="shared" si="138"/>
        <v>315.56</v>
      </c>
      <c r="Q1980" t="s">
        <v>47</v>
      </c>
      <c r="R1980">
        <v>1</v>
      </c>
      <c r="S1980" t="str">
        <f t="shared" si="139"/>
        <v>Very Poor</v>
      </c>
    </row>
    <row r="1981" spans="1:19" x14ac:dyDescent="0.25">
      <c r="A1981" t="s">
        <v>2405</v>
      </c>
      <c r="B1981">
        <v>20</v>
      </c>
      <c r="C1981" t="s">
        <v>29</v>
      </c>
      <c r="D1981" t="s">
        <v>2458</v>
      </c>
      <c r="E1981" t="s">
        <v>24</v>
      </c>
      <c r="F1981" t="s">
        <v>209</v>
      </c>
      <c r="G1981" t="s">
        <v>439</v>
      </c>
      <c r="H1981" t="str">
        <f>TEXT(walmart[[#This Row],[Purchase_Date]],"DDD")</f>
        <v>Sat</v>
      </c>
      <c r="I1981" t="str">
        <f>TEXT(walmart[[#This Row],[Purchase_Date]],"MMM")</f>
        <v>Aug</v>
      </c>
      <c r="J1981" t="str">
        <f>TEXT(walmart[[#This Row],[Purchase_Date]],"YYY")</f>
        <v>2024</v>
      </c>
      <c r="K1981" s="3">
        <v>775.75</v>
      </c>
      <c r="L1981" t="str">
        <f t="shared" si="136"/>
        <v>15% off</v>
      </c>
      <c r="N1981" t="str">
        <f t="shared" si="137"/>
        <v>Yes</v>
      </c>
      <c r="O1981" t="s">
        <v>21</v>
      </c>
      <c r="P1981" s="3">
        <f t="shared" si="138"/>
        <v>775.75</v>
      </c>
      <c r="Q1981" t="s">
        <v>27</v>
      </c>
      <c r="R1981">
        <v>2</v>
      </c>
      <c r="S1981" t="str">
        <f t="shared" si="139"/>
        <v>Poor</v>
      </c>
    </row>
    <row r="1982" spans="1:19" x14ac:dyDescent="0.25">
      <c r="A1982" t="s">
        <v>2406</v>
      </c>
      <c r="B1982">
        <v>31</v>
      </c>
      <c r="C1982" t="s">
        <v>16</v>
      </c>
      <c r="D1982" t="s">
        <v>2459</v>
      </c>
      <c r="E1982" t="s">
        <v>42</v>
      </c>
      <c r="F1982" t="s">
        <v>120</v>
      </c>
      <c r="G1982" t="s">
        <v>1502</v>
      </c>
      <c r="H1982" t="str">
        <f>TEXT(walmart[[#This Row],[Purchase_Date]],"DDD")</f>
        <v>Thu</v>
      </c>
      <c r="I1982" t="str">
        <f>TEXT(walmart[[#This Row],[Purchase_Date]],"MMM")</f>
        <v>Jul</v>
      </c>
      <c r="J1982" t="str">
        <f>TEXT(walmart[[#This Row],[Purchase_Date]],"YYY")</f>
        <v>2024</v>
      </c>
      <c r="K1982" s="3">
        <v>260.77999999999997</v>
      </c>
      <c r="L1982" t="str">
        <f t="shared" si="136"/>
        <v>5% off</v>
      </c>
      <c r="N1982" t="str">
        <f t="shared" si="137"/>
        <v>Yes</v>
      </c>
      <c r="O1982" t="s">
        <v>34</v>
      </c>
      <c r="P1982" s="3">
        <f t="shared" si="138"/>
        <v>260.77999999999997</v>
      </c>
      <c r="Q1982" t="s">
        <v>22</v>
      </c>
      <c r="R1982">
        <v>5</v>
      </c>
      <c r="S1982" t="str">
        <f t="shared" si="139"/>
        <v>Excellent</v>
      </c>
    </row>
    <row r="1983" spans="1:19" x14ac:dyDescent="0.25">
      <c r="A1983" t="s">
        <v>2407</v>
      </c>
      <c r="B1983">
        <v>20</v>
      </c>
      <c r="C1983" t="s">
        <v>29</v>
      </c>
      <c r="D1983" t="s">
        <v>2460</v>
      </c>
      <c r="E1983" t="s">
        <v>42</v>
      </c>
      <c r="F1983" t="s">
        <v>120</v>
      </c>
      <c r="G1983" t="s">
        <v>167</v>
      </c>
      <c r="H1983" t="str">
        <f>TEXT(walmart[[#This Row],[Purchase_Date]],"DDD")</f>
        <v>Mon</v>
      </c>
      <c r="I1983" t="str">
        <f>TEXT(walmart[[#This Row],[Purchase_Date]],"MMM")</f>
        <v>Jan</v>
      </c>
      <c r="J1983" t="str">
        <f>TEXT(walmart[[#This Row],[Purchase_Date]],"YYY")</f>
        <v>2025</v>
      </c>
      <c r="K1983" s="3">
        <v>260.77999999999997</v>
      </c>
      <c r="L1983" t="str">
        <f t="shared" si="136"/>
        <v>5% off</v>
      </c>
      <c r="N1983" t="str">
        <f t="shared" si="137"/>
        <v>Yes</v>
      </c>
      <c r="O1983" t="s">
        <v>34</v>
      </c>
      <c r="P1983" s="3">
        <f t="shared" si="138"/>
        <v>260.77999999999997</v>
      </c>
      <c r="Q1983" t="s">
        <v>27</v>
      </c>
      <c r="R1983">
        <v>4</v>
      </c>
      <c r="S1983" t="str">
        <f t="shared" si="139"/>
        <v>Good</v>
      </c>
    </row>
    <row r="1984" spans="1:19" x14ac:dyDescent="0.25">
      <c r="A1984" t="s">
        <v>2408</v>
      </c>
      <c r="B1984">
        <v>57</v>
      </c>
      <c r="C1984" t="s">
        <v>16</v>
      </c>
      <c r="D1984" t="s">
        <v>2461</v>
      </c>
      <c r="E1984" t="s">
        <v>55</v>
      </c>
      <c r="F1984" t="s">
        <v>64</v>
      </c>
      <c r="G1984" t="s">
        <v>538</v>
      </c>
      <c r="H1984" t="str">
        <f>TEXT(walmart[[#This Row],[Purchase_Date]],"DDD")</f>
        <v>Mon</v>
      </c>
      <c r="I1984" t="str">
        <f>TEXT(walmart[[#This Row],[Purchase_Date]],"MMM")</f>
        <v>May</v>
      </c>
      <c r="J1984" t="str">
        <f>TEXT(walmart[[#This Row],[Purchase_Date]],"YYY")</f>
        <v>2024</v>
      </c>
      <c r="K1984" s="3">
        <v>374.92</v>
      </c>
      <c r="L1984" t="str">
        <f t="shared" si="136"/>
        <v>5% off</v>
      </c>
      <c r="N1984" t="str">
        <f t="shared" si="137"/>
        <v>Yes</v>
      </c>
      <c r="O1984" t="s">
        <v>21</v>
      </c>
      <c r="P1984" s="3">
        <f t="shared" si="138"/>
        <v>374.92</v>
      </c>
      <c r="Q1984" t="s">
        <v>47</v>
      </c>
      <c r="R1984">
        <v>4</v>
      </c>
      <c r="S1984" t="str">
        <f t="shared" si="139"/>
        <v>Good</v>
      </c>
    </row>
    <row r="1985" spans="1:19" x14ac:dyDescent="0.25">
      <c r="A1985" t="s">
        <v>2409</v>
      </c>
      <c r="B1985">
        <v>22</v>
      </c>
      <c r="C1985" t="s">
        <v>16</v>
      </c>
      <c r="D1985" t="s">
        <v>2462</v>
      </c>
      <c r="E1985" t="s">
        <v>73</v>
      </c>
      <c r="F1985" t="s">
        <v>138</v>
      </c>
      <c r="G1985" t="s">
        <v>101</v>
      </c>
      <c r="H1985" t="str">
        <f>TEXT(walmart[[#This Row],[Purchase_Date]],"DDD")</f>
        <v>Mon</v>
      </c>
      <c r="I1985" t="str">
        <f>TEXT(walmart[[#This Row],[Purchase_Date]],"MMM")</f>
        <v>Feb</v>
      </c>
      <c r="J1985" t="str">
        <f>TEXT(walmart[[#This Row],[Purchase_Date]],"YYY")</f>
        <v>2025</v>
      </c>
      <c r="K1985" s="3">
        <v>461.81</v>
      </c>
      <c r="L1985" t="str">
        <f t="shared" si="136"/>
        <v>5% off</v>
      </c>
      <c r="N1985" t="str">
        <f t="shared" si="137"/>
        <v>Yes</v>
      </c>
      <c r="O1985" t="s">
        <v>34</v>
      </c>
      <c r="P1985" s="3">
        <f t="shared" si="138"/>
        <v>461.81</v>
      </c>
      <c r="Q1985" t="s">
        <v>47</v>
      </c>
      <c r="R1985">
        <v>3</v>
      </c>
      <c r="S1985" t="str">
        <f t="shared" si="139"/>
        <v>Average</v>
      </c>
    </row>
    <row r="1986" spans="1:19" x14ac:dyDescent="0.25">
      <c r="A1986" t="s">
        <v>2410</v>
      </c>
      <c r="B1986">
        <v>39</v>
      </c>
      <c r="C1986" t="s">
        <v>29</v>
      </c>
      <c r="D1986" t="s">
        <v>2463</v>
      </c>
      <c r="E1986" t="s">
        <v>31</v>
      </c>
      <c r="F1986" t="s">
        <v>169</v>
      </c>
      <c r="G1986" t="s">
        <v>201</v>
      </c>
      <c r="H1986" t="str">
        <f>TEXT(walmart[[#This Row],[Purchase_Date]],"DDD")</f>
        <v>Sat</v>
      </c>
      <c r="I1986" t="str">
        <f>TEXT(walmart[[#This Row],[Purchase_Date]],"MMM")</f>
        <v>Aug</v>
      </c>
      <c r="J1986" t="str">
        <f>TEXT(walmart[[#This Row],[Purchase_Date]],"YYY")</f>
        <v>2024</v>
      </c>
      <c r="K1986" s="3">
        <v>52.44</v>
      </c>
      <c r="L1986" t="str">
        <f t="shared" si="136"/>
        <v>0% off</v>
      </c>
      <c r="N1986" t="str">
        <f t="shared" si="137"/>
        <v>No</v>
      </c>
      <c r="O1986" t="s">
        <v>21</v>
      </c>
      <c r="P1986" s="3">
        <f t="shared" si="138"/>
        <v>52.44</v>
      </c>
      <c r="Q1986" t="s">
        <v>27</v>
      </c>
      <c r="R1986">
        <v>2</v>
      </c>
      <c r="S1986" t="str">
        <f t="shared" si="139"/>
        <v>Poor</v>
      </c>
    </row>
    <row r="1987" spans="1:19" x14ac:dyDescent="0.25">
      <c r="A1987" t="s">
        <v>2411</v>
      </c>
      <c r="B1987">
        <v>53</v>
      </c>
      <c r="C1987" t="s">
        <v>16</v>
      </c>
      <c r="D1987" t="s">
        <v>2464</v>
      </c>
      <c r="E1987" t="s">
        <v>42</v>
      </c>
      <c r="F1987" t="s">
        <v>52</v>
      </c>
      <c r="G1987" t="s">
        <v>1101</v>
      </c>
      <c r="H1987" t="str">
        <f>TEXT(walmart[[#This Row],[Purchase_Date]],"DDD")</f>
        <v>Thu</v>
      </c>
      <c r="I1987" t="str">
        <f>TEXT(walmart[[#This Row],[Purchase_Date]],"MMM")</f>
        <v>Mar</v>
      </c>
      <c r="J1987" t="str">
        <f>TEXT(walmart[[#This Row],[Purchase_Date]],"YYY")</f>
        <v>2025</v>
      </c>
      <c r="K1987" s="3">
        <v>988.77</v>
      </c>
      <c r="L1987" t="str">
        <f t="shared" ref="L1987:L2001" si="140">IF(K1987&lt;150,"0% off",IF(K1987&lt;500,"5% off",IF(K1987&lt;700,"10% off",IF(K1987&lt;900,"15% off","20% off"))))</f>
        <v>20% off</v>
      </c>
      <c r="N1987" t="str">
        <f t="shared" ref="N1987:N2001" si="141">IF(L1987="0% off", "No", "Yes")</f>
        <v>Yes</v>
      </c>
      <c r="O1987" t="s">
        <v>34</v>
      </c>
      <c r="P1987" s="3">
        <f t="shared" ref="P1987:P2001" si="142">K1987-M1987</f>
        <v>988.77</v>
      </c>
      <c r="Q1987" t="s">
        <v>22</v>
      </c>
      <c r="R1987">
        <v>4</v>
      </c>
      <c r="S1987" t="str">
        <f t="shared" ref="S1987:S2001" si="143">IF(R1987=5, "Excellent", IF(R1987=4, "Good", IF(R1987=3, "Average", IF(R1987=2, "Poor", IF(R1987=1, "Very Poor", "Invalid Rating")))))</f>
        <v>Good</v>
      </c>
    </row>
    <row r="1988" spans="1:19" x14ac:dyDescent="0.25">
      <c r="A1988" t="s">
        <v>2412</v>
      </c>
      <c r="B1988">
        <v>36</v>
      </c>
      <c r="C1988" t="s">
        <v>16</v>
      </c>
      <c r="D1988" t="s">
        <v>2465</v>
      </c>
      <c r="E1988" t="s">
        <v>31</v>
      </c>
      <c r="F1988" t="s">
        <v>169</v>
      </c>
      <c r="G1988" t="s">
        <v>95</v>
      </c>
      <c r="H1988" t="str">
        <f>TEXT(walmart[[#This Row],[Purchase_Date]],"DDD")</f>
        <v>Wed</v>
      </c>
      <c r="I1988" t="str">
        <f>TEXT(walmart[[#This Row],[Purchase_Date]],"MMM")</f>
        <v>Dec</v>
      </c>
      <c r="J1988" t="str">
        <f>TEXT(walmart[[#This Row],[Purchase_Date]],"YYY")</f>
        <v>2024</v>
      </c>
      <c r="K1988" s="3">
        <v>52.44</v>
      </c>
      <c r="L1988" t="str">
        <f t="shared" si="140"/>
        <v>0% off</v>
      </c>
      <c r="N1988" t="str">
        <f t="shared" si="141"/>
        <v>No</v>
      </c>
      <c r="O1988" t="s">
        <v>21</v>
      </c>
      <c r="P1988" s="3">
        <f t="shared" si="142"/>
        <v>52.44</v>
      </c>
      <c r="Q1988" t="s">
        <v>47</v>
      </c>
      <c r="R1988">
        <v>5</v>
      </c>
      <c r="S1988" t="str">
        <f t="shared" si="143"/>
        <v>Excellent</v>
      </c>
    </row>
    <row r="1989" spans="1:19" x14ac:dyDescent="0.25">
      <c r="A1989" t="s">
        <v>2413</v>
      </c>
      <c r="B1989">
        <v>58</v>
      </c>
      <c r="C1989" t="s">
        <v>16</v>
      </c>
      <c r="D1989" t="s">
        <v>2466</v>
      </c>
      <c r="E1989" t="s">
        <v>24</v>
      </c>
      <c r="F1989" t="s">
        <v>209</v>
      </c>
      <c r="G1989" t="s">
        <v>26</v>
      </c>
      <c r="H1989" t="str">
        <f>TEXT(walmart[[#This Row],[Purchase_Date]],"DDD")</f>
        <v>Tue</v>
      </c>
      <c r="I1989" t="str">
        <f>TEXT(walmart[[#This Row],[Purchase_Date]],"MMM")</f>
        <v>Nov</v>
      </c>
      <c r="J1989" t="str">
        <f>TEXT(walmart[[#This Row],[Purchase_Date]],"YYY")</f>
        <v>2024</v>
      </c>
      <c r="K1989" s="3">
        <v>775.75</v>
      </c>
      <c r="L1989" t="str">
        <f t="shared" si="140"/>
        <v>15% off</v>
      </c>
      <c r="N1989" t="str">
        <f t="shared" si="141"/>
        <v>Yes</v>
      </c>
      <c r="O1989" t="s">
        <v>34</v>
      </c>
      <c r="P1989" s="3">
        <f t="shared" si="142"/>
        <v>775.75</v>
      </c>
      <c r="Q1989" t="s">
        <v>22</v>
      </c>
      <c r="R1989">
        <v>2</v>
      </c>
      <c r="S1989" t="str">
        <f t="shared" si="143"/>
        <v>Poor</v>
      </c>
    </row>
    <row r="1990" spans="1:19" x14ac:dyDescent="0.25">
      <c r="A1990" t="s">
        <v>2414</v>
      </c>
      <c r="B1990">
        <v>42</v>
      </c>
      <c r="C1990" t="s">
        <v>29</v>
      </c>
      <c r="D1990" t="s">
        <v>2467</v>
      </c>
      <c r="E1990" t="s">
        <v>18</v>
      </c>
      <c r="F1990" t="s">
        <v>59</v>
      </c>
      <c r="G1990" t="s">
        <v>467</v>
      </c>
      <c r="H1990" t="str">
        <f>TEXT(walmart[[#This Row],[Purchase_Date]],"DDD")</f>
        <v>Fri</v>
      </c>
      <c r="I1990" t="str">
        <f>TEXT(walmart[[#This Row],[Purchase_Date]],"MMM")</f>
        <v>Apr</v>
      </c>
      <c r="J1990" t="str">
        <f>TEXT(walmart[[#This Row],[Purchase_Date]],"YYY")</f>
        <v>2024</v>
      </c>
      <c r="K1990" s="3">
        <v>78.349999999999994</v>
      </c>
      <c r="L1990" t="str">
        <f t="shared" si="140"/>
        <v>0% off</v>
      </c>
      <c r="N1990" t="str">
        <f t="shared" si="141"/>
        <v>No</v>
      </c>
      <c r="O1990" t="s">
        <v>34</v>
      </c>
      <c r="P1990" s="3">
        <f t="shared" si="142"/>
        <v>78.349999999999994</v>
      </c>
      <c r="Q1990" t="s">
        <v>27</v>
      </c>
      <c r="R1990">
        <v>2</v>
      </c>
      <c r="S1990" t="str">
        <f t="shared" si="143"/>
        <v>Poor</v>
      </c>
    </row>
    <row r="1991" spans="1:19" x14ac:dyDescent="0.25">
      <c r="A1991" t="s">
        <v>2415</v>
      </c>
      <c r="B1991">
        <v>61</v>
      </c>
      <c r="C1991" t="s">
        <v>16</v>
      </c>
      <c r="D1991" t="s">
        <v>2468</v>
      </c>
      <c r="E1991" t="s">
        <v>37</v>
      </c>
      <c r="F1991" t="s">
        <v>117</v>
      </c>
      <c r="G1991" t="s">
        <v>287</v>
      </c>
      <c r="H1991" t="str">
        <f>TEXT(walmart[[#This Row],[Purchase_Date]],"DDD")</f>
        <v>Sun</v>
      </c>
      <c r="I1991" t="str">
        <f>TEXT(walmart[[#This Row],[Purchase_Date]],"MMM")</f>
        <v>Jul</v>
      </c>
      <c r="J1991" t="str">
        <f>TEXT(walmart[[#This Row],[Purchase_Date]],"YYY")</f>
        <v>2024</v>
      </c>
      <c r="K1991" s="3">
        <v>165.68</v>
      </c>
      <c r="L1991" t="str">
        <f t="shared" si="140"/>
        <v>5% off</v>
      </c>
      <c r="N1991" t="str">
        <f t="shared" si="141"/>
        <v>Yes</v>
      </c>
      <c r="O1991" t="s">
        <v>21</v>
      </c>
      <c r="P1991" s="3">
        <f t="shared" si="142"/>
        <v>165.68</v>
      </c>
      <c r="Q1991" t="s">
        <v>22</v>
      </c>
      <c r="R1991">
        <v>3</v>
      </c>
      <c r="S1991" t="str">
        <f t="shared" si="143"/>
        <v>Average</v>
      </c>
    </row>
    <row r="1992" spans="1:19" x14ac:dyDescent="0.25">
      <c r="A1992" t="s">
        <v>2416</v>
      </c>
      <c r="B1992">
        <v>39</v>
      </c>
      <c r="C1992" t="s">
        <v>29</v>
      </c>
      <c r="D1992" t="s">
        <v>2469</v>
      </c>
      <c r="E1992" t="s">
        <v>55</v>
      </c>
      <c r="F1992" t="s">
        <v>64</v>
      </c>
      <c r="G1992" t="s">
        <v>947</v>
      </c>
      <c r="H1992" t="str">
        <f>TEXT(walmart[[#This Row],[Purchase_Date]],"DDD")</f>
        <v>Sat</v>
      </c>
      <c r="I1992" t="str">
        <f>TEXT(walmart[[#This Row],[Purchase_Date]],"MMM")</f>
        <v>May</v>
      </c>
      <c r="J1992" t="str">
        <f>TEXT(walmart[[#This Row],[Purchase_Date]],"YYY")</f>
        <v>2024</v>
      </c>
      <c r="K1992" s="3">
        <v>374.92</v>
      </c>
      <c r="L1992" t="str">
        <f t="shared" si="140"/>
        <v>5% off</v>
      </c>
      <c r="N1992" t="str">
        <f t="shared" si="141"/>
        <v>Yes</v>
      </c>
      <c r="O1992" t="s">
        <v>34</v>
      </c>
      <c r="P1992" s="3">
        <f t="shared" si="142"/>
        <v>374.92</v>
      </c>
      <c r="Q1992" t="s">
        <v>27</v>
      </c>
      <c r="R1992">
        <v>3</v>
      </c>
      <c r="S1992" t="str">
        <f t="shared" si="143"/>
        <v>Average</v>
      </c>
    </row>
    <row r="1993" spans="1:19" x14ac:dyDescent="0.25">
      <c r="A1993" t="s">
        <v>2417</v>
      </c>
      <c r="B1993">
        <v>29</v>
      </c>
      <c r="C1993" t="s">
        <v>16</v>
      </c>
      <c r="D1993" t="s">
        <v>2470</v>
      </c>
      <c r="E1993" t="s">
        <v>73</v>
      </c>
      <c r="F1993" t="s">
        <v>138</v>
      </c>
      <c r="G1993" t="s">
        <v>531</v>
      </c>
      <c r="H1993" t="str">
        <f>TEXT(walmart[[#This Row],[Purchase_Date]],"DDD")</f>
        <v>Thu</v>
      </c>
      <c r="I1993" t="str">
        <f>TEXT(walmart[[#This Row],[Purchase_Date]],"MMM")</f>
        <v>Nov</v>
      </c>
      <c r="J1993" t="str">
        <f>TEXT(walmart[[#This Row],[Purchase_Date]],"YYY")</f>
        <v>2024</v>
      </c>
      <c r="K1993" s="3">
        <v>461.81</v>
      </c>
      <c r="L1993" t="str">
        <f t="shared" si="140"/>
        <v>5% off</v>
      </c>
      <c r="N1993" t="str">
        <f t="shared" si="141"/>
        <v>Yes</v>
      </c>
      <c r="O1993" t="s">
        <v>34</v>
      </c>
      <c r="P1993" s="3">
        <f t="shared" si="142"/>
        <v>461.81</v>
      </c>
      <c r="Q1993" t="s">
        <v>22</v>
      </c>
      <c r="R1993">
        <v>4</v>
      </c>
      <c r="S1993" t="str">
        <f t="shared" si="143"/>
        <v>Good</v>
      </c>
    </row>
    <row r="1994" spans="1:19" x14ac:dyDescent="0.25">
      <c r="A1994" t="s">
        <v>2418</v>
      </c>
      <c r="B1994">
        <v>65</v>
      </c>
      <c r="C1994" t="s">
        <v>16</v>
      </c>
      <c r="D1994" t="s">
        <v>2471</v>
      </c>
      <c r="E1994" t="s">
        <v>18</v>
      </c>
      <c r="F1994" t="s">
        <v>19</v>
      </c>
      <c r="G1994" t="s">
        <v>508</v>
      </c>
      <c r="H1994" t="str">
        <f>TEXT(walmart[[#This Row],[Purchase_Date]],"DDD")</f>
        <v>Thu</v>
      </c>
      <c r="I1994" t="str">
        <f>TEXT(walmart[[#This Row],[Purchase_Date]],"MMM")</f>
        <v>Jul</v>
      </c>
      <c r="J1994" t="str">
        <f>TEXT(walmart[[#This Row],[Purchase_Date]],"YYY")</f>
        <v>2024</v>
      </c>
      <c r="K1994" s="3">
        <v>697.86</v>
      </c>
      <c r="L1994" t="str">
        <f t="shared" si="140"/>
        <v>10% off</v>
      </c>
      <c r="N1994" t="str">
        <f t="shared" si="141"/>
        <v>Yes</v>
      </c>
      <c r="O1994" t="s">
        <v>21</v>
      </c>
      <c r="P1994" s="3">
        <f t="shared" si="142"/>
        <v>697.86</v>
      </c>
      <c r="Q1994" t="s">
        <v>27</v>
      </c>
      <c r="R1994">
        <v>4</v>
      </c>
      <c r="S1994" t="str">
        <f t="shared" si="143"/>
        <v>Good</v>
      </c>
    </row>
    <row r="1995" spans="1:19" x14ac:dyDescent="0.25">
      <c r="A1995" t="s">
        <v>2419</v>
      </c>
      <c r="B1995">
        <v>53</v>
      </c>
      <c r="C1995" t="s">
        <v>16</v>
      </c>
      <c r="D1995" t="s">
        <v>2472</v>
      </c>
      <c r="E1995" t="s">
        <v>31</v>
      </c>
      <c r="F1995" t="s">
        <v>32</v>
      </c>
      <c r="G1995" t="s">
        <v>762</v>
      </c>
      <c r="H1995" t="str">
        <f>TEXT(walmart[[#This Row],[Purchase_Date]],"DDD")</f>
        <v>Fri</v>
      </c>
      <c r="I1995" t="str">
        <f>TEXT(walmart[[#This Row],[Purchase_Date]],"MMM")</f>
        <v>Jun</v>
      </c>
      <c r="J1995" t="str">
        <f>TEXT(walmart[[#This Row],[Purchase_Date]],"YYY")</f>
        <v>2024</v>
      </c>
      <c r="K1995" s="3">
        <v>493.96</v>
      </c>
      <c r="L1995" t="str">
        <f t="shared" si="140"/>
        <v>5% off</v>
      </c>
      <c r="N1995" t="str">
        <f t="shared" si="141"/>
        <v>Yes</v>
      </c>
      <c r="O1995" t="s">
        <v>21</v>
      </c>
      <c r="P1995" s="3">
        <f t="shared" si="142"/>
        <v>493.96</v>
      </c>
      <c r="Q1995" t="s">
        <v>35</v>
      </c>
      <c r="R1995">
        <v>5</v>
      </c>
      <c r="S1995" t="str">
        <f t="shared" si="143"/>
        <v>Excellent</v>
      </c>
    </row>
    <row r="1996" spans="1:19" x14ac:dyDescent="0.25">
      <c r="A1996" t="s">
        <v>2420</v>
      </c>
      <c r="B1996">
        <v>69</v>
      </c>
      <c r="C1996" t="s">
        <v>16</v>
      </c>
      <c r="D1996" t="s">
        <v>2473</v>
      </c>
      <c r="E1996" t="s">
        <v>42</v>
      </c>
      <c r="F1996" t="s">
        <v>120</v>
      </c>
      <c r="G1996" t="s">
        <v>1043</v>
      </c>
      <c r="H1996" t="str">
        <f>TEXT(walmart[[#This Row],[Purchase_Date]],"DDD")</f>
        <v>Sun</v>
      </c>
      <c r="I1996" t="str">
        <f>TEXT(walmart[[#This Row],[Purchase_Date]],"MMM")</f>
        <v>Sep</v>
      </c>
      <c r="J1996" t="str">
        <f>TEXT(walmart[[#This Row],[Purchase_Date]],"YYY")</f>
        <v>2024</v>
      </c>
      <c r="K1996" s="3">
        <v>260.77999999999997</v>
      </c>
      <c r="L1996" t="str">
        <f t="shared" si="140"/>
        <v>5% off</v>
      </c>
      <c r="N1996" t="str">
        <f t="shared" si="141"/>
        <v>Yes</v>
      </c>
      <c r="O1996" t="s">
        <v>21</v>
      </c>
      <c r="P1996" s="3">
        <f t="shared" si="142"/>
        <v>260.77999999999997</v>
      </c>
      <c r="Q1996" t="s">
        <v>27</v>
      </c>
      <c r="R1996">
        <v>5</v>
      </c>
      <c r="S1996" t="str">
        <f t="shared" si="143"/>
        <v>Excellent</v>
      </c>
    </row>
    <row r="1997" spans="1:19" x14ac:dyDescent="0.25">
      <c r="A1997" t="s">
        <v>2421</v>
      </c>
      <c r="B1997">
        <v>53</v>
      </c>
      <c r="C1997" t="s">
        <v>16</v>
      </c>
      <c r="D1997" t="s">
        <v>2474</v>
      </c>
      <c r="E1997" t="s">
        <v>31</v>
      </c>
      <c r="F1997" t="s">
        <v>112</v>
      </c>
      <c r="G1997" t="s">
        <v>531</v>
      </c>
      <c r="H1997" t="str">
        <f>TEXT(walmart[[#This Row],[Purchase_Date]],"DDD")</f>
        <v>Thu</v>
      </c>
      <c r="I1997" t="str">
        <f>TEXT(walmart[[#This Row],[Purchase_Date]],"MMM")</f>
        <v>Nov</v>
      </c>
      <c r="J1997" t="str">
        <f>TEXT(walmart[[#This Row],[Purchase_Date]],"YYY")</f>
        <v>2024</v>
      </c>
      <c r="K1997" s="3">
        <v>492.1</v>
      </c>
      <c r="L1997" t="str">
        <f t="shared" si="140"/>
        <v>5% off</v>
      </c>
      <c r="N1997" t="str">
        <f t="shared" si="141"/>
        <v>Yes</v>
      </c>
      <c r="O1997" t="s">
        <v>34</v>
      </c>
      <c r="P1997" s="3">
        <f t="shared" si="142"/>
        <v>492.1</v>
      </c>
      <c r="Q1997" t="s">
        <v>22</v>
      </c>
      <c r="R1997">
        <v>2</v>
      </c>
      <c r="S1997" t="str">
        <f t="shared" si="143"/>
        <v>Poor</v>
      </c>
    </row>
    <row r="1998" spans="1:19" x14ac:dyDescent="0.25">
      <c r="A1998" t="s">
        <v>2422</v>
      </c>
      <c r="B1998">
        <v>32</v>
      </c>
      <c r="C1998" t="s">
        <v>16</v>
      </c>
      <c r="D1998" t="s">
        <v>2475</v>
      </c>
      <c r="E1998" t="s">
        <v>31</v>
      </c>
      <c r="F1998" t="s">
        <v>169</v>
      </c>
      <c r="G1998" t="s">
        <v>134</v>
      </c>
      <c r="H1998" t="str">
        <f>TEXT(walmart[[#This Row],[Purchase_Date]],"DDD")</f>
        <v>Sun</v>
      </c>
      <c r="I1998" t="str">
        <f>TEXT(walmart[[#This Row],[Purchase_Date]],"MMM")</f>
        <v>May</v>
      </c>
      <c r="J1998" t="str">
        <f>TEXT(walmart[[#This Row],[Purchase_Date]],"YYY")</f>
        <v>2024</v>
      </c>
      <c r="K1998" s="3">
        <v>52.44</v>
      </c>
      <c r="L1998" t="str">
        <f t="shared" si="140"/>
        <v>0% off</v>
      </c>
      <c r="N1998" t="str">
        <f t="shared" si="141"/>
        <v>No</v>
      </c>
      <c r="O1998" t="s">
        <v>34</v>
      </c>
      <c r="P1998" s="3">
        <f t="shared" si="142"/>
        <v>52.44</v>
      </c>
      <c r="Q1998" t="s">
        <v>22</v>
      </c>
      <c r="R1998">
        <v>1</v>
      </c>
      <c r="S1998" t="str">
        <f t="shared" si="143"/>
        <v>Very Poor</v>
      </c>
    </row>
    <row r="1999" spans="1:19" x14ac:dyDescent="0.25">
      <c r="A1999" t="s">
        <v>2423</v>
      </c>
      <c r="B1999">
        <v>35</v>
      </c>
      <c r="C1999" t="s">
        <v>29</v>
      </c>
      <c r="D1999" t="s">
        <v>2476</v>
      </c>
      <c r="E1999" t="s">
        <v>31</v>
      </c>
      <c r="F1999" t="s">
        <v>300</v>
      </c>
      <c r="G1999" t="s">
        <v>1074</v>
      </c>
      <c r="H1999" t="str">
        <f>TEXT(walmart[[#This Row],[Purchase_Date]],"DDD")</f>
        <v>Fri</v>
      </c>
      <c r="I1999" t="str">
        <f>TEXT(walmart[[#This Row],[Purchase_Date]],"MMM")</f>
        <v>Jan</v>
      </c>
      <c r="J1999" t="str">
        <f>TEXT(walmart[[#This Row],[Purchase_Date]],"YYY")</f>
        <v>2025</v>
      </c>
      <c r="K1999" s="3">
        <v>340.04</v>
      </c>
      <c r="L1999" t="str">
        <f t="shared" si="140"/>
        <v>5% off</v>
      </c>
      <c r="N1999" t="str">
        <f t="shared" si="141"/>
        <v>Yes</v>
      </c>
      <c r="O1999" t="s">
        <v>21</v>
      </c>
      <c r="P1999" s="3">
        <f t="shared" si="142"/>
        <v>340.04</v>
      </c>
      <c r="Q1999" t="s">
        <v>47</v>
      </c>
      <c r="R1999">
        <v>4</v>
      </c>
      <c r="S1999" t="str">
        <f t="shared" si="143"/>
        <v>Good</v>
      </c>
    </row>
    <row r="2000" spans="1:19" x14ac:dyDescent="0.25">
      <c r="A2000" t="s">
        <v>2424</v>
      </c>
      <c r="B2000">
        <v>53</v>
      </c>
      <c r="C2000" t="s">
        <v>16</v>
      </c>
      <c r="D2000" t="s">
        <v>2477</v>
      </c>
      <c r="E2000" t="s">
        <v>73</v>
      </c>
      <c r="F2000" t="s">
        <v>74</v>
      </c>
      <c r="G2000" t="s">
        <v>644</v>
      </c>
      <c r="H2000" t="str">
        <f>TEXT(walmart[[#This Row],[Purchase_Date]],"DDD")</f>
        <v>Fri</v>
      </c>
      <c r="I2000" t="str">
        <f>TEXT(walmart[[#This Row],[Purchase_Date]],"MMM")</f>
        <v>Jan</v>
      </c>
      <c r="J2000" t="str">
        <f>TEXT(walmart[[#This Row],[Purchase_Date]],"YYY")</f>
        <v>2025</v>
      </c>
      <c r="K2000" s="3">
        <v>782.29</v>
      </c>
      <c r="L2000" t="str">
        <f t="shared" si="140"/>
        <v>15% off</v>
      </c>
      <c r="N2000" t="str">
        <f t="shared" si="141"/>
        <v>Yes</v>
      </c>
      <c r="O2000" t="s">
        <v>21</v>
      </c>
      <c r="P2000" s="3">
        <f t="shared" si="142"/>
        <v>782.29</v>
      </c>
      <c r="Q2000" t="s">
        <v>22</v>
      </c>
      <c r="R2000">
        <v>2</v>
      </c>
      <c r="S2000" t="str">
        <f t="shared" si="143"/>
        <v>Poor</v>
      </c>
    </row>
    <row r="2001" spans="1:19" x14ac:dyDescent="0.25">
      <c r="A2001" t="s">
        <v>2425</v>
      </c>
      <c r="B2001">
        <v>32</v>
      </c>
      <c r="C2001" t="s">
        <v>29</v>
      </c>
      <c r="D2001" t="s">
        <v>2478</v>
      </c>
      <c r="E2001" t="s">
        <v>24</v>
      </c>
      <c r="F2001" t="s">
        <v>186</v>
      </c>
      <c r="G2001" t="s">
        <v>1339</v>
      </c>
      <c r="H2001" t="str">
        <f>TEXT(walmart[[#This Row],[Purchase_Date]],"DDD")</f>
        <v>Wed</v>
      </c>
      <c r="I2001" t="str">
        <f>TEXT(walmart[[#This Row],[Purchase_Date]],"MMM")</f>
        <v>Oct</v>
      </c>
      <c r="J2001" t="str">
        <f>TEXT(walmart[[#This Row],[Purchase_Date]],"YYY")</f>
        <v>2024</v>
      </c>
      <c r="K2001" s="3">
        <v>527.16999999999996</v>
      </c>
      <c r="L2001" t="str">
        <f t="shared" si="140"/>
        <v>10% off</v>
      </c>
      <c r="N2001" t="str">
        <f t="shared" si="141"/>
        <v>Yes</v>
      </c>
      <c r="O2001" t="s">
        <v>21</v>
      </c>
      <c r="P2001" s="3">
        <f t="shared" si="142"/>
        <v>527.16999999999996</v>
      </c>
      <c r="Q2001" t="s">
        <v>35</v>
      </c>
      <c r="R2001">
        <v>5</v>
      </c>
      <c r="S2001" t="str">
        <f t="shared" si="143"/>
        <v>Excellent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1364-3D90-4346-9165-410B61CE96C0}">
  <dimension ref="A3:AH16"/>
  <sheetViews>
    <sheetView tabSelected="1" topLeftCell="U1" zoomScaleNormal="100" workbookViewId="0">
      <selection activeCell="Y12" sqref="Y12"/>
    </sheetView>
  </sheetViews>
  <sheetFormatPr defaultRowHeight="15" x14ac:dyDescent="0.25"/>
  <cols>
    <col min="1" max="1" width="21.5703125" bestFit="1" customWidth="1"/>
    <col min="2" max="2" width="16.85546875" bestFit="1" customWidth="1"/>
    <col min="3" max="3" width="4.28515625" bestFit="1" customWidth="1"/>
    <col min="4" max="4" width="11.28515625" bestFit="1" customWidth="1"/>
    <col min="6" max="6" width="13.42578125" bestFit="1" customWidth="1"/>
    <col min="7" max="7" width="21.5703125" bestFit="1" customWidth="1"/>
    <col min="8" max="8" width="4.28515625" bestFit="1" customWidth="1"/>
    <col min="11" max="11" width="15" bestFit="1" customWidth="1"/>
    <col min="12" max="12" width="21.5703125" bestFit="1" customWidth="1"/>
    <col min="13" max="13" width="4.5703125" bestFit="1" customWidth="1"/>
    <col min="15" max="15" width="14" bestFit="1" customWidth="1"/>
    <col min="16" max="16" width="21.5703125" bestFit="1" customWidth="1"/>
    <col min="17" max="17" width="4.5703125" bestFit="1" customWidth="1"/>
    <col min="19" max="19" width="13.42578125" bestFit="1" customWidth="1"/>
    <col min="20" max="20" width="21.5703125" bestFit="1" customWidth="1"/>
    <col min="24" max="24" width="15.5703125" bestFit="1" customWidth="1"/>
    <col min="25" max="25" width="21.5703125" bestFit="1" customWidth="1"/>
    <col min="29" max="29" width="19.85546875" bestFit="1" customWidth="1"/>
    <col min="30" max="30" width="21.5703125" bestFit="1" customWidth="1"/>
    <col min="31" max="31" width="4.7109375" bestFit="1" customWidth="1"/>
    <col min="33" max="33" width="13.42578125" bestFit="1" customWidth="1"/>
    <col min="34" max="34" width="21.5703125" bestFit="1" customWidth="1"/>
    <col min="35" max="35" width="8.42578125" bestFit="1" customWidth="1"/>
    <col min="36" max="36" width="12.140625" bestFit="1" customWidth="1"/>
    <col min="37" max="37" width="11.85546875" bestFit="1" customWidth="1"/>
    <col min="38" max="38" width="13.7109375" bestFit="1" customWidth="1"/>
    <col min="39" max="39" width="15" bestFit="1" customWidth="1"/>
    <col min="40" max="40" width="10.140625" bestFit="1" customWidth="1"/>
    <col min="41" max="41" width="5" bestFit="1" customWidth="1"/>
    <col min="42" max="42" width="11.140625" bestFit="1" customWidth="1"/>
    <col min="43" max="43" width="10.42578125" bestFit="1" customWidth="1"/>
    <col min="44" max="44" width="12.7109375" bestFit="1" customWidth="1"/>
    <col min="45" max="45" width="6.85546875" bestFit="1" customWidth="1"/>
    <col min="46" max="46" width="6.28515625" bestFit="1" customWidth="1"/>
    <col min="47" max="47" width="12.85546875" bestFit="1" customWidth="1"/>
    <col min="48" max="48" width="7.42578125" bestFit="1" customWidth="1"/>
    <col min="49" max="49" width="9" bestFit="1" customWidth="1"/>
    <col min="50" max="50" width="11.140625" bestFit="1" customWidth="1"/>
    <col min="51" max="51" width="10.7109375" bestFit="1" customWidth="1"/>
    <col min="52" max="52" width="9" bestFit="1" customWidth="1"/>
    <col min="53" max="53" width="12.140625" bestFit="1" customWidth="1"/>
    <col min="54" max="54" width="6.85546875" bestFit="1" customWidth="1"/>
    <col min="55" max="56" width="12.42578125" bestFit="1" customWidth="1"/>
    <col min="57" max="57" width="11.85546875" bestFit="1" customWidth="1"/>
    <col min="58" max="58" width="9.85546875" bestFit="1" customWidth="1"/>
    <col min="59" max="59" width="7.28515625" bestFit="1" customWidth="1"/>
    <col min="60" max="60" width="16.140625" bestFit="1" customWidth="1"/>
    <col min="61" max="61" width="9.28515625" bestFit="1" customWidth="1"/>
  </cols>
  <sheetData>
    <row r="3" spans="1:34" x14ac:dyDescent="0.25">
      <c r="A3" s="4" t="s">
        <v>2431</v>
      </c>
      <c r="B3" s="4" t="s">
        <v>2432</v>
      </c>
      <c r="F3" s="4" t="s">
        <v>2430</v>
      </c>
      <c r="G3" t="s">
        <v>2431</v>
      </c>
      <c r="K3" s="4" t="s">
        <v>2430</v>
      </c>
      <c r="L3" t="s">
        <v>2431</v>
      </c>
      <c r="O3" s="4" t="s">
        <v>2430</v>
      </c>
      <c r="P3" t="s">
        <v>2431</v>
      </c>
      <c r="S3" s="4" t="s">
        <v>2430</v>
      </c>
      <c r="T3" t="s">
        <v>2431</v>
      </c>
      <c r="X3" s="4" t="s">
        <v>2430</v>
      </c>
      <c r="Y3" t="s">
        <v>2431</v>
      </c>
      <c r="AC3" t="s">
        <v>2580</v>
      </c>
      <c r="AD3" t="s">
        <v>2431</v>
      </c>
      <c r="AG3" s="4" t="s">
        <v>2430</v>
      </c>
      <c r="AH3" t="s">
        <v>2431</v>
      </c>
    </row>
    <row r="4" spans="1:34" x14ac:dyDescent="0.25">
      <c r="A4" s="4" t="s">
        <v>2430</v>
      </c>
      <c r="B4" t="s">
        <v>34</v>
      </c>
      <c r="C4" t="s">
        <v>21</v>
      </c>
      <c r="F4" s="5" t="s">
        <v>2462</v>
      </c>
      <c r="G4">
        <v>27</v>
      </c>
      <c r="K4" s="5" t="s">
        <v>73</v>
      </c>
      <c r="L4">
        <v>289</v>
      </c>
      <c r="O4" s="5" t="s">
        <v>169</v>
      </c>
      <c r="P4">
        <v>84</v>
      </c>
      <c r="S4" s="5" t="s">
        <v>2567</v>
      </c>
      <c r="T4">
        <v>164</v>
      </c>
      <c r="X4" s="5" t="s">
        <v>35</v>
      </c>
      <c r="Y4">
        <v>517</v>
      </c>
      <c r="AC4" s="7">
        <v>807155.125500008</v>
      </c>
      <c r="AD4">
        <v>2000</v>
      </c>
      <c r="AG4" s="5" t="s">
        <v>91</v>
      </c>
      <c r="AH4">
        <v>97</v>
      </c>
    </row>
    <row r="5" spans="1:34" x14ac:dyDescent="0.25">
      <c r="A5" s="5">
        <v>19</v>
      </c>
      <c r="B5">
        <v>25</v>
      </c>
      <c r="C5">
        <v>22</v>
      </c>
      <c r="F5" s="5" t="s">
        <v>2471</v>
      </c>
      <c r="G5">
        <v>27</v>
      </c>
      <c r="K5" s="5" t="s">
        <v>42</v>
      </c>
      <c r="L5">
        <v>275</v>
      </c>
      <c r="O5" s="5" t="s">
        <v>56</v>
      </c>
      <c r="P5">
        <v>81</v>
      </c>
      <c r="S5" s="5" t="s">
        <v>2568</v>
      </c>
      <c r="T5">
        <v>140</v>
      </c>
      <c r="X5" s="5" t="s">
        <v>27</v>
      </c>
      <c r="Y5">
        <v>477</v>
      </c>
    </row>
    <row r="6" spans="1:34" x14ac:dyDescent="0.25">
      <c r="A6" s="5">
        <v>20</v>
      </c>
      <c r="B6">
        <v>26</v>
      </c>
      <c r="C6">
        <v>23</v>
      </c>
      <c r="F6" s="5" t="s">
        <v>2485</v>
      </c>
      <c r="G6">
        <v>26</v>
      </c>
      <c r="K6" s="5" t="s">
        <v>18</v>
      </c>
      <c r="L6">
        <v>282</v>
      </c>
      <c r="O6" s="5" t="s">
        <v>91</v>
      </c>
      <c r="P6">
        <v>97</v>
      </c>
      <c r="S6" s="5" t="s">
        <v>2569</v>
      </c>
      <c r="T6">
        <v>182</v>
      </c>
      <c r="X6" s="5" t="s">
        <v>47</v>
      </c>
      <c r="Y6">
        <v>487</v>
      </c>
    </row>
    <row r="7" spans="1:34" x14ac:dyDescent="0.25">
      <c r="A7" s="5">
        <v>21</v>
      </c>
      <c r="B7">
        <v>27</v>
      </c>
      <c r="C7">
        <v>27</v>
      </c>
      <c r="F7" s="5" t="s">
        <v>2487</v>
      </c>
      <c r="G7">
        <v>26</v>
      </c>
      <c r="K7" s="5" t="s">
        <v>37</v>
      </c>
      <c r="L7">
        <v>290</v>
      </c>
      <c r="O7" s="5" t="s">
        <v>77</v>
      </c>
      <c r="P7">
        <v>87</v>
      </c>
      <c r="S7" s="5" t="s">
        <v>2570</v>
      </c>
      <c r="T7">
        <v>165</v>
      </c>
      <c r="X7" s="5" t="s">
        <v>22</v>
      </c>
      <c r="Y7">
        <v>519</v>
      </c>
    </row>
    <row r="8" spans="1:34" x14ac:dyDescent="0.25">
      <c r="A8" s="5">
        <v>30</v>
      </c>
      <c r="B8">
        <v>20</v>
      </c>
      <c r="C8">
        <v>24</v>
      </c>
      <c r="F8" s="5" t="s">
        <v>2488</v>
      </c>
      <c r="G8">
        <v>26</v>
      </c>
      <c r="K8" s="5" t="s">
        <v>31</v>
      </c>
      <c r="L8">
        <v>287</v>
      </c>
      <c r="O8" s="5" t="s">
        <v>142</v>
      </c>
      <c r="P8">
        <v>79</v>
      </c>
      <c r="S8" s="5" t="s">
        <v>2571</v>
      </c>
      <c r="T8">
        <v>185</v>
      </c>
    </row>
    <row r="9" spans="1:34" x14ac:dyDescent="0.25">
      <c r="A9" s="5">
        <v>32</v>
      </c>
      <c r="B9">
        <v>28</v>
      </c>
      <c r="C9">
        <v>18</v>
      </c>
      <c r="F9" s="5" t="s">
        <v>2501</v>
      </c>
      <c r="G9">
        <v>26</v>
      </c>
      <c r="K9" s="5" t="s">
        <v>55</v>
      </c>
      <c r="L9">
        <v>291</v>
      </c>
      <c r="O9" s="5" t="s">
        <v>97</v>
      </c>
      <c r="P9">
        <v>79</v>
      </c>
      <c r="S9" s="5" t="s">
        <v>2572</v>
      </c>
      <c r="T9">
        <v>177</v>
      </c>
    </row>
    <row r="10" spans="1:34" x14ac:dyDescent="0.25">
      <c r="A10" s="5">
        <v>36</v>
      </c>
      <c r="B10">
        <v>24</v>
      </c>
      <c r="C10">
        <v>20</v>
      </c>
      <c r="F10" s="5" t="s">
        <v>2504</v>
      </c>
      <c r="G10">
        <v>26</v>
      </c>
      <c r="K10" s="5" t="s">
        <v>24</v>
      </c>
      <c r="L10">
        <v>286</v>
      </c>
      <c r="S10" s="5" t="s">
        <v>2573</v>
      </c>
      <c r="T10">
        <v>192</v>
      </c>
    </row>
    <row r="11" spans="1:34" x14ac:dyDescent="0.25">
      <c r="A11" s="5">
        <v>41</v>
      </c>
      <c r="B11">
        <v>23</v>
      </c>
      <c r="C11">
        <v>21</v>
      </c>
      <c r="F11" s="5" t="s">
        <v>2505</v>
      </c>
      <c r="G11">
        <v>26</v>
      </c>
      <c r="S11" s="5" t="s">
        <v>2574</v>
      </c>
      <c r="T11">
        <v>160</v>
      </c>
    </row>
    <row r="12" spans="1:34" x14ac:dyDescent="0.25">
      <c r="A12" s="5">
        <v>55</v>
      </c>
      <c r="B12">
        <v>22</v>
      </c>
      <c r="C12">
        <v>24</v>
      </c>
      <c r="F12" s="5" t="s">
        <v>2518</v>
      </c>
      <c r="G12">
        <v>39</v>
      </c>
      <c r="S12" s="5" t="s">
        <v>2575</v>
      </c>
      <c r="T12">
        <v>133</v>
      </c>
    </row>
    <row r="13" spans="1:34" x14ac:dyDescent="0.25">
      <c r="A13" s="5">
        <v>58</v>
      </c>
      <c r="B13">
        <v>23</v>
      </c>
      <c r="C13">
        <v>22</v>
      </c>
      <c r="F13" s="5" t="s">
        <v>2519</v>
      </c>
      <c r="G13">
        <v>26</v>
      </c>
      <c r="S13" s="5" t="s">
        <v>2576</v>
      </c>
      <c r="T13">
        <v>174</v>
      </c>
    </row>
    <row r="14" spans="1:34" x14ac:dyDescent="0.25">
      <c r="A14" s="5">
        <v>65</v>
      </c>
      <c r="B14">
        <v>14</v>
      </c>
      <c r="C14">
        <v>30</v>
      </c>
      <c r="F14" s="5" t="s">
        <v>2520</v>
      </c>
      <c r="G14">
        <v>26</v>
      </c>
      <c r="S14" s="5" t="s">
        <v>2577</v>
      </c>
      <c r="T14">
        <v>164</v>
      </c>
      <c r="V14" t="s">
        <v>2579</v>
      </c>
    </row>
    <row r="15" spans="1:34" x14ac:dyDescent="0.25">
      <c r="A15" s="5">
        <v>67</v>
      </c>
      <c r="B15">
        <v>23</v>
      </c>
      <c r="C15">
        <v>24</v>
      </c>
      <c r="S15" s="5" t="s">
        <v>2578</v>
      </c>
      <c r="T15">
        <v>164</v>
      </c>
    </row>
    <row r="16" spans="1:34" x14ac:dyDescent="0.25">
      <c r="A16" s="5">
        <v>70</v>
      </c>
      <c r="B16">
        <v>21</v>
      </c>
      <c r="C16">
        <v>23</v>
      </c>
    </row>
  </sheetData>
  <pageMargins left="0.7" right="0.7" top="0.75" bottom="0.75" header="0.3" footer="0.3"/>
  <pageSetup paperSize="9"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70DE-6FE1-4C64-94EC-E0F26C0FE93C}">
  <dimension ref="A1:B8"/>
  <sheetViews>
    <sheetView workbookViewId="0">
      <selection activeCell="M1" sqref="M1"/>
    </sheetView>
  </sheetViews>
  <sheetFormatPr defaultRowHeight="15" x14ac:dyDescent="0.25"/>
  <cols>
    <col min="1" max="1" width="15" bestFit="1" customWidth="1"/>
    <col min="2" max="2" width="21.5703125" bestFit="1" customWidth="1"/>
  </cols>
  <sheetData>
    <row r="1" spans="1:2" x14ac:dyDescent="0.25">
      <c r="A1" s="4" t="s">
        <v>2430</v>
      </c>
      <c r="B1" t="s">
        <v>2431</v>
      </c>
    </row>
    <row r="2" spans="1:2" x14ac:dyDescent="0.25">
      <c r="A2" s="5" t="s">
        <v>73</v>
      </c>
      <c r="B2">
        <v>289</v>
      </c>
    </row>
    <row r="3" spans="1:2" x14ac:dyDescent="0.25">
      <c r="A3" s="5" t="s">
        <v>42</v>
      </c>
      <c r="B3">
        <v>275</v>
      </c>
    </row>
    <row r="4" spans="1:2" x14ac:dyDescent="0.25">
      <c r="A4" s="5" t="s">
        <v>18</v>
      </c>
      <c r="B4">
        <v>282</v>
      </c>
    </row>
    <row r="5" spans="1:2" x14ac:dyDescent="0.25">
      <c r="A5" s="5" t="s">
        <v>37</v>
      </c>
      <c r="B5">
        <v>290</v>
      </c>
    </row>
    <row r="6" spans="1:2" x14ac:dyDescent="0.25">
      <c r="A6" s="5" t="s">
        <v>31</v>
      </c>
      <c r="B6">
        <v>287</v>
      </c>
    </row>
    <row r="7" spans="1:2" x14ac:dyDescent="0.25">
      <c r="A7" s="5" t="s">
        <v>55</v>
      </c>
      <c r="B7">
        <v>291</v>
      </c>
    </row>
    <row r="8" spans="1:2" x14ac:dyDescent="0.25">
      <c r="A8" s="5" t="s">
        <v>24</v>
      </c>
      <c r="B8">
        <v>286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87934-79E6-4EF1-BD57-BC4A05FCCFA4}">
  <dimension ref="A1:C14"/>
  <sheetViews>
    <sheetView topLeftCell="H2" workbookViewId="0">
      <selection activeCell="J19" sqref="J19"/>
    </sheetView>
  </sheetViews>
  <sheetFormatPr defaultRowHeight="15" x14ac:dyDescent="0.25"/>
  <cols>
    <col min="1" max="1" width="21.5703125" bestFit="1" customWidth="1"/>
    <col min="2" max="2" width="16.85546875" bestFit="1" customWidth="1"/>
    <col min="3" max="3" width="4.28515625" bestFit="1" customWidth="1"/>
  </cols>
  <sheetData>
    <row r="1" spans="1:3" x14ac:dyDescent="0.25">
      <c r="A1" s="4" t="s">
        <v>2431</v>
      </c>
      <c r="B1" s="4" t="s">
        <v>2432</v>
      </c>
    </row>
    <row r="2" spans="1:3" x14ac:dyDescent="0.25">
      <c r="A2" s="4" t="s">
        <v>2430</v>
      </c>
      <c r="B2" t="s">
        <v>34</v>
      </c>
      <c r="C2" t="s">
        <v>21</v>
      </c>
    </row>
    <row r="3" spans="1:3" x14ac:dyDescent="0.25">
      <c r="A3" s="5">
        <v>19</v>
      </c>
      <c r="B3">
        <v>25</v>
      </c>
      <c r="C3">
        <v>22</v>
      </c>
    </row>
    <row r="4" spans="1:3" x14ac:dyDescent="0.25">
      <c r="A4" s="5">
        <v>20</v>
      </c>
      <c r="B4">
        <v>26</v>
      </c>
      <c r="C4">
        <v>23</v>
      </c>
    </row>
    <row r="5" spans="1:3" x14ac:dyDescent="0.25">
      <c r="A5" s="5">
        <v>21</v>
      </c>
      <c r="B5">
        <v>27</v>
      </c>
      <c r="C5">
        <v>27</v>
      </c>
    </row>
    <row r="6" spans="1:3" x14ac:dyDescent="0.25">
      <c r="A6" s="5">
        <v>30</v>
      </c>
      <c r="B6">
        <v>20</v>
      </c>
      <c r="C6">
        <v>24</v>
      </c>
    </row>
    <row r="7" spans="1:3" x14ac:dyDescent="0.25">
      <c r="A7" s="5">
        <v>32</v>
      </c>
      <c r="B7">
        <v>28</v>
      </c>
      <c r="C7">
        <v>18</v>
      </c>
    </row>
    <row r="8" spans="1:3" x14ac:dyDescent="0.25">
      <c r="A8" s="5">
        <v>36</v>
      </c>
      <c r="B8">
        <v>24</v>
      </c>
      <c r="C8">
        <v>20</v>
      </c>
    </row>
    <row r="9" spans="1:3" x14ac:dyDescent="0.25">
      <c r="A9" s="5">
        <v>41</v>
      </c>
      <c r="B9">
        <v>23</v>
      </c>
      <c r="C9">
        <v>21</v>
      </c>
    </row>
    <row r="10" spans="1:3" x14ac:dyDescent="0.25">
      <c r="A10" s="5">
        <v>55</v>
      </c>
      <c r="B10">
        <v>22</v>
      </c>
      <c r="C10">
        <v>24</v>
      </c>
    </row>
    <row r="11" spans="1:3" x14ac:dyDescent="0.25">
      <c r="A11" s="5">
        <v>58</v>
      </c>
      <c r="B11">
        <v>23</v>
      </c>
      <c r="C11">
        <v>22</v>
      </c>
    </row>
    <row r="12" spans="1:3" x14ac:dyDescent="0.25">
      <c r="A12" s="5">
        <v>65</v>
      </c>
      <c r="B12">
        <v>14</v>
      </c>
      <c r="C12">
        <v>30</v>
      </c>
    </row>
    <row r="13" spans="1:3" x14ac:dyDescent="0.25">
      <c r="A13" s="5">
        <v>67</v>
      </c>
      <c r="B13">
        <v>23</v>
      </c>
      <c r="C13">
        <v>24</v>
      </c>
    </row>
    <row r="14" spans="1:3" x14ac:dyDescent="0.25">
      <c r="A14" s="5">
        <v>70</v>
      </c>
      <c r="B14">
        <v>21</v>
      </c>
      <c r="C14">
        <v>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0E96-2ADE-49AA-9019-A2B484DCB445}">
  <dimension ref="A1:B12"/>
  <sheetViews>
    <sheetView zoomScale="89" workbookViewId="0">
      <selection activeCell="L17" sqref="L17"/>
    </sheetView>
  </sheetViews>
  <sheetFormatPr defaultRowHeight="15" x14ac:dyDescent="0.25"/>
  <cols>
    <col min="1" max="1" width="13.42578125" bestFit="1" customWidth="1"/>
    <col min="2" max="2" width="21.5703125" bestFit="1" customWidth="1"/>
  </cols>
  <sheetData>
    <row r="1" spans="1:2" x14ac:dyDescent="0.25">
      <c r="A1" s="4" t="s">
        <v>2430</v>
      </c>
      <c r="B1" t="s">
        <v>2431</v>
      </c>
    </row>
    <row r="2" spans="1:2" x14ac:dyDescent="0.25">
      <c r="A2" s="5" t="s">
        <v>2462</v>
      </c>
      <c r="B2">
        <v>27</v>
      </c>
    </row>
    <row r="3" spans="1:2" x14ac:dyDescent="0.25">
      <c r="A3" s="5" t="s">
        <v>2471</v>
      </c>
      <c r="B3">
        <v>27</v>
      </c>
    </row>
    <row r="4" spans="1:2" x14ac:dyDescent="0.25">
      <c r="A4" s="5" t="s">
        <v>2485</v>
      </c>
      <c r="B4">
        <v>26</v>
      </c>
    </row>
    <row r="5" spans="1:2" x14ac:dyDescent="0.25">
      <c r="A5" s="5" t="s">
        <v>2487</v>
      </c>
      <c r="B5">
        <v>26</v>
      </c>
    </row>
    <row r="6" spans="1:2" x14ac:dyDescent="0.25">
      <c r="A6" s="5" t="s">
        <v>2488</v>
      </c>
      <c r="B6">
        <v>26</v>
      </c>
    </row>
    <row r="7" spans="1:2" x14ac:dyDescent="0.25">
      <c r="A7" s="5" t="s">
        <v>2501</v>
      </c>
      <c r="B7">
        <v>26</v>
      </c>
    </row>
    <row r="8" spans="1:2" x14ac:dyDescent="0.25">
      <c r="A8" s="5" t="s">
        <v>2504</v>
      </c>
      <c r="B8">
        <v>26</v>
      </c>
    </row>
    <row r="9" spans="1:2" x14ac:dyDescent="0.25">
      <c r="A9" s="5" t="s">
        <v>2505</v>
      </c>
      <c r="B9">
        <v>26</v>
      </c>
    </row>
    <row r="10" spans="1:2" x14ac:dyDescent="0.25">
      <c r="A10" s="5" t="s">
        <v>2518</v>
      </c>
      <c r="B10">
        <v>39</v>
      </c>
    </row>
    <row r="11" spans="1:2" x14ac:dyDescent="0.25">
      <c r="A11" s="5" t="s">
        <v>2519</v>
      </c>
      <c r="B11">
        <v>26</v>
      </c>
    </row>
    <row r="12" spans="1:2" x14ac:dyDescent="0.25">
      <c r="A12" s="5" t="s">
        <v>2520</v>
      </c>
      <c r="B12">
        <v>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69018-8122-4F9D-8265-B4257504818F}">
  <dimension ref="A1:B13"/>
  <sheetViews>
    <sheetView zoomScale="89" workbookViewId="0">
      <selection activeCell="I19" sqref="I19"/>
    </sheetView>
  </sheetViews>
  <sheetFormatPr defaultRowHeight="15" x14ac:dyDescent="0.25"/>
  <cols>
    <col min="1" max="1" width="13.42578125" bestFit="1" customWidth="1"/>
    <col min="2" max="2" width="21.5703125" bestFit="1" customWidth="1"/>
  </cols>
  <sheetData>
    <row r="1" spans="1:2" x14ac:dyDescent="0.25">
      <c r="A1" s="4" t="s">
        <v>2430</v>
      </c>
      <c r="B1" t="s">
        <v>2431</v>
      </c>
    </row>
    <row r="2" spans="1:2" x14ac:dyDescent="0.25">
      <c r="A2" s="5" t="s">
        <v>2567</v>
      </c>
      <c r="B2">
        <v>164</v>
      </c>
    </row>
    <row r="3" spans="1:2" x14ac:dyDescent="0.25">
      <c r="A3" s="5" t="s">
        <v>2568</v>
      </c>
      <c r="B3">
        <v>140</v>
      </c>
    </row>
    <row r="4" spans="1:2" x14ac:dyDescent="0.25">
      <c r="A4" s="5" t="s">
        <v>2569</v>
      </c>
      <c r="B4">
        <v>182</v>
      </c>
    </row>
    <row r="5" spans="1:2" x14ac:dyDescent="0.25">
      <c r="A5" s="5" t="s">
        <v>2570</v>
      </c>
      <c r="B5">
        <v>165</v>
      </c>
    </row>
    <row r="6" spans="1:2" x14ac:dyDescent="0.25">
      <c r="A6" s="5" t="s">
        <v>2571</v>
      </c>
      <c r="B6">
        <v>185</v>
      </c>
    </row>
    <row r="7" spans="1:2" x14ac:dyDescent="0.25">
      <c r="A7" s="5" t="s">
        <v>2572</v>
      </c>
      <c r="B7">
        <v>177</v>
      </c>
    </row>
    <row r="8" spans="1:2" x14ac:dyDescent="0.25">
      <c r="A8" s="5" t="s">
        <v>2573</v>
      </c>
      <c r="B8">
        <v>192</v>
      </c>
    </row>
    <row r="9" spans="1:2" x14ac:dyDescent="0.25">
      <c r="A9" s="5" t="s">
        <v>2574</v>
      </c>
      <c r="B9">
        <v>160</v>
      </c>
    </row>
    <row r="10" spans="1:2" x14ac:dyDescent="0.25">
      <c r="A10" s="5" t="s">
        <v>2575</v>
      </c>
      <c r="B10">
        <v>133</v>
      </c>
    </row>
    <row r="11" spans="1:2" x14ac:dyDescent="0.25">
      <c r="A11" s="5" t="s">
        <v>2576</v>
      </c>
      <c r="B11">
        <v>174</v>
      </c>
    </row>
    <row r="12" spans="1:2" x14ac:dyDescent="0.25">
      <c r="A12" s="5" t="s">
        <v>2577</v>
      </c>
      <c r="B12">
        <v>164</v>
      </c>
    </row>
    <row r="13" spans="1:2" x14ac:dyDescent="0.25">
      <c r="A13" s="5" t="s">
        <v>2578</v>
      </c>
      <c r="B13">
        <v>164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0CD7-F17C-4F8C-8CC3-33A3E86D4727}">
  <dimension ref="A1:B7"/>
  <sheetViews>
    <sheetView topLeftCell="A3" workbookViewId="0">
      <selection activeCell="C32" sqref="C32"/>
    </sheetView>
  </sheetViews>
  <sheetFormatPr defaultRowHeight="15" x14ac:dyDescent="0.25"/>
  <cols>
    <col min="1" max="1" width="14" bestFit="1" customWidth="1"/>
    <col min="2" max="2" width="21.5703125" bestFit="1" customWidth="1"/>
  </cols>
  <sheetData>
    <row r="1" spans="1:2" x14ac:dyDescent="0.25">
      <c r="A1" s="4" t="s">
        <v>2430</v>
      </c>
      <c r="B1" t="s">
        <v>2431</v>
      </c>
    </row>
    <row r="2" spans="1:2" x14ac:dyDescent="0.25">
      <c r="A2" s="5" t="s">
        <v>169</v>
      </c>
      <c r="B2">
        <v>84</v>
      </c>
    </row>
    <row r="3" spans="1:2" x14ac:dyDescent="0.25">
      <c r="A3" s="5" t="s">
        <v>56</v>
      </c>
      <c r="B3">
        <v>81</v>
      </c>
    </row>
    <row r="4" spans="1:2" x14ac:dyDescent="0.25">
      <c r="A4" s="5" t="s">
        <v>91</v>
      </c>
      <c r="B4">
        <v>97</v>
      </c>
    </row>
    <row r="5" spans="1:2" x14ac:dyDescent="0.25">
      <c r="A5" s="5" t="s">
        <v>77</v>
      </c>
      <c r="B5">
        <v>87</v>
      </c>
    </row>
    <row r="6" spans="1:2" x14ac:dyDescent="0.25">
      <c r="A6" s="5" t="s">
        <v>142</v>
      </c>
      <c r="B6">
        <v>79</v>
      </c>
    </row>
    <row r="7" spans="1:2" x14ac:dyDescent="0.25">
      <c r="A7" s="5" t="s">
        <v>97</v>
      </c>
      <c r="B7">
        <v>79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8B0F-6302-4F6C-88C5-9CB87ABA7585}">
  <dimension ref="A1:B5"/>
  <sheetViews>
    <sheetView workbookViewId="0">
      <selection activeCell="I17" sqref="I17"/>
    </sheetView>
  </sheetViews>
  <sheetFormatPr defaultRowHeight="15" x14ac:dyDescent="0.25"/>
  <cols>
    <col min="1" max="1" width="15.5703125" bestFit="1" customWidth="1"/>
    <col min="2" max="2" width="21.5703125" bestFit="1" customWidth="1"/>
  </cols>
  <sheetData>
    <row r="1" spans="1:2" x14ac:dyDescent="0.25">
      <c r="A1" s="4" t="s">
        <v>2430</v>
      </c>
      <c r="B1" t="s">
        <v>2431</v>
      </c>
    </row>
    <row r="2" spans="1:2" x14ac:dyDescent="0.25">
      <c r="A2" s="5" t="s">
        <v>35</v>
      </c>
      <c r="B2">
        <v>517</v>
      </c>
    </row>
    <row r="3" spans="1:2" x14ac:dyDescent="0.25">
      <c r="A3" s="5" t="s">
        <v>27</v>
      </c>
      <c r="B3">
        <v>477</v>
      </c>
    </row>
    <row r="4" spans="1:2" x14ac:dyDescent="0.25">
      <c r="A4" s="5" t="s">
        <v>47</v>
      </c>
      <c r="B4">
        <v>487</v>
      </c>
    </row>
    <row r="5" spans="1:2" x14ac:dyDescent="0.25">
      <c r="A5" s="5" t="s">
        <v>22</v>
      </c>
      <c r="B5">
        <v>519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Dataset</vt:lpstr>
      <vt:lpstr>pivot</vt:lpstr>
      <vt:lpstr>Category Distribution</vt:lpstr>
      <vt:lpstr>Repeat Customer Analysis</vt:lpstr>
      <vt:lpstr>Customer Distribution by City</vt:lpstr>
      <vt:lpstr>Monthly Distribution</vt:lpstr>
      <vt:lpstr>Top Selling Products</vt:lpstr>
      <vt:lpstr>Payment Method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2025-03-28T18:09:09Z</dcterms:created>
  <dcterms:modified xsi:type="dcterms:W3CDTF">2025-12-04T07:15:20Z</dcterms:modified>
</cp:coreProperties>
</file>